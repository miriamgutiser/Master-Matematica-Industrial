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Master\SoftFin\German\"/>
    </mc:Choice>
  </mc:AlternateContent>
  <xr:revisionPtr revIDLastSave="0" documentId="13_ncr:1_{F513C764-DB9C-4A07-AEE3-F99C2A08D08B}" xr6:coauthVersionLast="47" xr6:coauthVersionMax="47" xr10:uidLastSave="{00000000-0000-0000-0000-000000000000}"/>
  <bookViews>
    <workbookView xWindow="-90" yWindow="-90" windowWidth="19380" windowHeight="10260" firstSheet="1" activeTab="4" xr2:uid="{2E137F69-9D28-4990-A1CF-D0E5DB0F2177}"/>
  </bookViews>
  <sheets>
    <sheet name="Vainilla" sheetId="1" r:id="rId1"/>
    <sheet name="Asiatica" sheetId="2" r:id="rId2"/>
    <sheet name="Barrera" sheetId="3" r:id="rId3"/>
    <sheet name="Basket" sheetId="4" r:id="rId4"/>
    <sheet name="Hoja1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4" l="1"/>
  <c r="C15" i="1"/>
  <c r="C19" i="4"/>
  <c r="C18" i="4"/>
  <c r="C17" i="4"/>
  <c r="G7" i="4"/>
  <c r="H7" i="4"/>
  <c r="G8" i="4"/>
  <c r="H8" i="4"/>
  <c r="G9" i="4"/>
  <c r="H9" i="4"/>
  <c r="G10" i="4"/>
  <c r="I10" i="4" s="1"/>
  <c r="K10" i="4" s="1"/>
  <c r="H10" i="4"/>
  <c r="G11" i="4"/>
  <c r="I11" i="4" s="1"/>
  <c r="K11" i="4" s="1"/>
  <c r="H11" i="4"/>
  <c r="G12" i="4"/>
  <c r="H12" i="4"/>
  <c r="G13" i="4"/>
  <c r="H13" i="4"/>
  <c r="G14" i="4"/>
  <c r="I14" i="4" s="1"/>
  <c r="K14" i="4" s="1"/>
  <c r="H14" i="4"/>
  <c r="G15" i="4"/>
  <c r="H15" i="4"/>
  <c r="G16" i="4"/>
  <c r="H16" i="4"/>
  <c r="G17" i="4"/>
  <c r="H17" i="4"/>
  <c r="G18" i="4"/>
  <c r="I18" i="4" s="1"/>
  <c r="K18" i="4" s="1"/>
  <c r="H18" i="4"/>
  <c r="G19" i="4"/>
  <c r="I19" i="4" s="1"/>
  <c r="K19" i="4" s="1"/>
  <c r="H19" i="4"/>
  <c r="G20" i="4"/>
  <c r="I20" i="4" s="1"/>
  <c r="K20" i="4" s="1"/>
  <c r="H20" i="4"/>
  <c r="G21" i="4"/>
  <c r="H21" i="4"/>
  <c r="G22" i="4"/>
  <c r="I22" i="4" s="1"/>
  <c r="K22" i="4" s="1"/>
  <c r="H22" i="4"/>
  <c r="G23" i="4"/>
  <c r="H23" i="4"/>
  <c r="G24" i="4"/>
  <c r="H24" i="4"/>
  <c r="G25" i="4"/>
  <c r="H25" i="4"/>
  <c r="G26" i="4"/>
  <c r="I26" i="4" s="1"/>
  <c r="K26" i="4" s="1"/>
  <c r="H26" i="4"/>
  <c r="G27" i="4"/>
  <c r="I27" i="4" s="1"/>
  <c r="K27" i="4" s="1"/>
  <c r="H27" i="4"/>
  <c r="G28" i="4"/>
  <c r="I28" i="4" s="1"/>
  <c r="K28" i="4" s="1"/>
  <c r="H28" i="4"/>
  <c r="G29" i="4"/>
  <c r="I29" i="4" s="1"/>
  <c r="K29" i="4" s="1"/>
  <c r="H29" i="4"/>
  <c r="G30" i="4"/>
  <c r="I30" i="4" s="1"/>
  <c r="K30" i="4" s="1"/>
  <c r="H30" i="4"/>
  <c r="G31" i="4"/>
  <c r="H31" i="4"/>
  <c r="G32" i="4"/>
  <c r="H32" i="4"/>
  <c r="G33" i="4"/>
  <c r="H33" i="4"/>
  <c r="G34" i="4"/>
  <c r="I34" i="4" s="1"/>
  <c r="K34" i="4" s="1"/>
  <c r="H34" i="4"/>
  <c r="G35" i="4"/>
  <c r="I35" i="4" s="1"/>
  <c r="K35" i="4" s="1"/>
  <c r="H35" i="4"/>
  <c r="G36" i="4"/>
  <c r="H36" i="4"/>
  <c r="G37" i="4"/>
  <c r="H37" i="4"/>
  <c r="G38" i="4"/>
  <c r="I38" i="4" s="1"/>
  <c r="K38" i="4" s="1"/>
  <c r="H38" i="4"/>
  <c r="G39" i="4"/>
  <c r="H39" i="4"/>
  <c r="G40" i="4"/>
  <c r="H40" i="4"/>
  <c r="G41" i="4"/>
  <c r="H41" i="4"/>
  <c r="G42" i="4"/>
  <c r="I42" i="4" s="1"/>
  <c r="K42" i="4" s="1"/>
  <c r="H42" i="4"/>
  <c r="G43" i="4"/>
  <c r="I43" i="4" s="1"/>
  <c r="K43" i="4" s="1"/>
  <c r="H43" i="4"/>
  <c r="G44" i="4"/>
  <c r="I44" i="4" s="1"/>
  <c r="K44" i="4" s="1"/>
  <c r="H44" i="4"/>
  <c r="G45" i="4"/>
  <c r="I45" i="4" s="1"/>
  <c r="K45" i="4" s="1"/>
  <c r="H45" i="4"/>
  <c r="G46" i="4"/>
  <c r="I46" i="4" s="1"/>
  <c r="K46" i="4" s="1"/>
  <c r="H46" i="4"/>
  <c r="G47" i="4"/>
  <c r="H47" i="4"/>
  <c r="G48" i="4"/>
  <c r="H48" i="4"/>
  <c r="G49" i="4"/>
  <c r="H49" i="4"/>
  <c r="G50" i="4"/>
  <c r="I50" i="4" s="1"/>
  <c r="K50" i="4" s="1"/>
  <c r="H50" i="4"/>
  <c r="G51" i="4"/>
  <c r="I51" i="4" s="1"/>
  <c r="K51" i="4" s="1"/>
  <c r="H51" i="4"/>
  <c r="G52" i="4"/>
  <c r="H52" i="4"/>
  <c r="G53" i="4"/>
  <c r="I53" i="4" s="1"/>
  <c r="K53" i="4" s="1"/>
  <c r="H53" i="4"/>
  <c r="G54" i="4"/>
  <c r="I54" i="4" s="1"/>
  <c r="K54" i="4" s="1"/>
  <c r="H54" i="4"/>
  <c r="G55" i="4"/>
  <c r="H55" i="4"/>
  <c r="G56" i="4"/>
  <c r="H56" i="4"/>
  <c r="G57" i="4"/>
  <c r="H57" i="4"/>
  <c r="G58" i="4"/>
  <c r="I58" i="4" s="1"/>
  <c r="K58" i="4" s="1"/>
  <c r="H58" i="4"/>
  <c r="G59" i="4"/>
  <c r="I59" i="4" s="1"/>
  <c r="K59" i="4" s="1"/>
  <c r="H59" i="4"/>
  <c r="G60" i="4"/>
  <c r="H60" i="4"/>
  <c r="G61" i="4"/>
  <c r="H61" i="4"/>
  <c r="G62" i="4"/>
  <c r="I62" i="4" s="1"/>
  <c r="K62" i="4" s="1"/>
  <c r="H62" i="4"/>
  <c r="G63" i="4"/>
  <c r="H63" i="4"/>
  <c r="G64" i="4"/>
  <c r="H64" i="4"/>
  <c r="G65" i="4"/>
  <c r="H65" i="4"/>
  <c r="G66" i="4"/>
  <c r="I66" i="4" s="1"/>
  <c r="K66" i="4" s="1"/>
  <c r="H66" i="4"/>
  <c r="G67" i="4"/>
  <c r="I67" i="4" s="1"/>
  <c r="K67" i="4" s="1"/>
  <c r="H67" i="4"/>
  <c r="G68" i="4"/>
  <c r="I68" i="4" s="1"/>
  <c r="K68" i="4" s="1"/>
  <c r="H68" i="4"/>
  <c r="G69" i="4"/>
  <c r="I69" i="4" s="1"/>
  <c r="K69" i="4" s="1"/>
  <c r="H69" i="4"/>
  <c r="G70" i="4"/>
  <c r="I70" i="4" s="1"/>
  <c r="K70" i="4" s="1"/>
  <c r="H70" i="4"/>
  <c r="G71" i="4"/>
  <c r="H71" i="4"/>
  <c r="G72" i="4"/>
  <c r="H72" i="4"/>
  <c r="G73" i="4"/>
  <c r="H73" i="4"/>
  <c r="G74" i="4"/>
  <c r="I74" i="4" s="1"/>
  <c r="K74" i="4" s="1"/>
  <c r="H74" i="4"/>
  <c r="G75" i="4"/>
  <c r="I75" i="4" s="1"/>
  <c r="K75" i="4" s="1"/>
  <c r="H75" i="4"/>
  <c r="G76" i="4"/>
  <c r="H76" i="4"/>
  <c r="G77" i="4"/>
  <c r="H77" i="4"/>
  <c r="G78" i="4"/>
  <c r="I78" i="4" s="1"/>
  <c r="K78" i="4" s="1"/>
  <c r="H78" i="4"/>
  <c r="G79" i="4"/>
  <c r="H79" i="4"/>
  <c r="G80" i="4"/>
  <c r="H80" i="4"/>
  <c r="G81" i="4"/>
  <c r="H81" i="4"/>
  <c r="G82" i="4"/>
  <c r="I82" i="4" s="1"/>
  <c r="K82" i="4" s="1"/>
  <c r="H82" i="4"/>
  <c r="G83" i="4"/>
  <c r="I83" i="4" s="1"/>
  <c r="K83" i="4" s="1"/>
  <c r="H83" i="4"/>
  <c r="G84" i="4"/>
  <c r="I84" i="4" s="1"/>
  <c r="K84" i="4" s="1"/>
  <c r="H84" i="4"/>
  <c r="G85" i="4"/>
  <c r="H85" i="4"/>
  <c r="G86" i="4"/>
  <c r="I86" i="4" s="1"/>
  <c r="K86" i="4" s="1"/>
  <c r="H86" i="4"/>
  <c r="G87" i="4"/>
  <c r="H87" i="4"/>
  <c r="G88" i="4"/>
  <c r="H88" i="4"/>
  <c r="G89" i="4"/>
  <c r="H89" i="4"/>
  <c r="G90" i="4"/>
  <c r="I90" i="4" s="1"/>
  <c r="K90" i="4" s="1"/>
  <c r="H90" i="4"/>
  <c r="G91" i="4"/>
  <c r="I91" i="4" s="1"/>
  <c r="K91" i="4" s="1"/>
  <c r="H91" i="4"/>
  <c r="G92" i="4"/>
  <c r="I92" i="4" s="1"/>
  <c r="K92" i="4" s="1"/>
  <c r="H92" i="4"/>
  <c r="G93" i="4"/>
  <c r="I93" i="4" s="1"/>
  <c r="K93" i="4" s="1"/>
  <c r="H93" i="4"/>
  <c r="G94" i="4"/>
  <c r="I94" i="4" s="1"/>
  <c r="K94" i="4" s="1"/>
  <c r="H94" i="4"/>
  <c r="G95" i="4"/>
  <c r="H95" i="4"/>
  <c r="G96" i="4"/>
  <c r="H96" i="4"/>
  <c r="G97" i="4"/>
  <c r="H97" i="4"/>
  <c r="G98" i="4"/>
  <c r="I98" i="4" s="1"/>
  <c r="K98" i="4" s="1"/>
  <c r="H98" i="4"/>
  <c r="G99" i="4"/>
  <c r="I99" i="4" s="1"/>
  <c r="K99" i="4" s="1"/>
  <c r="H99" i="4"/>
  <c r="G100" i="4"/>
  <c r="H100" i="4"/>
  <c r="G101" i="4"/>
  <c r="H101" i="4"/>
  <c r="G102" i="4"/>
  <c r="I102" i="4" s="1"/>
  <c r="K102" i="4" s="1"/>
  <c r="H102" i="4"/>
  <c r="G103" i="4"/>
  <c r="H103" i="4"/>
  <c r="G104" i="4"/>
  <c r="H104" i="4"/>
  <c r="G105" i="4"/>
  <c r="H105" i="4"/>
  <c r="G106" i="4"/>
  <c r="I106" i="4" s="1"/>
  <c r="K106" i="4" s="1"/>
  <c r="H106" i="4"/>
  <c r="G107" i="4"/>
  <c r="I107" i="4" s="1"/>
  <c r="K107" i="4" s="1"/>
  <c r="H107" i="4"/>
  <c r="G108" i="4"/>
  <c r="I108" i="4" s="1"/>
  <c r="K108" i="4" s="1"/>
  <c r="H108" i="4"/>
  <c r="G109" i="4"/>
  <c r="I109" i="4" s="1"/>
  <c r="K109" i="4" s="1"/>
  <c r="H109" i="4"/>
  <c r="G110" i="4"/>
  <c r="I110" i="4" s="1"/>
  <c r="K110" i="4" s="1"/>
  <c r="H110" i="4"/>
  <c r="G111" i="4"/>
  <c r="H111" i="4"/>
  <c r="G112" i="4"/>
  <c r="H112" i="4"/>
  <c r="G113" i="4"/>
  <c r="H113" i="4"/>
  <c r="G114" i="4"/>
  <c r="I114" i="4" s="1"/>
  <c r="K114" i="4" s="1"/>
  <c r="H114" i="4"/>
  <c r="G115" i="4"/>
  <c r="I115" i="4" s="1"/>
  <c r="K115" i="4" s="1"/>
  <c r="H115" i="4"/>
  <c r="G116" i="4"/>
  <c r="H116" i="4"/>
  <c r="G117" i="4"/>
  <c r="I117" i="4" s="1"/>
  <c r="K117" i="4" s="1"/>
  <c r="H117" i="4"/>
  <c r="G118" i="4"/>
  <c r="I118" i="4" s="1"/>
  <c r="K118" i="4" s="1"/>
  <c r="H118" i="4"/>
  <c r="G119" i="4"/>
  <c r="H119" i="4"/>
  <c r="G120" i="4"/>
  <c r="H120" i="4"/>
  <c r="G121" i="4"/>
  <c r="H121" i="4"/>
  <c r="G122" i="4"/>
  <c r="I122" i="4" s="1"/>
  <c r="K122" i="4" s="1"/>
  <c r="H122" i="4"/>
  <c r="G123" i="4"/>
  <c r="H123" i="4"/>
  <c r="G124" i="4"/>
  <c r="H124" i="4"/>
  <c r="G125" i="4"/>
  <c r="H125" i="4"/>
  <c r="G126" i="4"/>
  <c r="I126" i="4" s="1"/>
  <c r="K126" i="4" s="1"/>
  <c r="H126" i="4"/>
  <c r="G127" i="4"/>
  <c r="H127" i="4"/>
  <c r="G128" i="4"/>
  <c r="H128" i="4"/>
  <c r="G129" i="4"/>
  <c r="H129" i="4"/>
  <c r="G130" i="4"/>
  <c r="I130" i="4" s="1"/>
  <c r="K130" i="4" s="1"/>
  <c r="H130" i="4"/>
  <c r="G131" i="4"/>
  <c r="I131" i="4" s="1"/>
  <c r="K131" i="4" s="1"/>
  <c r="H131" i="4"/>
  <c r="G132" i="4"/>
  <c r="I132" i="4" s="1"/>
  <c r="K132" i="4" s="1"/>
  <c r="H132" i="4"/>
  <c r="G133" i="4"/>
  <c r="I133" i="4" s="1"/>
  <c r="K133" i="4" s="1"/>
  <c r="H133" i="4"/>
  <c r="G134" i="4"/>
  <c r="I134" i="4" s="1"/>
  <c r="K134" i="4" s="1"/>
  <c r="H134" i="4"/>
  <c r="G135" i="4"/>
  <c r="H135" i="4"/>
  <c r="G136" i="4"/>
  <c r="H136" i="4"/>
  <c r="G137" i="4"/>
  <c r="H137" i="4"/>
  <c r="G138" i="4"/>
  <c r="I138" i="4" s="1"/>
  <c r="K138" i="4" s="1"/>
  <c r="H138" i="4"/>
  <c r="G139" i="4"/>
  <c r="I139" i="4" s="1"/>
  <c r="K139" i="4" s="1"/>
  <c r="H139" i="4"/>
  <c r="G140" i="4"/>
  <c r="H140" i="4"/>
  <c r="G141" i="4"/>
  <c r="H141" i="4"/>
  <c r="G142" i="4"/>
  <c r="I142" i="4" s="1"/>
  <c r="K142" i="4" s="1"/>
  <c r="H142" i="4"/>
  <c r="G143" i="4"/>
  <c r="H143" i="4"/>
  <c r="G144" i="4"/>
  <c r="H144" i="4"/>
  <c r="G145" i="4"/>
  <c r="H145" i="4"/>
  <c r="G146" i="4"/>
  <c r="I146" i="4" s="1"/>
  <c r="K146" i="4" s="1"/>
  <c r="H146" i="4"/>
  <c r="G147" i="4"/>
  <c r="I147" i="4" s="1"/>
  <c r="K147" i="4" s="1"/>
  <c r="H147" i="4"/>
  <c r="G148" i="4"/>
  <c r="H148" i="4"/>
  <c r="G149" i="4"/>
  <c r="H149" i="4"/>
  <c r="G150" i="4"/>
  <c r="I150" i="4" s="1"/>
  <c r="K150" i="4" s="1"/>
  <c r="H150" i="4"/>
  <c r="G151" i="4"/>
  <c r="H151" i="4"/>
  <c r="G152" i="4"/>
  <c r="H152" i="4"/>
  <c r="G153" i="4"/>
  <c r="H153" i="4"/>
  <c r="G154" i="4"/>
  <c r="I154" i="4" s="1"/>
  <c r="K154" i="4" s="1"/>
  <c r="H154" i="4"/>
  <c r="G155" i="4"/>
  <c r="I155" i="4" s="1"/>
  <c r="K155" i="4" s="1"/>
  <c r="H155" i="4"/>
  <c r="G156" i="4"/>
  <c r="I156" i="4" s="1"/>
  <c r="K156" i="4" s="1"/>
  <c r="H156" i="4"/>
  <c r="G157" i="4"/>
  <c r="I157" i="4" s="1"/>
  <c r="K157" i="4" s="1"/>
  <c r="H157" i="4"/>
  <c r="G158" i="4"/>
  <c r="I158" i="4" s="1"/>
  <c r="K158" i="4" s="1"/>
  <c r="H158" i="4"/>
  <c r="G159" i="4"/>
  <c r="H159" i="4"/>
  <c r="G160" i="4"/>
  <c r="H160" i="4"/>
  <c r="G161" i="4"/>
  <c r="H161" i="4"/>
  <c r="G162" i="4"/>
  <c r="I162" i="4" s="1"/>
  <c r="K162" i="4" s="1"/>
  <c r="H162" i="4"/>
  <c r="G163" i="4"/>
  <c r="I163" i="4" s="1"/>
  <c r="K163" i="4" s="1"/>
  <c r="H163" i="4"/>
  <c r="G164" i="4"/>
  <c r="H164" i="4"/>
  <c r="G165" i="4"/>
  <c r="H165" i="4"/>
  <c r="G166" i="4"/>
  <c r="I166" i="4" s="1"/>
  <c r="K166" i="4" s="1"/>
  <c r="H166" i="4"/>
  <c r="G167" i="4"/>
  <c r="H167" i="4"/>
  <c r="G168" i="4"/>
  <c r="H168" i="4"/>
  <c r="G169" i="4"/>
  <c r="H169" i="4"/>
  <c r="G170" i="4"/>
  <c r="I170" i="4" s="1"/>
  <c r="K170" i="4" s="1"/>
  <c r="H170" i="4"/>
  <c r="G171" i="4"/>
  <c r="I171" i="4" s="1"/>
  <c r="K171" i="4" s="1"/>
  <c r="H171" i="4"/>
  <c r="G172" i="4"/>
  <c r="I172" i="4" s="1"/>
  <c r="K172" i="4" s="1"/>
  <c r="H172" i="4"/>
  <c r="G173" i="4"/>
  <c r="I173" i="4" s="1"/>
  <c r="K173" i="4" s="1"/>
  <c r="H173" i="4"/>
  <c r="G174" i="4"/>
  <c r="I174" i="4" s="1"/>
  <c r="K174" i="4" s="1"/>
  <c r="H174" i="4"/>
  <c r="G175" i="4"/>
  <c r="H175" i="4"/>
  <c r="G176" i="4"/>
  <c r="H176" i="4"/>
  <c r="G177" i="4"/>
  <c r="H177" i="4"/>
  <c r="G178" i="4"/>
  <c r="I178" i="4" s="1"/>
  <c r="K178" i="4" s="1"/>
  <c r="H178" i="4"/>
  <c r="G179" i="4"/>
  <c r="I179" i="4" s="1"/>
  <c r="K179" i="4" s="1"/>
  <c r="H179" i="4"/>
  <c r="G180" i="4"/>
  <c r="H180" i="4"/>
  <c r="G181" i="4"/>
  <c r="I181" i="4" s="1"/>
  <c r="K181" i="4" s="1"/>
  <c r="H181" i="4"/>
  <c r="G182" i="4"/>
  <c r="I182" i="4" s="1"/>
  <c r="K182" i="4" s="1"/>
  <c r="H182" i="4"/>
  <c r="G183" i="4"/>
  <c r="H183" i="4"/>
  <c r="G184" i="4"/>
  <c r="H184" i="4"/>
  <c r="G185" i="4"/>
  <c r="H185" i="4"/>
  <c r="G186" i="4"/>
  <c r="I186" i="4" s="1"/>
  <c r="K186" i="4" s="1"/>
  <c r="H186" i="4"/>
  <c r="G187" i="4"/>
  <c r="H187" i="4"/>
  <c r="G188" i="4"/>
  <c r="H188" i="4"/>
  <c r="G189" i="4"/>
  <c r="H189" i="4"/>
  <c r="G190" i="4"/>
  <c r="I190" i="4" s="1"/>
  <c r="K190" i="4" s="1"/>
  <c r="H190" i="4"/>
  <c r="G191" i="4"/>
  <c r="H191" i="4"/>
  <c r="G192" i="4"/>
  <c r="H192" i="4"/>
  <c r="G193" i="4"/>
  <c r="H193" i="4"/>
  <c r="G194" i="4"/>
  <c r="I194" i="4" s="1"/>
  <c r="K194" i="4" s="1"/>
  <c r="H194" i="4"/>
  <c r="G195" i="4"/>
  <c r="H195" i="4"/>
  <c r="G196" i="4"/>
  <c r="I196" i="4" s="1"/>
  <c r="K196" i="4" s="1"/>
  <c r="H196" i="4"/>
  <c r="G197" i="4"/>
  <c r="I197" i="4" s="1"/>
  <c r="K197" i="4" s="1"/>
  <c r="H197" i="4"/>
  <c r="G198" i="4"/>
  <c r="I198" i="4" s="1"/>
  <c r="K198" i="4" s="1"/>
  <c r="H198" i="4"/>
  <c r="G199" i="4"/>
  <c r="H199" i="4"/>
  <c r="G200" i="4"/>
  <c r="H200" i="4"/>
  <c r="G201" i="4"/>
  <c r="H201" i="4"/>
  <c r="G202" i="4"/>
  <c r="I202" i="4" s="1"/>
  <c r="K202" i="4" s="1"/>
  <c r="H202" i="4"/>
  <c r="G203" i="4"/>
  <c r="I203" i="4" s="1"/>
  <c r="K203" i="4" s="1"/>
  <c r="H203" i="4"/>
  <c r="G204" i="4"/>
  <c r="H204" i="4"/>
  <c r="G205" i="4"/>
  <c r="H205" i="4"/>
  <c r="G206" i="4"/>
  <c r="I206" i="4" s="1"/>
  <c r="K206" i="4" s="1"/>
  <c r="H206" i="4"/>
  <c r="G207" i="4"/>
  <c r="H207" i="4"/>
  <c r="G208" i="4"/>
  <c r="H208" i="4"/>
  <c r="G209" i="4"/>
  <c r="H209" i="4"/>
  <c r="G210" i="4"/>
  <c r="I210" i="4" s="1"/>
  <c r="K210" i="4" s="1"/>
  <c r="H210" i="4"/>
  <c r="G211" i="4"/>
  <c r="H211" i="4"/>
  <c r="G212" i="4"/>
  <c r="H212" i="4"/>
  <c r="G213" i="4"/>
  <c r="H213" i="4"/>
  <c r="G214" i="4"/>
  <c r="I214" i="4" s="1"/>
  <c r="K214" i="4" s="1"/>
  <c r="H214" i="4"/>
  <c r="G215" i="4"/>
  <c r="H215" i="4"/>
  <c r="G216" i="4"/>
  <c r="H216" i="4"/>
  <c r="G217" i="4"/>
  <c r="H217" i="4"/>
  <c r="G218" i="4"/>
  <c r="I218" i="4" s="1"/>
  <c r="K218" i="4" s="1"/>
  <c r="H218" i="4"/>
  <c r="G219" i="4"/>
  <c r="I219" i="4" s="1"/>
  <c r="K219" i="4" s="1"/>
  <c r="H219" i="4"/>
  <c r="G220" i="4"/>
  <c r="H220" i="4"/>
  <c r="G221" i="4"/>
  <c r="I221" i="4" s="1"/>
  <c r="K221" i="4" s="1"/>
  <c r="H221" i="4"/>
  <c r="G222" i="4"/>
  <c r="I222" i="4" s="1"/>
  <c r="K222" i="4" s="1"/>
  <c r="H222" i="4"/>
  <c r="G223" i="4"/>
  <c r="H223" i="4"/>
  <c r="G224" i="4"/>
  <c r="H224" i="4"/>
  <c r="G225" i="4"/>
  <c r="H225" i="4"/>
  <c r="G226" i="4"/>
  <c r="I226" i="4" s="1"/>
  <c r="K226" i="4" s="1"/>
  <c r="H226" i="4"/>
  <c r="G227" i="4"/>
  <c r="I227" i="4" s="1"/>
  <c r="K227" i="4" s="1"/>
  <c r="H227" i="4"/>
  <c r="G228" i="4"/>
  <c r="H228" i="4"/>
  <c r="G229" i="4"/>
  <c r="H229" i="4"/>
  <c r="G230" i="4"/>
  <c r="I230" i="4" s="1"/>
  <c r="K230" i="4" s="1"/>
  <c r="H230" i="4"/>
  <c r="G231" i="4"/>
  <c r="H231" i="4"/>
  <c r="G232" i="4"/>
  <c r="H232" i="4"/>
  <c r="G233" i="4"/>
  <c r="H233" i="4"/>
  <c r="G234" i="4"/>
  <c r="I234" i="4" s="1"/>
  <c r="K234" i="4" s="1"/>
  <c r="H234" i="4"/>
  <c r="G235" i="4"/>
  <c r="H235" i="4"/>
  <c r="G236" i="4"/>
  <c r="H236" i="4"/>
  <c r="G237" i="4"/>
  <c r="I237" i="4" s="1"/>
  <c r="K237" i="4" s="1"/>
  <c r="H237" i="4"/>
  <c r="G238" i="4"/>
  <c r="I238" i="4" s="1"/>
  <c r="K238" i="4" s="1"/>
  <c r="H238" i="4"/>
  <c r="G239" i="4"/>
  <c r="H239" i="4"/>
  <c r="G240" i="4"/>
  <c r="H240" i="4"/>
  <c r="G241" i="4"/>
  <c r="H241" i="4"/>
  <c r="G242" i="4"/>
  <c r="I242" i="4" s="1"/>
  <c r="K242" i="4" s="1"/>
  <c r="H242" i="4"/>
  <c r="G243" i="4"/>
  <c r="I243" i="4" s="1"/>
  <c r="K243" i="4" s="1"/>
  <c r="H243" i="4"/>
  <c r="G244" i="4"/>
  <c r="H244" i="4"/>
  <c r="G245" i="4"/>
  <c r="I245" i="4" s="1"/>
  <c r="K245" i="4" s="1"/>
  <c r="H245" i="4"/>
  <c r="G246" i="4"/>
  <c r="I246" i="4" s="1"/>
  <c r="K246" i="4" s="1"/>
  <c r="H246" i="4"/>
  <c r="G247" i="4"/>
  <c r="H247" i="4"/>
  <c r="G248" i="4"/>
  <c r="H248" i="4"/>
  <c r="G249" i="4"/>
  <c r="H249" i="4"/>
  <c r="G250" i="4"/>
  <c r="I250" i="4" s="1"/>
  <c r="K250" i="4" s="1"/>
  <c r="H250" i="4"/>
  <c r="G251" i="4"/>
  <c r="I251" i="4" s="1"/>
  <c r="K251" i="4" s="1"/>
  <c r="H251" i="4"/>
  <c r="G252" i="4"/>
  <c r="H252" i="4"/>
  <c r="G253" i="4"/>
  <c r="H253" i="4"/>
  <c r="G254" i="4"/>
  <c r="I254" i="4" s="1"/>
  <c r="K254" i="4" s="1"/>
  <c r="H254" i="4"/>
  <c r="G255" i="4"/>
  <c r="H255" i="4"/>
  <c r="G256" i="4"/>
  <c r="H256" i="4"/>
  <c r="G257" i="4"/>
  <c r="H257" i="4"/>
  <c r="G258" i="4"/>
  <c r="I258" i="4" s="1"/>
  <c r="K258" i="4" s="1"/>
  <c r="H258" i="4"/>
  <c r="G259" i="4"/>
  <c r="I259" i="4" s="1"/>
  <c r="K259" i="4" s="1"/>
  <c r="H259" i="4"/>
  <c r="G260" i="4"/>
  <c r="H260" i="4"/>
  <c r="G261" i="4"/>
  <c r="I261" i="4" s="1"/>
  <c r="K261" i="4" s="1"/>
  <c r="H261" i="4"/>
  <c r="G262" i="4"/>
  <c r="I262" i="4" s="1"/>
  <c r="K262" i="4" s="1"/>
  <c r="H262" i="4"/>
  <c r="G263" i="4"/>
  <c r="H263" i="4"/>
  <c r="G264" i="4"/>
  <c r="H264" i="4"/>
  <c r="G265" i="4"/>
  <c r="H265" i="4"/>
  <c r="G266" i="4"/>
  <c r="I266" i="4" s="1"/>
  <c r="K266" i="4" s="1"/>
  <c r="H266" i="4"/>
  <c r="G267" i="4"/>
  <c r="I267" i="4" s="1"/>
  <c r="K267" i="4" s="1"/>
  <c r="H267" i="4"/>
  <c r="G268" i="4"/>
  <c r="H268" i="4"/>
  <c r="G269" i="4"/>
  <c r="H269" i="4"/>
  <c r="G270" i="4"/>
  <c r="I270" i="4" s="1"/>
  <c r="K270" i="4" s="1"/>
  <c r="H270" i="4"/>
  <c r="G271" i="4"/>
  <c r="H271" i="4"/>
  <c r="G272" i="4"/>
  <c r="H272" i="4"/>
  <c r="G273" i="4"/>
  <c r="H273" i="4"/>
  <c r="G274" i="4"/>
  <c r="I274" i="4" s="1"/>
  <c r="K274" i="4" s="1"/>
  <c r="H274" i="4"/>
  <c r="G275" i="4"/>
  <c r="I275" i="4" s="1"/>
  <c r="K275" i="4" s="1"/>
  <c r="H275" i="4"/>
  <c r="G276" i="4"/>
  <c r="I276" i="4" s="1"/>
  <c r="K276" i="4" s="1"/>
  <c r="H276" i="4"/>
  <c r="G277" i="4"/>
  <c r="H277" i="4"/>
  <c r="G278" i="4"/>
  <c r="I278" i="4" s="1"/>
  <c r="K278" i="4" s="1"/>
  <c r="H278" i="4"/>
  <c r="G279" i="4"/>
  <c r="H279" i="4"/>
  <c r="G280" i="4"/>
  <c r="H280" i="4"/>
  <c r="G281" i="4"/>
  <c r="H281" i="4"/>
  <c r="G282" i="4"/>
  <c r="I282" i="4" s="1"/>
  <c r="K282" i="4" s="1"/>
  <c r="H282" i="4"/>
  <c r="G283" i="4"/>
  <c r="I283" i="4" s="1"/>
  <c r="K283" i="4" s="1"/>
  <c r="H283" i="4"/>
  <c r="G284" i="4"/>
  <c r="I284" i="4" s="1"/>
  <c r="K284" i="4" s="1"/>
  <c r="H284" i="4"/>
  <c r="G285" i="4"/>
  <c r="I285" i="4" s="1"/>
  <c r="K285" i="4" s="1"/>
  <c r="H285" i="4"/>
  <c r="G286" i="4"/>
  <c r="I286" i="4" s="1"/>
  <c r="K286" i="4" s="1"/>
  <c r="H286" i="4"/>
  <c r="G287" i="4"/>
  <c r="H287" i="4"/>
  <c r="G288" i="4"/>
  <c r="H288" i="4"/>
  <c r="G289" i="4"/>
  <c r="H289" i="4"/>
  <c r="G290" i="4"/>
  <c r="I290" i="4" s="1"/>
  <c r="K290" i="4" s="1"/>
  <c r="H290" i="4"/>
  <c r="G291" i="4"/>
  <c r="I291" i="4" s="1"/>
  <c r="K291" i="4" s="1"/>
  <c r="H291" i="4"/>
  <c r="G292" i="4"/>
  <c r="H292" i="4"/>
  <c r="G293" i="4"/>
  <c r="H293" i="4"/>
  <c r="G294" i="4"/>
  <c r="I294" i="4" s="1"/>
  <c r="K294" i="4" s="1"/>
  <c r="H294" i="4"/>
  <c r="G295" i="4"/>
  <c r="H295" i="4"/>
  <c r="G296" i="4"/>
  <c r="H296" i="4"/>
  <c r="G297" i="4"/>
  <c r="H297" i="4"/>
  <c r="G298" i="4"/>
  <c r="I298" i="4" s="1"/>
  <c r="K298" i="4" s="1"/>
  <c r="H298" i="4"/>
  <c r="G299" i="4"/>
  <c r="I299" i="4" s="1"/>
  <c r="K299" i="4" s="1"/>
  <c r="H299" i="4"/>
  <c r="G300" i="4"/>
  <c r="I300" i="4" s="1"/>
  <c r="K300" i="4" s="1"/>
  <c r="H300" i="4"/>
  <c r="G301" i="4"/>
  <c r="I301" i="4" s="1"/>
  <c r="K301" i="4" s="1"/>
  <c r="H301" i="4"/>
  <c r="G302" i="4"/>
  <c r="I302" i="4" s="1"/>
  <c r="K302" i="4" s="1"/>
  <c r="H302" i="4"/>
  <c r="G303" i="4"/>
  <c r="H303" i="4"/>
  <c r="G304" i="4"/>
  <c r="H304" i="4"/>
  <c r="G305" i="4"/>
  <c r="H305" i="4"/>
  <c r="G306" i="4"/>
  <c r="I306" i="4" s="1"/>
  <c r="K306" i="4" s="1"/>
  <c r="H306" i="4"/>
  <c r="G307" i="4"/>
  <c r="H307" i="4"/>
  <c r="G308" i="4"/>
  <c r="H308" i="4"/>
  <c r="G309" i="4"/>
  <c r="I309" i="4" s="1"/>
  <c r="K309" i="4" s="1"/>
  <c r="H309" i="4"/>
  <c r="G310" i="4"/>
  <c r="I310" i="4" s="1"/>
  <c r="K310" i="4" s="1"/>
  <c r="H310" i="4"/>
  <c r="G311" i="4"/>
  <c r="H311" i="4"/>
  <c r="G312" i="4"/>
  <c r="H312" i="4"/>
  <c r="G313" i="4"/>
  <c r="H313" i="4"/>
  <c r="G314" i="4"/>
  <c r="I314" i="4" s="1"/>
  <c r="K314" i="4" s="1"/>
  <c r="H314" i="4"/>
  <c r="G315" i="4"/>
  <c r="I315" i="4" s="1"/>
  <c r="K315" i="4" s="1"/>
  <c r="H315" i="4"/>
  <c r="G316" i="4"/>
  <c r="H316" i="4"/>
  <c r="G317" i="4"/>
  <c r="H317" i="4"/>
  <c r="G318" i="4"/>
  <c r="I318" i="4" s="1"/>
  <c r="K318" i="4" s="1"/>
  <c r="H318" i="4"/>
  <c r="G319" i="4"/>
  <c r="H319" i="4"/>
  <c r="G320" i="4"/>
  <c r="H320" i="4"/>
  <c r="G321" i="4"/>
  <c r="H321" i="4"/>
  <c r="G322" i="4"/>
  <c r="I322" i="4" s="1"/>
  <c r="K322" i="4" s="1"/>
  <c r="H322" i="4"/>
  <c r="G323" i="4"/>
  <c r="I323" i="4" s="1"/>
  <c r="K323" i="4" s="1"/>
  <c r="H323" i="4"/>
  <c r="G324" i="4"/>
  <c r="I324" i="4" s="1"/>
  <c r="K324" i="4" s="1"/>
  <c r="H324" i="4"/>
  <c r="G325" i="4"/>
  <c r="I325" i="4" s="1"/>
  <c r="K325" i="4" s="1"/>
  <c r="H325" i="4"/>
  <c r="G326" i="4"/>
  <c r="I326" i="4" s="1"/>
  <c r="K326" i="4" s="1"/>
  <c r="H326" i="4"/>
  <c r="G327" i="4"/>
  <c r="H327" i="4"/>
  <c r="G328" i="4"/>
  <c r="H328" i="4"/>
  <c r="G329" i="4"/>
  <c r="H329" i="4"/>
  <c r="G330" i="4"/>
  <c r="I330" i="4" s="1"/>
  <c r="K330" i="4" s="1"/>
  <c r="H330" i="4"/>
  <c r="G331" i="4"/>
  <c r="H331" i="4"/>
  <c r="G332" i="4"/>
  <c r="H332" i="4"/>
  <c r="G333" i="4"/>
  <c r="H333" i="4"/>
  <c r="G334" i="4"/>
  <c r="I334" i="4" s="1"/>
  <c r="K334" i="4" s="1"/>
  <c r="H334" i="4"/>
  <c r="G335" i="4"/>
  <c r="H335" i="4"/>
  <c r="G336" i="4"/>
  <c r="H336" i="4"/>
  <c r="G337" i="4"/>
  <c r="H337" i="4"/>
  <c r="G338" i="4"/>
  <c r="I338" i="4" s="1"/>
  <c r="K338" i="4" s="1"/>
  <c r="H338" i="4"/>
  <c r="G339" i="4"/>
  <c r="I339" i="4" s="1"/>
  <c r="K339" i="4" s="1"/>
  <c r="H339" i="4"/>
  <c r="G340" i="4"/>
  <c r="I340" i="4" s="1"/>
  <c r="K340" i="4" s="1"/>
  <c r="H340" i="4"/>
  <c r="G341" i="4"/>
  <c r="H341" i="4"/>
  <c r="G342" i="4"/>
  <c r="I342" i="4" s="1"/>
  <c r="K342" i="4" s="1"/>
  <c r="H342" i="4"/>
  <c r="G343" i="4"/>
  <c r="H343" i="4"/>
  <c r="G344" i="4"/>
  <c r="H344" i="4"/>
  <c r="G345" i="4"/>
  <c r="H345" i="4"/>
  <c r="G346" i="4"/>
  <c r="I346" i="4" s="1"/>
  <c r="K346" i="4" s="1"/>
  <c r="H346" i="4"/>
  <c r="G347" i="4"/>
  <c r="H347" i="4"/>
  <c r="G348" i="4"/>
  <c r="I348" i="4" s="1"/>
  <c r="K348" i="4" s="1"/>
  <c r="H348" i="4"/>
  <c r="G349" i="4"/>
  <c r="I349" i="4" s="1"/>
  <c r="K349" i="4" s="1"/>
  <c r="H349" i="4"/>
  <c r="G350" i="4"/>
  <c r="I350" i="4" s="1"/>
  <c r="K350" i="4" s="1"/>
  <c r="H350" i="4"/>
  <c r="G351" i="4"/>
  <c r="H351" i="4"/>
  <c r="G352" i="4"/>
  <c r="H352" i="4"/>
  <c r="G353" i="4"/>
  <c r="H353" i="4"/>
  <c r="G354" i="4"/>
  <c r="I354" i="4" s="1"/>
  <c r="K354" i="4" s="1"/>
  <c r="H354" i="4"/>
  <c r="G355" i="4"/>
  <c r="H355" i="4"/>
  <c r="G356" i="4"/>
  <c r="H356" i="4"/>
  <c r="G357" i="4"/>
  <c r="H357" i="4"/>
  <c r="G358" i="4"/>
  <c r="I358" i="4" s="1"/>
  <c r="K358" i="4" s="1"/>
  <c r="H358" i="4"/>
  <c r="G359" i="4"/>
  <c r="H359" i="4"/>
  <c r="G360" i="4"/>
  <c r="H360" i="4"/>
  <c r="G361" i="4"/>
  <c r="H361" i="4"/>
  <c r="G362" i="4"/>
  <c r="I362" i="4" s="1"/>
  <c r="K362" i="4" s="1"/>
  <c r="H362" i="4"/>
  <c r="G363" i="4"/>
  <c r="I363" i="4" s="1"/>
  <c r="K363" i="4" s="1"/>
  <c r="H363" i="4"/>
  <c r="G364" i="4"/>
  <c r="I364" i="4" s="1"/>
  <c r="K364" i="4" s="1"/>
  <c r="H364" i="4"/>
  <c r="G365" i="4"/>
  <c r="I365" i="4" s="1"/>
  <c r="K365" i="4" s="1"/>
  <c r="H365" i="4"/>
  <c r="G366" i="4"/>
  <c r="I366" i="4" s="1"/>
  <c r="K366" i="4" s="1"/>
  <c r="H366" i="4"/>
  <c r="G367" i="4"/>
  <c r="H367" i="4"/>
  <c r="G368" i="4"/>
  <c r="H368" i="4"/>
  <c r="G369" i="4"/>
  <c r="H369" i="4"/>
  <c r="G370" i="4"/>
  <c r="I370" i="4" s="1"/>
  <c r="K370" i="4" s="1"/>
  <c r="H370" i="4"/>
  <c r="G371" i="4"/>
  <c r="H371" i="4"/>
  <c r="G372" i="4"/>
  <c r="H372" i="4"/>
  <c r="G373" i="4"/>
  <c r="I373" i="4" s="1"/>
  <c r="K373" i="4" s="1"/>
  <c r="H373" i="4"/>
  <c r="G374" i="4"/>
  <c r="I374" i="4" s="1"/>
  <c r="K374" i="4" s="1"/>
  <c r="H374" i="4"/>
  <c r="G375" i="4"/>
  <c r="H375" i="4"/>
  <c r="G376" i="4"/>
  <c r="H376" i="4"/>
  <c r="G377" i="4"/>
  <c r="H377" i="4"/>
  <c r="G378" i="4"/>
  <c r="I378" i="4" s="1"/>
  <c r="K378" i="4" s="1"/>
  <c r="H378" i="4"/>
  <c r="G379" i="4"/>
  <c r="I379" i="4" s="1"/>
  <c r="K379" i="4" s="1"/>
  <c r="H379" i="4"/>
  <c r="G380" i="4"/>
  <c r="H380" i="4"/>
  <c r="G381" i="4"/>
  <c r="H381" i="4"/>
  <c r="G382" i="4"/>
  <c r="I382" i="4" s="1"/>
  <c r="K382" i="4" s="1"/>
  <c r="H382" i="4"/>
  <c r="G383" i="4"/>
  <c r="H383" i="4"/>
  <c r="G384" i="4"/>
  <c r="H384" i="4"/>
  <c r="G385" i="4"/>
  <c r="H385" i="4"/>
  <c r="G386" i="4"/>
  <c r="I386" i="4" s="1"/>
  <c r="K386" i="4" s="1"/>
  <c r="H386" i="4"/>
  <c r="G387" i="4"/>
  <c r="I387" i="4" s="1"/>
  <c r="K387" i="4" s="1"/>
  <c r="H387" i="4"/>
  <c r="G388" i="4"/>
  <c r="I388" i="4" s="1"/>
  <c r="K388" i="4" s="1"/>
  <c r="H388" i="4"/>
  <c r="G389" i="4"/>
  <c r="I389" i="4" s="1"/>
  <c r="K389" i="4" s="1"/>
  <c r="H389" i="4"/>
  <c r="G390" i="4"/>
  <c r="I390" i="4" s="1"/>
  <c r="K390" i="4" s="1"/>
  <c r="H390" i="4"/>
  <c r="G391" i="4"/>
  <c r="H391" i="4"/>
  <c r="G392" i="4"/>
  <c r="H392" i="4"/>
  <c r="G393" i="4"/>
  <c r="H393" i="4"/>
  <c r="G394" i="4"/>
  <c r="I394" i="4" s="1"/>
  <c r="K394" i="4" s="1"/>
  <c r="H394" i="4"/>
  <c r="G395" i="4"/>
  <c r="H395" i="4"/>
  <c r="G396" i="4"/>
  <c r="H396" i="4"/>
  <c r="G397" i="4"/>
  <c r="H397" i="4"/>
  <c r="G398" i="4"/>
  <c r="I398" i="4" s="1"/>
  <c r="K398" i="4" s="1"/>
  <c r="H398" i="4"/>
  <c r="G399" i="4"/>
  <c r="H399" i="4"/>
  <c r="G400" i="4"/>
  <c r="H400" i="4"/>
  <c r="G401" i="4"/>
  <c r="H401" i="4"/>
  <c r="G402" i="4"/>
  <c r="I402" i="4" s="1"/>
  <c r="K402" i="4" s="1"/>
  <c r="H402" i="4"/>
  <c r="G403" i="4"/>
  <c r="H403" i="4"/>
  <c r="G404" i="4"/>
  <c r="H404" i="4"/>
  <c r="G405" i="4"/>
  <c r="H405" i="4"/>
  <c r="G406" i="4"/>
  <c r="I406" i="4" s="1"/>
  <c r="K406" i="4" s="1"/>
  <c r="H406" i="4"/>
  <c r="G407" i="4"/>
  <c r="H407" i="4"/>
  <c r="G408" i="4"/>
  <c r="H408" i="4"/>
  <c r="G409" i="4"/>
  <c r="H409" i="4"/>
  <c r="G410" i="4"/>
  <c r="I410" i="4" s="1"/>
  <c r="K410" i="4" s="1"/>
  <c r="H410" i="4"/>
  <c r="G411" i="4"/>
  <c r="H411" i="4"/>
  <c r="G412" i="4"/>
  <c r="I412" i="4" s="1"/>
  <c r="K412" i="4" s="1"/>
  <c r="H412" i="4"/>
  <c r="G413" i="4"/>
  <c r="I413" i="4" s="1"/>
  <c r="K413" i="4" s="1"/>
  <c r="H413" i="4"/>
  <c r="G414" i="4"/>
  <c r="I414" i="4" s="1"/>
  <c r="K414" i="4" s="1"/>
  <c r="H414" i="4"/>
  <c r="G415" i="4"/>
  <c r="H415" i="4"/>
  <c r="G416" i="4"/>
  <c r="H416" i="4"/>
  <c r="G417" i="4"/>
  <c r="H417" i="4"/>
  <c r="G418" i="4"/>
  <c r="I418" i="4" s="1"/>
  <c r="K418" i="4" s="1"/>
  <c r="H418" i="4"/>
  <c r="G419" i="4"/>
  <c r="H419" i="4"/>
  <c r="G420" i="4"/>
  <c r="H420" i="4"/>
  <c r="G421" i="4"/>
  <c r="H421" i="4"/>
  <c r="G422" i="4"/>
  <c r="I422" i="4" s="1"/>
  <c r="K422" i="4" s="1"/>
  <c r="H422" i="4"/>
  <c r="G423" i="4"/>
  <c r="H423" i="4"/>
  <c r="G424" i="4"/>
  <c r="H424" i="4"/>
  <c r="G425" i="4"/>
  <c r="H425" i="4"/>
  <c r="G426" i="4"/>
  <c r="I426" i="4" s="1"/>
  <c r="K426" i="4" s="1"/>
  <c r="H426" i="4"/>
  <c r="G427" i="4"/>
  <c r="H427" i="4"/>
  <c r="G428" i="4"/>
  <c r="H428" i="4"/>
  <c r="G429" i="4"/>
  <c r="I429" i="4" s="1"/>
  <c r="K429" i="4" s="1"/>
  <c r="H429" i="4"/>
  <c r="G430" i="4"/>
  <c r="I430" i="4" s="1"/>
  <c r="K430" i="4" s="1"/>
  <c r="H430" i="4"/>
  <c r="G431" i="4"/>
  <c r="H431" i="4"/>
  <c r="G432" i="4"/>
  <c r="H432" i="4"/>
  <c r="G433" i="4"/>
  <c r="H433" i="4"/>
  <c r="G434" i="4"/>
  <c r="I434" i="4" s="1"/>
  <c r="K434" i="4" s="1"/>
  <c r="H434" i="4"/>
  <c r="G435" i="4"/>
  <c r="H435" i="4"/>
  <c r="G436" i="4"/>
  <c r="H436" i="4"/>
  <c r="G437" i="4"/>
  <c r="I437" i="4" s="1"/>
  <c r="K437" i="4" s="1"/>
  <c r="H437" i="4"/>
  <c r="G438" i="4"/>
  <c r="I438" i="4" s="1"/>
  <c r="K438" i="4" s="1"/>
  <c r="H438" i="4"/>
  <c r="G439" i="4"/>
  <c r="H439" i="4"/>
  <c r="G440" i="4"/>
  <c r="H440" i="4"/>
  <c r="G441" i="4"/>
  <c r="H441" i="4"/>
  <c r="G442" i="4"/>
  <c r="I442" i="4" s="1"/>
  <c r="K442" i="4" s="1"/>
  <c r="H442" i="4"/>
  <c r="G443" i="4"/>
  <c r="I443" i="4" s="1"/>
  <c r="K443" i="4" s="1"/>
  <c r="H443" i="4"/>
  <c r="G444" i="4"/>
  <c r="H444" i="4"/>
  <c r="G445" i="4"/>
  <c r="H445" i="4"/>
  <c r="G446" i="4"/>
  <c r="I446" i="4" s="1"/>
  <c r="K446" i="4" s="1"/>
  <c r="H446" i="4"/>
  <c r="G447" i="4"/>
  <c r="H447" i="4"/>
  <c r="G448" i="4"/>
  <c r="H448" i="4"/>
  <c r="G449" i="4"/>
  <c r="H449" i="4"/>
  <c r="G450" i="4"/>
  <c r="I450" i="4" s="1"/>
  <c r="K450" i="4" s="1"/>
  <c r="H450" i="4"/>
  <c r="G451" i="4"/>
  <c r="I451" i="4" s="1"/>
  <c r="K451" i="4" s="1"/>
  <c r="H451" i="4"/>
  <c r="G452" i="4"/>
  <c r="I452" i="4" s="1"/>
  <c r="K452" i="4" s="1"/>
  <c r="H452" i="4"/>
  <c r="G453" i="4"/>
  <c r="I453" i="4" s="1"/>
  <c r="K453" i="4" s="1"/>
  <c r="H453" i="4"/>
  <c r="G454" i="4"/>
  <c r="I454" i="4" s="1"/>
  <c r="K454" i="4" s="1"/>
  <c r="H454" i="4"/>
  <c r="G455" i="4"/>
  <c r="H455" i="4"/>
  <c r="G456" i="4"/>
  <c r="H456" i="4"/>
  <c r="G457" i="4"/>
  <c r="H457" i="4"/>
  <c r="G458" i="4"/>
  <c r="I458" i="4" s="1"/>
  <c r="K458" i="4" s="1"/>
  <c r="H458" i="4"/>
  <c r="G459" i="4"/>
  <c r="H459" i="4"/>
  <c r="G460" i="4"/>
  <c r="H460" i="4"/>
  <c r="G461" i="4"/>
  <c r="H461" i="4"/>
  <c r="G462" i="4"/>
  <c r="I462" i="4" s="1"/>
  <c r="K462" i="4" s="1"/>
  <c r="H462" i="4"/>
  <c r="G463" i="4"/>
  <c r="H463" i="4"/>
  <c r="G464" i="4"/>
  <c r="H464" i="4"/>
  <c r="G465" i="4"/>
  <c r="H465" i="4"/>
  <c r="G466" i="4"/>
  <c r="I466" i="4" s="1"/>
  <c r="K466" i="4" s="1"/>
  <c r="H466" i="4"/>
  <c r="G467" i="4"/>
  <c r="H467" i="4"/>
  <c r="G468" i="4"/>
  <c r="I468" i="4" s="1"/>
  <c r="K468" i="4" s="1"/>
  <c r="H468" i="4"/>
  <c r="G469" i="4"/>
  <c r="H469" i="4"/>
  <c r="G470" i="4"/>
  <c r="I470" i="4" s="1"/>
  <c r="K470" i="4" s="1"/>
  <c r="H470" i="4"/>
  <c r="G471" i="4"/>
  <c r="H471" i="4"/>
  <c r="G472" i="4"/>
  <c r="H472" i="4"/>
  <c r="G473" i="4"/>
  <c r="H473" i="4"/>
  <c r="G474" i="4"/>
  <c r="I474" i="4" s="1"/>
  <c r="K474" i="4" s="1"/>
  <c r="H474" i="4"/>
  <c r="G475" i="4"/>
  <c r="H475" i="4"/>
  <c r="G476" i="4"/>
  <c r="I476" i="4" s="1"/>
  <c r="K476" i="4" s="1"/>
  <c r="H476" i="4"/>
  <c r="G477" i="4"/>
  <c r="I477" i="4" s="1"/>
  <c r="K477" i="4" s="1"/>
  <c r="H477" i="4"/>
  <c r="G478" i="4"/>
  <c r="I478" i="4" s="1"/>
  <c r="K478" i="4" s="1"/>
  <c r="H478" i="4"/>
  <c r="G479" i="4"/>
  <c r="H479" i="4"/>
  <c r="G480" i="4"/>
  <c r="H480" i="4"/>
  <c r="G481" i="4"/>
  <c r="H481" i="4"/>
  <c r="G482" i="4"/>
  <c r="I482" i="4" s="1"/>
  <c r="K482" i="4" s="1"/>
  <c r="H482" i="4"/>
  <c r="G483" i="4"/>
  <c r="H483" i="4"/>
  <c r="G484" i="4"/>
  <c r="H484" i="4"/>
  <c r="G485" i="4"/>
  <c r="H485" i="4"/>
  <c r="G486" i="4"/>
  <c r="I486" i="4" s="1"/>
  <c r="K486" i="4" s="1"/>
  <c r="H486" i="4"/>
  <c r="G487" i="4"/>
  <c r="H487" i="4"/>
  <c r="G488" i="4"/>
  <c r="H488" i="4"/>
  <c r="G489" i="4"/>
  <c r="H489" i="4"/>
  <c r="G490" i="4"/>
  <c r="I490" i="4" s="1"/>
  <c r="K490" i="4" s="1"/>
  <c r="H490" i="4"/>
  <c r="G491" i="4"/>
  <c r="H491" i="4"/>
  <c r="G492" i="4"/>
  <c r="I492" i="4" s="1"/>
  <c r="K492" i="4" s="1"/>
  <c r="H492" i="4"/>
  <c r="G493" i="4"/>
  <c r="I493" i="4" s="1"/>
  <c r="K493" i="4" s="1"/>
  <c r="H493" i="4"/>
  <c r="G494" i="4"/>
  <c r="I494" i="4" s="1"/>
  <c r="K494" i="4" s="1"/>
  <c r="H494" i="4"/>
  <c r="G495" i="4"/>
  <c r="H495" i="4"/>
  <c r="G496" i="4"/>
  <c r="H496" i="4"/>
  <c r="G497" i="4"/>
  <c r="H497" i="4"/>
  <c r="G498" i="4"/>
  <c r="I498" i="4" s="1"/>
  <c r="K498" i="4" s="1"/>
  <c r="H498" i="4"/>
  <c r="G499" i="4"/>
  <c r="H499" i="4"/>
  <c r="G500" i="4"/>
  <c r="H500" i="4"/>
  <c r="G501" i="4"/>
  <c r="I501" i="4" s="1"/>
  <c r="K501" i="4" s="1"/>
  <c r="H501" i="4"/>
  <c r="G502" i="4"/>
  <c r="I502" i="4" s="1"/>
  <c r="K502" i="4" s="1"/>
  <c r="H502" i="4"/>
  <c r="G503" i="4"/>
  <c r="H503" i="4"/>
  <c r="G504" i="4"/>
  <c r="H504" i="4"/>
  <c r="G505" i="4"/>
  <c r="H505" i="4"/>
  <c r="G506" i="4"/>
  <c r="I506" i="4" s="1"/>
  <c r="K506" i="4" s="1"/>
  <c r="H506" i="4"/>
  <c r="G507" i="4"/>
  <c r="I507" i="4" s="1"/>
  <c r="K507" i="4" s="1"/>
  <c r="H507" i="4"/>
  <c r="G508" i="4"/>
  <c r="H508" i="4"/>
  <c r="G509" i="4"/>
  <c r="H509" i="4"/>
  <c r="G510" i="4"/>
  <c r="I510" i="4" s="1"/>
  <c r="K510" i="4" s="1"/>
  <c r="H510" i="4"/>
  <c r="G511" i="4"/>
  <c r="H511" i="4"/>
  <c r="G512" i="4"/>
  <c r="H512" i="4"/>
  <c r="G513" i="4"/>
  <c r="H513" i="4"/>
  <c r="G514" i="4"/>
  <c r="I514" i="4" s="1"/>
  <c r="K514" i="4" s="1"/>
  <c r="H514" i="4"/>
  <c r="G515" i="4"/>
  <c r="H515" i="4"/>
  <c r="G516" i="4"/>
  <c r="H516" i="4"/>
  <c r="G517" i="4"/>
  <c r="I517" i="4" s="1"/>
  <c r="K517" i="4" s="1"/>
  <c r="H517" i="4"/>
  <c r="G518" i="4"/>
  <c r="I518" i="4" s="1"/>
  <c r="K518" i="4" s="1"/>
  <c r="H518" i="4"/>
  <c r="G519" i="4"/>
  <c r="H519" i="4"/>
  <c r="G520" i="4"/>
  <c r="H520" i="4"/>
  <c r="G521" i="4"/>
  <c r="H521" i="4"/>
  <c r="G522" i="4"/>
  <c r="I522" i="4" s="1"/>
  <c r="K522" i="4" s="1"/>
  <c r="H522" i="4"/>
  <c r="G523" i="4"/>
  <c r="H523" i="4"/>
  <c r="G524" i="4"/>
  <c r="H524" i="4"/>
  <c r="G525" i="4"/>
  <c r="H525" i="4"/>
  <c r="G526" i="4"/>
  <c r="I526" i="4" s="1"/>
  <c r="K526" i="4" s="1"/>
  <c r="H526" i="4"/>
  <c r="G527" i="4"/>
  <c r="H527" i="4"/>
  <c r="G528" i="4"/>
  <c r="H528" i="4"/>
  <c r="G529" i="4"/>
  <c r="H529" i="4"/>
  <c r="G530" i="4"/>
  <c r="I530" i="4" s="1"/>
  <c r="K530" i="4" s="1"/>
  <c r="H530" i="4"/>
  <c r="G531" i="4"/>
  <c r="I531" i="4" s="1"/>
  <c r="K531" i="4" s="1"/>
  <c r="H531" i="4"/>
  <c r="G532" i="4"/>
  <c r="I532" i="4" s="1"/>
  <c r="K532" i="4" s="1"/>
  <c r="H532" i="4"/>
  <c r="G533" i="4"/>
  <c r="H533" i="4"/>
  <c r="G534" i="4"/>
  <c r="I534" i="4" s="1"/>
  <c r="K534" i="4" s="1"/>
  <c r="H534" i="4"/>
  <c r="G535" i="4"/>
  <c r="H535" i="4"/>
  <c r="G536" i="4"/>
  <c r="H536" i="4"/>
  <c r="G537" i="4"/>
  <c r="H537" i="4"/>
  <c r="G538" i="4"/>
  <c r="I538" i="4" s="1"/>
  <c r="K538" i="4" s="1"/>
  <c r="H538" i="4"/>
  <c r="G539" i="4"/>
  <c r="H539" i="4"/>
  <c r="G540" i="4"/>
  <c r="I540" i="4" s="1"/>
  <c r="K540" i="4" s="1"/>
  <c r="H540" i="4"/>
  <c r="G541" i="4"/>
  <c r="I541" i="4" s="1"/>
  <c r="K541" i="4" s="1"/>
  <c r="H541" i="4"/>
  <c r="G542" i="4"/>
  <c r="I542" i="4" s="1"/>
  <c r="K542" i="4" s="1"/>
  <c r="H542" i="4"/>
  <c r="G543" i="4"/>
  <c r="H543" i="4"/>
  <c r="G544" i="4"/>
  <c r="H544" i="4"/>
  <c r="G545" i="4"/>
  <c r="H545" i="4"/>
  <c r="G546" i="4"/>
  <c r="I546" i="4" s="1"/>
  <c r="K546" i="4" s="1"/>
  <c r="H546" i="4"/>
  <c r="G547" i="4"/>
  <c r="H547" i="4"/>
  <c r="G548" i="4"/>
  <c r="H548" i="4"/>
  <c r="G549" i="4"/>
  <c r="H549" i="4"/>
  <c r="G550" i="4"/>
  <c r="I550" i="4" s="1"/>
  <c r="K550" i="4" s="1"/>
  <c r="H550" i="4"/>
  <c r="G551" i="4"/>
  <c r="H551" i="4"/>
  <c r="G552" i="4"/>
  <c r="H552" i="4"/>
  <c r="G553" i="4"/>
  <c r="H553" i="4"/>
  <c r="G554" i="4"/>
  <c r="I554" i="4" s="1"/>
  <c r="K554" i="4" s="1"/>
  <c r="H554" i="4"/>
  <c r="G555" i="4"/>
  <c r="I555" i="4" s="1"/>
  <c r="K555" i="4" s="1"/>
  <c r="H555" i="4"/>
  <c r="G556" i="4"/>
  <c r="I556" i="4" s="1"/>
  <c r="K556" i="4" s="1"/>
  <c r="H556" i="4"/>
  <c r="G557" i="4"/>
  <c r="I557" i="4" s="1"/>
  <c r="K557" i="4" s="1"/>
  <c r="H557" i="4"/>
  <c r="G558" i="4"/>
  <c r="I558" i="4" s="1"/>
  <c r="K558" i="4" s="1"/>
  <c r="H558" i="4"/>
  <c r="G559" i="4"/>
  <c r="H559" i="4"/>
  <c r="G560" i="4"/>
  <c r="H560" i="4"/>
  <c r="G561" i="4"/>
  <c r="H561" i="4"/>
  <c r="G562" i="4"/>
  <c r="I562" i="4" s="1"/>
  <c r="K562" i="4" s="1"/>
  <c r="H562" i="4"/>
  <c r="G563" i="4"/>
  <c r="H563" i="4"/>
  <c r="G564" i="4"/>
  <c r="H564" i="4"/>
  <c r="G565" i="4"/>
  <c r="I565" i="4" s="1"/>
  <c r="K565" i="4" s="1"/>
  <c r="H565" i="4"/>
  <c r="G566" i="4"/>
  <c r="I566" i="4" s="1"/>
  <c r="K566" i="4" s="1"/>
  <c r="H566" i="4"/>
  <c r="G567" i="4"/>
  <c r="H567" i="4"/>
  <c r="G568" i="4"/>
  <c r="H568" i="4"/>
  <c r="G569" i="4"/>
  <c r="H569" i="4"/>
  <c r="G570" i="4"/>
  <c r="I570" i="4" s="1"/>
  <c r="K570" i="4" s="1"/>
  <c r="H570" i="4"/>
  <c r="G571" i="4"/>
  <c r="I571" i="4" s="1"/>
  <c r="K571" i="4" s="1"/>
  <c r="H571" i="4"/>
  <c r="G572" i="4"/>
  <c r="H572" i="4"/>
  <c r="G573" i="4"/>
  <c r="H573" i="4"/>
  <c r="G574" i="4"/>
  <c r="I574" i="4" s="1"/>
  <c r="K574" i="4" s="1"/>
  <c r="H574" i="4"/>
  <c r="G575" i="4"/>
  <c r="H575" i="4"/>
  <c r="G576" i="4"/>
  <c r="H576" i="4"/>
  <c r="G577" i="4"/>
  <c r="H577" i="4"/>
  <c r="G578" i="4"/>
  <c r="I578" i="4" s="1"/>
  <c r="K578" i="4" s="1"/>
  <c r="H578" i="4"/>
  <c r="G579" i="4"/>
  <c r="I579" i="4" s="1"/>
  <c r="K579" i="4" s="1"/>
  <c r="H579" i="4"/>
  <c r="G580" i="4"/>
  <c r="I580" i="4" s="1"/>
  <c r="K580" i="4" s="1"/>
  <c r="H580" i="4"/>
  <c r="G581" i="4"/>
  <c r="I581" i="4" s="1"/>
  <c r="K581" i="4" s="1"/>
  <c r="H581" i="4"/>
  <c r="G582" i="4"/>
  <c r="I582" i="4" s="1"/>
  <c r="K582" i="4" s="1"/>
  <c r="H582" i="4"/>
  <c r="G583" i="4"/>
  <c r="H583" i="4"/>
  <c r="G584" i="4"/>
  <c r="H584" i="4"/>
  <c r="G585" i="4"/>
  <c r="H585" i="4"/>
  <c r="G586" i="4"/>
  <c r="I586" i="4" s="1"/>
  <c r="K586" i="4" s="1"/>
  <c r="H586" i="4"/>
  <c r="G587" i="4"/>
  <c r="H587" i="4"/>
  <c r="G588" i="4"/>
  <c r="H588" i="4"/>
  <c r="G589" i="4"/>
  <c r="H589" i="4"/>
  <c r="G590" i="4"/>
  <c r="I590" i="4" s="1"/>
  <c r="K590" i="4" s="1"/>
  <c r="H590" i="4"/>
  <c r="G591" i="4"/>
  <c r="H591" i="4"/>
  <c r="G592" i="4"/>
  <c r="H592" i="4"/>
  <c r="G593" i="4"/>
  <c r="H593" i="4"/>
  <c r="G594" i="4"/>
  <c r="I594" i="4" s="1"/>
  <c r="K594" i="4" s="1"/>
  <c r="H594" i="4"/>
  <c r="G595" i="4"/>
  <c r="I595" i="4" s="1"/>
  <c r="K595" i="4" s="1"/>
  <c r="H595" i="4"/>
  <c r="G596" i="4"/>
  <c r="I596" i="4" s="1"/>
  <c r="K596" i="4" s="1"/>
  <c r="H596" i="4"/>
  <c r="G597" i="4"/>
  <c r="H597" i="4"/>
  <c r="G598" i="4"/>
  <c r="I598" i="4" s="1"/>
  <c r="K598" i="4" s="1"/>
  <c r="H598" i="4"/>
  <c r="G599" i="4"/>
  <c r="H599" i="4"/>
  <c r="G600" i="4"/>
  <c r="H600" i="4"/>
  <c r="G601" i="4"/>
  <c r="H601" i="4"/>
  <c r="G602" i="4"/>
  <c r="I602" i="4" s="1"/>
  <c r="K602" i="4" s="1"/>
  <c r="H602" i="4"/>
  <c r="G603" i="4"/>
  <c r="H603" i="4"/>
  <c r="G604" i="4"/>
  <c r="I604" i="4" s="1"/>
  <c r="K604" i="4" s="1"/>
  <c r="H604" i="4"/>
  <c r="G605" i="4"/>
  <c r="I605" i="4" s="1"/>
  <c r="K605" i="4" s="1"/>
  <c r="H605" i="4"/>
  <c r="G606" i="4"/>
  <c r="I606" i="4" s="1"/>
  <c r="K606" i="4" s="1"/>
  <c r="H606" i="4"/>
  <c r="G607" i="4"/>
  <c r="H607" i="4"/>
  <c r="G608" i="4"/>
  <c r="H608" i="4"/>
  <c r="G609" i="4"/>
  <c r="H609" i="4"/>
  <c r="G610" i="4"/>
  <c r="I610" i="4" s="1"/>
  <c r="K610" i="4" s="1"/>
  <c r="H610" i="4"/>
  <c r="G611" i="4"/>
  <c r="H611" i="4"/>
  <c r="G612" i="4"/>
  <c r="H612" i="4"/>
  <c r="G613" i="4"/>
  <c r="H613" i="4"/>
  <c r="G614" i="4"/>
  <c r="I614" i="4" s="1"/>
  <c r="K614" i="4" s="1"/>
  <c r="H614" i="4"/>
  <c r="G615" i="4"/>
  <c r="H615" i="4"/>
  <c r="G616" i="4"/>
  <c r="H616" i="4"/>
  <c r="G617" i="4"/>
  <c r="H617" i="4"/>
  <c r="G618" i="4"/>
  <c r="I618" i="4" s="1"/>
  <c r="K618" i="4" s="1"/>
  <c r="H618" i="4"/>
  <c r="G619" i="4"/>
  <c r="I619" i="4" s="1"/>
  <c r="K619" i="4" s="1"/>
  <c r="H619" i="4"/>
  <c r="G620" i="4"/>
  <c r="I620" i="4" s="1"/>
  <c r="K620" i="4" s="1"/>
  <c r="H620" i="4"/>
  <c r="G621" i="4"/>
  <c r="I621" i="4" s="1"/>
  <c r="K621" i="4" s="1"/>
  <c r="H621" i="4"/>
  <c r="G622" i="4"/>
  <c r="I622" i="4" s="1"/>
  <c r="K622" i="4" s="1"/>
  <c r="H622" i="4"/>
  <c r="G623" i="4"/>
  <c r="H623" i="4"/>
  <c r="G624" i="4"/>
  <c r="H624" i="4"/>
  <c r="G625" i="4"/>
  <c r="H625" i="4"/>
  <c r="G626" i="4"/>
  <c r="I626" i="4" s="1"/>
  <c r="K626" i="4" s="1"/>
  <c r="H626" i="4"/>
  <c r="G627" i="4"/>
  <c r="H627" i="4"/>
  <c r="G628" i="4"/>
  <c r="H628" i="4"/>
  <c r="G629" i="4"/>
  <c r="I629" i="4" s="1"/>
  <c r="K629" i="4" s="1"/>
  <c r="H629" i="4"/>
  <c r="G630" i="4"/>
  <c r="I630" i="4" s="1"/>
  <c r="K630" i="4" s="1"/>
  <c r="H630" i="4"/>
  <c r="G631" i="4"/>
  <c r="H631" i="4"/>
  <c r="G632" i="4"/>
  <c r="H632" i="4"/>
  <c r="G633" i="4"/>
  <c r="H633" i="4"/>
  <c r="G634" i="4"/>
  <c r="I634" i="4" s="1"/>
  <c r="K634" i="4" s="1"/>
  <c r="H634" i="4"/>
  <c r="G635" i="4"/>
  <c r="H635" i="4"/>
  <c r="G636" i="4"/>
  <c r="H636" i="4"/>
  <c r="G637" i="4"/>
  <c r="H637" i="4"/>
  <c r="G638" i="4"/>
  <c r="I638" i="4" s="1"/>
  <c r="K638" i="4" s="1"/>
  <c r="H638" i="4"/>
  <c r="G639" i="4"/>
  <c r="H639" i="4"/>
  <c r="G640" i="4"/>
  <c r="H640" i="4"/>
  <c r="G641" i="4"/>
  <c r="H641" i="4"/>
  <c r="G642" i="4"/>
  <c r="I642" i="4" s="1"/>
  <c r="K642" i="4" s="1"/>
  <c r="H642" i="4"/>
  <c r="G643" i="4"/>
  <c r="I643" i="4" s="1"/>
  <c r="K643" i="4" s="1"/>
  <c r="H643" i="4"/>
  <c r="G644" i="4"/>
  <c r="I644" i="4" s="1"/>
  <c r="K644" i="4" s="1"/>
  <c r="H644" i="4"/>
  <c r="G645" i="4"/>
  <c r="I645" i="4" s="1"/>
  <c r="K645" i="4" s="1"/>
  <c r="H645" i="4"/>
  <c r="G646" i="4"/>
  <c r="I646" i="4" s="1"/>
  <c r="K646" i="4" s="1"/>
  <c r="H646" i="4"/>
  <c r="G647" i="4"/>
  <c r="H647" i="4"/>
  <c r="G648" i="4"/>
  <c r="H648" i="4"/>
  <c r="G649" i="4"/>
  <c r="H649" i="4"/>
  <c r="G650" i="4"/>
  <c r="I650" i="4" s="1"/>
  <c r="K650" i="4" s="1"/>
  <c r="H650" i="4"/>
  <c r="G651" i="4"/>
  <c r="H651" i="4"/>
  <c r="G652" i="4"/>
  <c r="H652" i="4"/>
  <c r="G653" i="4"/>
  <c r="H653" i="4"/>
  <c r="G654" i="4"/>
  <c r="I654" i="4" s="1"/>
  <c r="K654" i="4" s="1"/>
  <c r="H654" i="4"/>
  <c r="G655" i="4"/>
  <c r="H655" i="4"/>
  <c r="G656" i="4"/>
  <c r="H656" i="4"/>
  <c r="G657" i="4"/>
  <c r="H657" i="4"/>
  <c r="G658" i="4"/>
  <c r="I658" i="4" s="1"/>
  <c r="K658" i="4" s="1"/>
  <c r="H658" i="4"/>
  <c r="G659" i="4"/>
  <c r="I659" i="4" s="1"/>
  <c r="K659" i="4" s="1"/>
  <c r="H659" i="4"/>
  <c r="G660" i="4"/>
  <c r="I660" i="4" s="1"/>
  <c r="K660" i="4" s="1"/>
  <c r="H660" i="4"/>
  <c r="G661" i="4"/>
  <c r="H661" i="4"/>
  <c r="G662" i="4"/>
  <c r="I662" i="4" s="1"/>
  <c r="K662" i="4" s="1"/>
  <c r="H662" i="4"/>
  <c r="G663" i="4"/>
  <c r="H663" i="4"/>
  <c r="G664" i="4"/>
  <c r="H664" i="4"/>
  <c r="G665" i="4"/>
  <c r="H665" i="4"/>
  <c r="G666" i="4"/>
  <c r="I666" i="4" s="1"/>
  <c r="K666" i="4" s="1"/>
  <c r="H666" i="4"/>
  <c r="G667" i="4"/>
  <c r="H667" i="4"/>
  <c r="G668" i="4"/>
  <c r="I668" i="4" s="1"/>
  <c r="K668" i="4" s="1"/>
  <c r="H668" i="4"/>
  <c r="G669" i="4"/>
  <c r="I669" i="4" s="1"/>
  <c r="K669" i="4" s="1"/>
  <c r="H669" i="4"/>
  <c r="G670" i="4"/>
  <c r="I670" i="4" s="1"/>
  <c r="K670" i="4" s="1"/>
  <c r="H670" i="4"/>
  <c r="G671" i="4"/>
  <c r="H671" i="4"/>
  <c r="G672" i="4"/>
  <c r="H672" i="4"/>
  <c r="G673" i="4"/>
  <c r="H673" i="4"/>
  <c r="G674" i="4"/>
  <c r="I674" i="4" s="1"/>
  <c r="K674" i="4" s="1"/>
  <c r="H674" i="4"/>
  <c r="G675" i="4"/>
  <c r="H675" i="4"/>
  <c r="G676" i="4"/>
  <c r="H676" i="4"/>
  <c r="G677" i="4"/>
  <c r="H677" i="4"/>
  <c r="G678" i="4"/>
  <c r="I678" i="4" s="1"/>
  <c r="K678" i="4" s="1"/>
  <c r="H678" i="4"/>
  <c r="G679" i="4"/>
  <c r="H679" i="4"/>
  <c r="G680" i="4"/>
  <c r="H680" i="4"/>
  <c r="G681" i="4"/>
  <c r="H681" i="4"/>
  <c r="G682" i="4"/>
  <c r="I682" i="4" s="1"/>
  <c r="K682" i="4" s="1"/>
  <c r="H682" i="4"/>
  <c r="G683" i="4"/>
  <c r="H683" i="4"/>
  <c r="G684" i="4"/>
  <c r="I684" i="4" s="1"/>
  <c r="K684" i="4" s="1"/>
  <c r="H684" i="4"/>
  <c r="G685" i="4"/>
  <c r="I685" i="4" s="1"/>
  <c r="K685" i="4" s="1"/>
  <c r="H685" i="4"/>
  <c r="G686" i="4"/>
  <c r="I686" i="4" s="1"/>
  <c r="K686" i="4" s="1"/>
  <c r="H686" i="4"/>
  <c r="G687" i="4"/>
  <c r="H687" i="4"/>
  <c r="G688" i="4"/>
  <c r="H688" i="4"/>
  <c r="G689" i="4"/>
  <c r="H689" i="4"/>
  <c r="G690" i="4"/>
  <c r="I690" i="4" s="1"/>
  <c r="K690" i="4" s="1"/>
  <c r="H690" i="4"/>
  <c r="G691" i="4"/>
  <c r="I691" i="4" s="1"/>
  <c r="K691" i="4" s="1"/>
  <c r="H691" i="4"/>
  <c r="G692" i="4"/>
  <c r="I692" i="4" s="1"/>
  <c r="K692" i="4" s="1"/>
  <c r="H692" i="4"/>
  <c r="G693" i="4"/>
  <c r="I693" i="4" s="1"/>
  <c r="K693" i="4" s="1"/>
  <c r="H693" i="4"/>
  <c r="G694" i="4"/>
  <c r="I694" i="4" s="1"/>
  <c r="K694" i="4" s="1"/>
  <c r="H694" i="4"/>
  <c r="G695" i="4"/>
  <c r="H695" i="4"/>
  <c r="G696" i="4"/>
  <c r="H696" i="4"/>
  <c r="G697" i="4"/>
  <c r="H697" i="4"/>
  <c r="G698" i="4"/>
  <c r="I698" i="4" s="1"/>
  <c r="K698" i="4" s="1"/>
  <c r="H698" i="4"/>
  <c r="G699" i="4"/>
  <c r="I699" i="4" s="1"/>
  <c r="K699" i="4" s="1"/>
  <c r="H699" i="4"/>
  <c r="G700" i="4"/>
  <c r="H700" i="4"/>
  <c r="G701" i="4"/>
  <c r="I701" i="4" s="1"/>
  <c r="K701" i="4" s="1"/>
  <c r="H701" i="4"/>
  <c r="G702" i="4"/>
  <c r="I702" i="4" s="1"/>
  <c r="K702" i="4" s="1"/>
  <c r="H702" i="4"/>
  <c r="G703" i="4"/>
  <c r="H703" i="4"/>
  <c r="G704" i="4"/>
  <c r="H704" i="4"/>
  <c r="G705" i="4"/>
  <c r="H705" i="4"/>
  <c r="G706" i="4"/>
  <c r="I706" i="4" s="1"/>
  <c r="K706" i="4" s="1"/>
  <c r="H706" i="4"/>
  <c r="G707" i="4"/>
  <c r="I707" i="4" s="1"/>
  <c r="K707" i="4" s="1"/>
  <c r="H707" i="4"/>
  <c r="G708" i="4"/>
  <c r="I708" i="4" s="1"/>
  <c r="K708" i="4" s="1"/>
  <c r="H708" i="4"/>
  <c r="G709" i="4"/>
  <c r="I709" i="4" s="1"/>
  <c r="K709" i="4" s="1"/>
  <c r="H709" i="4"/>
  <c r="G710" i="4"/>
  <c r="I710" i="4" s="1"/>
  <c r="K710" i="4" s="1"/>
  <c r="H710" i="4"/>
  <c r="G711" i="4"/>
  <c r="H711" i="4"/>
  <c r="G712" i="4"/>
  <c r="H712" i="4"/>
  <c r="G713" i="4"/>
  <c r="H713" i="4"/>
  <c r="G714" i="4"/>
  <c r="I714" i="4" s="1"/>
  <c r="K714" i="4" s="1"/>
  <c r="H714" i="4"/>
  <c r="G715" i="4"/>
  <c r="H715" i="4"/>
  <c r="G716" i="4"/>
  <c r="I716" i="4" s="1"/>
  <c r="K716" i="4" s="1"/>
  <c r="H716" i="4"/>
  <c r="G717" i="4"/>
  <c r="I717" i="4" s="1"/>
  <c r="K717" i="4" s="1"/>
  <c r="H717" i="4"/>
  <c r="G718" i="4"/>
  <c r="I718" i="4" s="1"/>
  <c r="K718" i="4" s="1"/>
  <c r="H718" i="4"/>
  <c r="G719" i="4"/>
  <c r="H719" i="4"/>
  <c r="G720" i="4"/>
  <c r="H720" i="4"/>
  <c r="G721" i="4"/>
  <c r="H721" i="4"/>
  <c r="G722" i="4"/>
  <c r="I722" i="4" s="1"/>
  <c r="K722" i="4" s="1"/>
  <c r="H722" i="4"/>
  <c r="G723" i="4"/>
  <c r="I723" i="4" s="1"/>
  <c r="K723" i="4" s="1"/>
  <c r="H723" i="4"/>
  <c r="G724" i="4"/>
  <c r="I724" i="4" s="1"/>
  <c r="K724" i="4" s="1"/>
  <c r="H724" i="4"/>
  <c r="G725" i="4"/>
  <c r="I725" i="4" s="1"/>
  <c r="K725" i="4" s="1"/>
  <c r="H725" i="4"/>
  <c r="G726" i="4"/>
  <c r="I726" i="4" s="1"/>
  <c r="K726" i="4" s="1"/>
  <c r="H726" i="4"/>
  <c r="G727" i="4"/>
  <c r="H727" i="4"/>
  <c r="G728" i="4"/>
  <c r="H728" i="4"/>
  <c r="G729" i="4"/>
  <c r="H729" i="4"/>
  <c r="G730" i="4"/>
  <c r="I730" i="4" s="1"/>
  <c r="K730" i="4" s="1"/>
  <c r="H730" i="4"/>
  <c r="G731" i="4"/>
  <c r="I731" i="4" s="1"/>
  <c r="K731" i="4" s="1"/>
  <c r="H731" i="4"/>
  <c r="G732" i="4"/>
  <c r="H732" i="4"/>
  <c r="G733" i="4"/>
  <c r="I733" i="4" s="1"/>
  <c r="K733" i="4" s="1"/>
  <c r="H733" i="4"/>
  <c r="G734" i="4"/>
  <c r="I734" i="4" s="1"/>
  <c r="K734" i="4" s="1"/>
  <c r="H734" i="4"/>
  <c r="G735" i="4"/>
  <c r="H735" i="4"/>
  <c r="G736" i="4"/>
  <c r="H736" i="4"/>
  <c r="G737" i="4"/>
  <c r="H737" i="4"/>
  <c r="G738" i="4"/>
  <c r="I738" i="4" s="1"/>
  <c r="K738" i="4" s="1"/>
  <c r="H738" i="4"/>
  <c r="G739" i="4"/>
  <c r="I739" i="4" s="1"/>
  <c r="K739" i="4" s="1"/>
  <c r="H739" i="4"/>
  <c r="G740" i="4"/>
  <c r="I740" i="4" s="1"/>
  <c r="K740" i="4" s="1"/>
  <c r="H740" i="4"/>
  <c r="G741" i="4"/>
  <c r="I741" i="4" s="1"/>
  <c r="K741" i="4" s="1"/>
  <c r="H741" i="4"/>
  <c r="G742" i="4"/>
  <c r="I742" i="4" s="1"/>
  <c r="K742" i="4" s="1"/>
  <c r="H742" i="4"/>
  <c r="G743" i="4"/>
  <c r="H743" i="4"/>
  <c r="G744" i="4"/>
  <c r="H744" i="4"/>
  <c r="G745" i="4"/>
  <c r="H745" i="4"/>
  <c r="G746" i="4"/>
  <c r="I746" i="4" s="1"/>
  <c r="K746" i="4" s="1"/>
  <c r="H746" i="4"/>
  <c r="G747" i="4"/>
  <c r="H747" i="4"/>
  <c r="G748" i="4"/>
  <c r="I748" i="4" s="1"/>
  <c r="K748" i="4" s="1"/>
  <c r="H748" i="4"/>
  <c r="G749" i="4"/>
  <c r="I749" i="4" s="1"/>
  <c r="K749" i="4" s="1"/>
  <c r="H749" i="4"/>
  <c r="G750" i="4"/>
  <c r="I750" i="4" s="1"/>
  <c r="K750" i="4" s="1"/>
  <c r="H750" i="4"/>
  <c r="G751" i="4"/>
  <c r="H751" i="4"/>
  <c r="G752" i="4"/>
  <c r="H752" i="4"/>
  <c r="G753" i="4"/>
  <c r="H753" i="4"/>
  <c r="G754" i="4"/>
  <c r="I754" i="4" s="1"/>
  <c r="K754" i="4" s="1"/>
  <c r="H754" i="4"/>
  <c r="G755" i="4"/>
  <c r="I755" i="4" s="1"/>
  <c r="K755" i="4" s="1"/>
  <c r="H755" i="4"/>
  <c r="G756" i="4"/>
  <c r="I756" i="4" s="1"/>
  <c r="K756" i="4" s="1"/>
  <c r="H756" i="4"/>
  <c r="G757" i="4"/>
  <c r="I757" i="4" s="1"/>
  <c r="K757" i="4" s="1"/>
  <c r="H757" i="4"/>
  <c r="G758" i="4"/>
  <c r="I758" i="4" s="1"/>
  <c r="K758" i="4" s="1"/>
  <c r="H758" i="4"/>
  <c r="G759" i="4"/>
  <c r="H759" i="4"/>
  <c r="G760" i="4"/>
  <c r="H760" i="4"/>
  <c r="G761" i="4"/>
  <c r="H761" i="4"/>
  <c r="G762" i="4"/>
  <c r="I762" i="4" s="1"/>
  <c r="K762" i="4" s="1"/>
  <c r="H762" i="4"/>
  <c r="G763" i="4"/>
  <c r="I763" i="4" s="1"/>
  <c r="K763" i="4" s="1"/>
  <c r="H763" i="4"/>
  <c r="G764" i="4"/>
  <c r="H764" i="4"/>
  <c r="G765" i="4"/>
  <c r="I765" i="4" s="1"/>
  <c r="K765" i="4" s="1"/>
  <c r="H765" i="4"/>
  <c r="G766" i="4"/>
  <c r="I766" i="4" s="1"/>
  <c r="K766" i="4" s="1"/>
  <c r="H766" i="4"/>
  <c r="G767" i="4"/>
  <c r="H767" i="4"/>
  <c r="G768" i="4"/>
  <c r="H768" i="4"/>
  <c r="G769" i="4"/>
  <c r="H769" i="4"/>
  <c r="G770" i="4"/>
  <c r="I770" i="4" s="1"/>
  <c r="K770" i="4" s="1"/>
  <c r="H770" i="4"/>
  <c r="G771" i="4"/>
  <c r="I771" i="4" s="1"/>
  <c r="K771" i="4" s="1"/>
  <c r="H771" i="4"/>
  <c r="G772" i="4"/>
  <c r="I772" i="4" s="1"/>
  <c r="K772" i="4" s="1"/>
  <c r="H772" i="4"/>
  <c r="G773" i="4"/>
  <c r="I773" i="4" s="1"/>
  <c r="K773" i="4" s="1"/>
  <c r="H773" i="4"/>
  <c r="G774" i="4"/>
  <c r="I774" i="4" s="1"/>
  <c r="K774" i="4" s="1"/>
  <c r="H774" i="4"/>
  <c r="G775" i="4"/>
  <c r="H775" i="4"/>
  <c r="G776" i="4"/>
  <c r="H776" i="4"/>
  <c r="G777" i="4"/>
  <c r="H777" i="4"/>
  <c r="G778" i="4"/>
  <c r="I778" i="4" s="1"/>
  <c r="K778" i="4" s="1"/>
  <c r="H778" i="4"/>
  <c r="G779" i="4"/>
  <c r="H779" i="4"/>
  <c r="G780" i="4"/>
  <c r="I780" i="4" s="1"/>
  <c r="K780" i="4" s="1"/>
  <c r="H780" i="4"/>
  <c r="G781" i="4"/>
  <c r="I781" i="4" s="1"/>
  <c r="K781" i="4" s="1"/>
  <c r="H781" i="4"/>
  <c r="G782" i="4"/>
  <c r="I782" i="4" s="1"/>
  <c r="K782" i="4" s="1"/>
  <c r="H782" i="4"/>
  <c r="G783" i="4"/>
  <c r="H783" i="4"/>
  <c r="G784" i="4"/>
  <c r="H784" i="4"/>
  <c r="G785" i="4"/>
  <c r="H785" i="4"/>
  <c r="G786" i="4"/>
  <c r="I786" i="4" s="1"/>
  <c r="K786" i="4" s="1"/>
  <c r="H786" i="4"/>
  <c r="G787" i="4"/>
  <c r="I787" i="4" s="1"/>
  <c r="K787" i="4" s="1"/>
  <c r="H787" i="4"/>
  <c r="G788" i="4"/>
  <c r="I788" i="4" s="1"/>
  <c r="K788" i="4" s="1"/>
  <c r="H788" i="4"/>
  <c r="G789" i="4"/>
  <c r="I789" i="4" s="1"/>
  <c r="K789" i="4" s="1"/>
  <c r="H789" i="4"/>
  <c r="G790" i="4"/>
  <c r="I790" i="4" s="1"/>
  <c r="K790" i="4" s="1"/>
  <c r="H790" i="4"/>
  <c r="G791" i="4"/>
  <c r="H791" i="4"/>
  <c r="G792" i="4"/>
  <c r="H792" i="4"/>
  <c r="G793" i="4"/>
  <c r="H793" i="4"/>
  <c r="G794" i="4"/>
  <c r="I794" i="4" s="1"/>
  <c r="K794" i="4" s="1"/>
  <c r="H794" i="4"/>
  <c r="G795" i="4"/>
  <c r="I795" i="4" s="1"/>
  <c r="K795" i="4" s="1"/>
  <c r="H795" i="4"/>
  <c r="G796" i="4"/>
  <c r="H796" i="4"/>
  <c r="G797" i="4"/>
  <c r="I797" i="4" s="1"/>
  <c r="K797" i="4" s="1"/>
  <c r="H797" i="4"/>
  <c r="G798" i="4"/>
  <c r="I798" i="4" s="1"/>
  <c r="K798" i="4" s="1"/>
  <c r="H798" i="4"/>
  <c r="G799" i="4"/>
  <c r="H799" i="4"/>
  <c r="G800" i="4"/>
  <c r="H800" i="4"/>
  <c r="G801" i="4"/>
  <c r="H801" i="4"/>
  <c r="G802" i="4"/>
  <c r="I802" i="4" s="1"/>
  <c r="K802" i="4" s="1"/>
  <c r="H802" i="4"/>
  <c r="G803" i="4"/>
  <c r="I803" i="4" s="1"/>
  <c r="K803" i="4" s="1"/>
  <c r="H803" i="4"/>
  <c r="G804" i="4"/>
  <c r="I804" i="4" s="1"/>
  <c r="K804" i="4" s="1"/>
  <c r="H804" i="4"/>
  <c r="G805" i="4"/>
  <c r="I805" i="4" s="1"/>
  <c r="K805" i="4" s="1"/>
  <c r="H805" i="4"/>
  <c r="G806" i="4"/>
  <c r="I806" i="4" s="1"/>
  <c r="K806" i="4" s="1"/>
  <c r="H806" i="4"/>
  <c r="G807" i="4"/>
  <c r="H807" i="4"/>
  <c r="G808" i="4"/>
  <c r="H808" i="4"/>
  <c r="G809" i="4"/>
  <c r="H809" i="4"/>
  <c r="G810" i="4"/>
  <c r="I810" i="4" s="1"/>
  <c r="K810" i="4" s="1"/>
  <c r="H810" i="4"/>
  <c r="G811" i="4"/>
  <c r="H811" i="4"/>
  <c r="G812" i="4"/>
  <c r="I812" i="4" s="1"/>
  <c r="K812" i="4" s="1"/>
  <c r="H812" i="4"/>
  <c r="G813" i="4"/>
  <c r="I813" i="4" s="1"/>
  <c r="K813" i="4" s="1"/>
  <c r="H813" i="4"/>
  <c r="G814" i="4"/>
  <c r="I814" i="4" s="1"/>
  <c r="K814" i="4" s="1"/>
  <c r="H814" i="4"/>
  <c r="G815" i="4"/>
  <c r="H815" i="4"/>
  <c r="G816" i="4"/>
  <c r="H816" i="4"/>
  <c r="G817" i="4"/>
  <c r="H817" i="4"/>
  <c r="G818" i="4"/>
  <c r="I818" i="4" s="1"/>
  <c r="K818" i="4" s="1"/>
  <c r="H818" i="4"/>
  <c r="G819" i="4"/>
  <c r="I819" i="4" s="1"/>
  <c r="K819" i="4" s="1"/>
  <c r="H819" i="4"/>
  <c r="G820" i="4"/>
  <c r="I820" i="4" s="1"/>
  <c r="K820" i="4" s="1"/>
  <c r="H820" i="4"/>
  <c r="G821" i="4"/>
  <c r="I821" i="4" s="1"/>
  <c r="K821" i="4" s="1"/>
  <c r="H821" i="4"/>
  <c r="G822" i="4"/>
  <c r="I822" i="4" s="1"/>
  <c r="K822" i="4" s="1"/>
  <c r="H822" i="4"/>
  <c r="G823" i="4"/>
  <c r="H823" i="4"/>
  <c r="G824" i="4"/>
  <c r="H824" i="4"/>
  <c r="G825" i="4"/>
  <c r="H825" i="4"/>
  <c r="G826" i="4"/>
  <c r="I826" i="4" s="1"/>
  <c r="K826" i="4" s="1"/>
  <c r="H826" i="4"/>
  <c r="G827" i="4"/>
  <c r="I827" i="4" s="1"/>
  <c r="K827" i="4" s="1"/>
  <c r="H827" i="4"/>
  <c r="G828" i="4"/>
  <c r="H828" i="4"/>
  <c r="G829" i="4"/>
  <c r="I829" i="4" s="1"/>
  <c r="K829" i="4" s="1"/>
  <c r="H829" i="4"/>
  <c r="G830" i="4"/>
  <c r="I830" i="4" s="1"/>
  <c r="K830" i="4" s="1"/>
  <c r="H830" i="4"/>
  <c r="G831" i="4"/>
  <c r="H831" i="4"/>
  <c r="G832" i="4"/>
  <c r="H832" i="4"/>
  <c r="G833" i="4"/>
  <c r="H833" i="4"/>
  <c r="G834" i="4"/>
  <c r="I834" i="4" s="1"/>
  <c r="K834" i="4" s="1"/>
  <c r="H834" i="4"/>
  <c r="G835" i="4"/>
  <c r="I835" i="4" s="1"/>
  <c r="K835" i="4" s="1"/>
  <c r="H835" i="4"/>
  <c r="G836" i="4"/>
  <c r="I836" i="4" s="1"/>
  <c r="K836" i="4" s="1"/>
  <c r="H836" i="4"/>
  <c r="G837" i="4"/>
  <c r="I837" i="4" s="1"/>
  <c r="K837" i="4" s="1"/>
  <c r="H837" i="4"/>
  <c r="G838" i="4"/>
  <c r="I838" i="4" s="1"/>
  <c r="K838" i="4" s="1"/>
  <c r="H838" i="4"/>
  <c r="G839" i="4"/>
  <c r="H839" i="4"/>
  <c r="G840" i="4"/>
  <c r="H840" i="4"/>
  <c r="G841" i="4"/>
  <c r="H841" i="4"/>
  <c r="G842" i="4"/>
  <c r="I842" i="4" s="1"/>
  <c r="K842" i="4" s="1"/>
  <c r="H842" i="4"/>
  <c r="G843" i="4"/>
  <c r="H843" i="4"/>
  <c r="G844" i="4"/>
  <c r="I844" i="4" s="1"/>
  <c r="K844" i="4" s="1"/>
  <c r="H844" i="4"/>
  <c r="G845" i="4"/>
  <c r="I845" i="4" s="1"/>
  <c r="K845" i="4" s="1"/>
  <c r="H845" i="4"/>
  <c r="G846" i="4"/>
  <c r="I846" i="4" s="1"/>
  <c r="K846" i="4" s="1"/>
  <c r="H846" i="4"/>
  <c r="G847" i="4"/>
  <c r="H847" i="4"/>
  <c r="G848" i="4"/>
  <c r="H848" i="4"/>
  <c r="G849" i="4"/>
  <c r="H849" i="4"/>
  <c r="G850" i="4"/>
  <c r="I850" i="4" s="1"/>
  <c r="K850" i="4" s="1"/>
  <c r="H850" i="4"/>
  <c r="G851" i="4"/>
  <c r="I851" i="4" s="1"/>
  <c r="K851" i="4" s="1"/>
  <c r="H851" i="4"/>
  <c r="G852" i="4"/>
  <c r="I852" i="4" s="1"/>
  <c r="K852" i="4" s="1"/>
  <c r="H852" i="4"/>
  <c r="G853" i="4"/>
  <c r="I853" i="4" s="1"/>
  <c r="K853" i="4" s="1"/>
  <c r="H853" i="4"/>
  <c r="G854" i="4"/>
  <c r="I854" i="4" s="1"/>
  <c r="K854" i="4" s="1"/>
  <c r="H854" i="4"/>
  <c r="G855" i="4"/>
  <c r="H855" i="4"/>
  <c r="G856" i="4"/>
  <c r="H856" i="4"/>
  <c r="G857" i="4"/>
  <c r="H857" i="4"/>
  <c r="G858" i="4"/>
  <c r="I858" i="4" s="1"/>
  <c r="K858" i="4" s="1"/>
  <c r="H858" i="4"/>
  <c r="G859" i="4"/>
  <c r="I859" i="4" s="1"/>
  <c r="K859" i="4" s="1"/>
  <c r="H859" i="4"/>
  <c r="G860" i="4"/>
  <c r="H860" i="4"/>
  <c r="G861" i="4"/>
  <c r="I861" i="4" s="1"/>
  <c r="K861" i="4" s="1"/>
  <c r="H861" i="4"/>
  <c r="G862" i="4"/>
  <c r="I862" i="4" s="1"/>
  <c r="K862" i="4" s="1"/>
  <c r="H862" i="4"/>
  <c r="G863" i="4"/>
  <c r="H863" i="4"/>
  <c r="G864" i="4"/>
  <c r="H864" i="4"/>
  <c r="G865" i="4"/>
  <c r="H865" i="4"/>
  <c r="G866" i="4"/>
  <c r="I866" i="4" s="1"/>
  <c r="K866" i="4" s="1"/>
  <c r="H866" i="4"/>
  <c r="G867" i="4"/>
  <c r="I867" i="4" s="1"/>
  <c r="K867" i="4" s="1"/>
  <c r="H867" i="4"/>
  <c r="G868" i="4"/>
  <c r="I868" i="4" s="1"/>
  <c r="K868" i="4" s="1"/>
  <c r="H868" i="4"/>
  <c r="G869" i="4"/>
  <c r="I869" i="4" s="1"/>
  <c r="K869" i="4" s="1"/>
  <c r="H869" i="4"/>
  <c r="G870" i="4"/>
  <c r="I870" i="4" s="1"/>
  <c r="K870" i="4" s="1"/>
  <c r="H870" i="4"/>
  <c r="G871" i="4"/>
  <c r="H871" i="4"/>
  <c r="G872" i="4"/>
  <c r="H872" i="4"/>
  <c r="G873" i="4"/>
  <c r="H873" i="4"/>
  <c r="G874" i="4"/>
  <c r="I874" i="4" s="1"/>
  <c r="K874" i="4" s="1"/>
  <c r="H874" i="4"/>
  <c r="G875" i="4"/>
  <c r="H875" i="4"/>
  <c r="G876" i="4"/>
  <c r="I876" i="4" s="1"/>
  <c r="K876" i="4" s="1"/>
  <c r="H876" i="4"/>
  <c r="G877" i="4"/>
  <c r="I877" i="4" s="1"/>
  <c r="K877" i="4" s="1"/>
  <c r="H877" i="4"/>
  <c r="G878" i="4"/>
  <c r="I878" i="4" s="1"/>
  <c r="K878" i="4" s="1"/>
  <c r="H878" i="4"/>
  <c r="G879" i="4"/>
  <c r="H879" i="4"/>
  <c r="G880" i="4"/>
  <c r="H880" i="4"/>
  <c r="G881" i="4"/>
  <c r="H881" i="4"/>
  <c r="G882" i="4"/>
  <c r="I882" i="4" s="1"/>
  <c r="K882" i="4" s="1"/>
  <c r="H882" i="4"/>
  <c r="G883" i="4"/>
  <c r="I883" i="4" s="1"/>
  <c r="K883" i="4" s="1"/>
  <c r="H883" i="4"/>
  <c r="G884" i="4"/>
  <c r="I884" i="4" s="1"/>
  <c r="K884" i="4" s="1"/>
  <c r="H884" i="4"/>
  <c r="G885" i="4"/>
  <c r="I885" i="4" s="1"/>
  <c r="K885" i="4" s="1"/>
  <c r="H885" i="4"/>
  <c r="G886" i="4"/>
  <c r="I886" i="4" s="1"/>
  <c r="K886" i="4" s="1"/>
  <c r="H886" i="4"/>
  <c r="G887" i="4"/>
  <c r="H887" i="4"/>
  <c r="G888" i="4"/>
  <c r="H888" i="4"/>
  <c r="G889" i="4"/>
  <c r="H889" i="4"/>
  <c r="G890" i="4"/>
  <c r="I890" i="4" s="1"/>
  <c r="K890" i="4" s="1"/>
  <c r="H890" i="4"/>
  <c r="G891" i="4"/>
  <c r="I891" i="4" s="1"/>
  <c r="K891" i="4" s="1"/>
  <c r="H891" i="4"/>
  <c r="G892" i="4"/>
  <c r="H892" i="4"/>
  <c r="G893" i="4"/>
  <c r="I893" i="4" s="1"/>
  <c r="K893" i="4" s="1"/>
  <c r="H893" i="4"/>
  <c r="G894" i="4"/>
  <c r="I894" i="4" s="1"/>
  <c r="K894" i="4" s="1"/>
  <c r="H894" i="4"/>
  <c r="G895" i="4"/>
  <c r="H895" i="4"/>
  <c r="G896" i="4"/>
  <c r="H896" i="4"/>
  <c r="G897" i="4"/>
  <c r="H897" i="4"/>
  <c r="G898" i="4"/>
  <c r="I898" i="4" s="1"/>
  <c r="K898" i="4" s="1"/>
  <c r="H898" i="4"/>
  <c r="G899" i="4"/>
  <c r="I899" i="4" s="1"/>
  <c r="K899" i="4" s="1"/>
  <c r="H899" i="4"/>
  <c r="G900" i="4"/>
  <c r="I900" i="4" s="1"/>
  <c r="K900" i="4" s="1"/>
  <c r="H900" i="4"/>
  <c r="G901" i="4"/>
  <c r="I901" i="4" s="1"/>
  <c r="K901" i="4" s="1"/>
  <c r="H901" i="4"/>
  <c r="G902" i="4"/>
  <c r="I902" i="4" s="1"/>
  <c r="K902" i="4" s="1"/>
  <c r="H902" i="4"/>
  <c r="G903" i="4"/>
  <c r="H903" i="4"/>
  <c r="G904" i="4"/>
  <c r="H904" i="4"/>
  <c r="G905" i="4"/>
  <c r="H905" i="4"/>
  <c r="G906" i="4"/>
  <c r="I906" i="4" s="1"/>
  <c r="K906" i="4" s="1"/>
  <c r="H906" i="4"/>
  <c r="G907" i="4"/>
  <c r="H907" i="4"/>
  <c r="G908" i="4"/>
  <c r="I908" i="4" s="1"/>
  <c r="K908" i="4" s="1"/>
  <c r="H908" i="4"/>
  <c r="G909" i="4"/>
  <c r="I909" i="4" s="1"/>
  <c r="K909" i="4" s="1"/>
  <c r="H909" i="4"/>
  <c r="G910" i="4"/>
  <c r="I910" i="4" s="1"/>
  <c r="K910" i="4" s="1"/>
  <c r="H910" i="4"/>
  <c r="G911" i="4"/>
  <c r="H911" i="4"/>
  <c r="G912" i="4"/>
  <c r="H912" i="4"/>
  <c r="G913" i="4"/>
  <c r="H913" i="4"/>
  <c r="G914" i="4"/>
  <c r="I914" i="4" s="1"/>
  <c r="K914" i="4" s="1"/>
  <c r="H914" i="4"/>
  <c r="G915" i="4"/>
  <c r="I915" i="4" s="1"/>
  <c r="K915" i="4" s="1"/>
  <c r="H915" i="4"/>
  <c r="G916" i="4"/>
  <c r="I916" i="4" s="1"/>
  <c r="K916" i="4" s="1"/>
  <c r="H916" i="4"/>
  <c r="G917" i="4"/>
  <c r="I917" i="4" s="1"/>
  <c r="K917" i="4" s="1"/>
  <c r="H917" i="4"/>
  <c r="G918" i="4"/>
  <c r="I918" i="4" s="1"/>
  <c r="K918" i="4" s="1"/>
  <c r="H918" i="4"/>
  <c r="G919" i="4"/>
  <c r="H919" i="4"/>
  <c r="G920" i="4"/>
  <c r="H920" i="4"/>
  <c r="G921" i="4"/>
  <c r="H921" i="4"/>
  <c r="G922" i="4"/>
  <c r="I922" i="4" s="1"/>
  <c r="K922" i="4" s="1"/>
  <c r="H922" i="4"/>
  <c r="G923" i="4"/>
  <c r="I923" i="4" s="1"/>
  <c r="K923" i="4" s="1"/>
  <c r="H923" i="4"/>
  <c r="G924" i="4"/>
  <c r="H924" i="4"/>
  <c r="G925" i="4"/>
  <c r="I925" i="4" s="1"/>
  <c r="K925" i="4" s="1"/>
  <c r="H925" i="4"/>
  <c r="G926" i="4"/>
  <c r="I926" i="4" s="1"/>
  <c r="K926" i="4" s="1"/>
  <c r="H926" i="4"/>
  <c r="G927" i="4"/>
  <c r="H927" i="4"/>
  <c r="G928" i="4"/>
  <c r="H928" i="4"/>
  <c r="G929" i="4"/>
  <c r="H929" i="4"/>
  <c r="G930" i="4"/>
  <c r="I930" i="4" s="1"/>
  <c r="K930" i="4" s="1"/>
  <c r="H930" i="4"/>
  <c r="G931" i="4"/>
  <c r="I931" i="4" s="1"/>
  <c r="K931" i="4" s="1"/>
  <c r="H931" i="4"/>
  <c r="G932" i="4"/>
  <c r="I932" i="4" s="1"/>
  <c r="K932" i="4" s="1"/>
  <c r="H932" i="4"/>
  <c r="G933" i="4"/>
  <c r="I933" i="4" s="1"/>
  <c r="K933" i="4" s="1"/>
  <c r="H933" i="4"/>
  <c r="G934" i="4"/>
  <c r="I934" i="4" s="1"/>
  <c r="K934" i="4" s="1"/>
  <c r="H934" i="4"/>
  <c r="G935" i="4"/>
  <c r="H935" i="4"/>
  <c r="G936" i="4"/>
  <c r="H936" i="4"/>
  <c r="G937" i="4"/>
  <c r="H937" i="4"/>
  <c r="G938" i="4"/>
  <c r="I938" i="4" s="1"/>
  <c r="K938" i="4" s="1"/>
  <c r="H938" i="4"/>
  <c r="G939" i="4"/>
  <c r="H939" i="4"/>
  <c r="G940" i="4"/>
  <c r="I940" i="4" s="1"/>
  <c r="K940" i="4" s="1"/>
  <c r="H940" i="4"/>
  <c r="G941" i="4"/>
  <c r="I941" i="4" s="1"/>
  <c r="K941" i="4" s="1"/>
  <c r="H941" i="4"/>
  <c r="G942" i="4"/>
  <c r="I942" i="4" s="1"/>
  <c r="K942" i="4" s="1"/>
  <c r="H942" i="4"/>
  <c r="G943" i="4"/>
  <c r="H943" i="4"/>
  <c r="G944" i="4"/>
  <c r="H944" i="4"/>
  <c r="G945" i="4"/>
  <c r="H945" i="4"/>
  <c r="G946" i="4"/>
  <c r="I946" i="4" s="1"/>
  <c r="K946" i="4" s="1"/>
  <c r="H946" i="4"/>
  <c r="G947" i="4"/>
  <c r="I947" i="4" s="1"/>
  <c r="K947" i="4" s="1"/>
  <c r="H947" i="4"/>
  <c r="G948" i="4"/>
  <c r="I948" i="4" s="1"/>
  <c r="K948" i="4" s="1"/>
  <c r="H948" i="4"/>
  <c r="G949" i="4"/>
  <c r="I949" i="4" s="1"/>
  <c r="K949" i="4" s="1"/>
  <c r="H949" i="4"/>
  <c r="G950" i="4"/>
  <c r="I950" i="4" s="1"/>
  <c r="K950" i="4" s="1"/>
  <c r="H950" i="4"/>
  <c r="G951" i="4"/>
  <c r="H951" i="4"/>
  <c r="G952" i="4"/>
  <c r="H952" i="4"/>
  <c r="G953" i="4"/>
  <c r="H953" i="4"/>
  <c r="G954" i="4"/>
  <c r="I954" i="4" s="1"/>
  <c r="K954" i="4" s="1"/>
  <c r="H954" i="4"/>
  <c r="G955" i="4"/>
  <c r="I955" i="4" s="1"/>
  <c r="K955" i="4" s="1"/>
  <c r="H955" i="4"/>
  <c r="G956" i="4"/>
  <c r="H956" i="4"/>
  <c r="G957" i="4"/>
  <c r="I957" i="4" s="1"/>
  <c r="K957" i="4" s="1"/>
  <c r="H957" i="4"/>
  <c r="G958" i="4"/>
  <c r="I958" i="4" s="1"/>
  <c r="K958" i="4" s="1"/>
  <c r="H958" i="4"/>
  <c r="G959" i="4"/>
  <c r="H959" i="4"/>
  <c r="G960" i="4"/>
  <c r="H960" i="4"/>
  <c r="G961" i="4"/>
  <c r="H961" i="4"/>
  <c r="G962" i="4"/>
  <c r="I962" i="4" s="1"/>
  <c r="K962" i="4" s="1"/>
  <c r="H962" i="4"/>
  <c r="G963" i="4"/>
  <c r="I963" i="4" s="1"/>
  <c r="K963" i="4" s="1"/>
  <c r="H963" i="4"/>
  <c r="G964" i="4"/>
  <c r="I964" i="4" s="1"/>
  <c r="K964" i="4" s="1"/>
  <c r="H964" i="4"/>
  <c r="G965" i="4"/>
  <c r="I965" i="4" s="1"/>
  <c r="K965" i="4" s="1"/>
  <c r="H965" i="4"/>
  <c r="G966" i="4"/>
  <c r="I966" i="4" s="1"/>
  <c r="K966" i="4" s="1"/>
  <c r="H966" i="4"/>
  <c r="G967" i="4"/>
  <c r="H967" i="4"/>
  <c r="G968" i="4"/>
  <c r="H968" i="4"/>
  <c r="G969" i="4"/>
  <c r="H969" i="4"/>
  <c r="G970" i="4"/>
  <c r="I970" i="4" s="1"/>
  <c r="K970" i="4" s="1"/>
  <c r="H970" i="4"/>
  <c r="G971" i="4"/>
  <c r="H971" i="4"/>
  <c r="G972" i="4"/>
  <c r="I972" i="4" s="1"/>
  <c r="K972" i="4" s="1"/>
  <c r="H972" i="4"/>
  <c r="G973" i="4"/>
  <c r="I973" i="4" s="1"/>
  <c r="K973" i="4" s="1"/>
  <c r="H973" i="4"/>
  <c r="G974" i="4"/>
  <c r="I974" i="4" s="1"/>
  <c r="K974" i="4" s="1"/>
  <c r="H974" i="4"/>
  <c r="G975" i="4"/>
  <c r="H975" i="4"/>
  <c r="G976" i="4"/>
  <c r="H976" i="4"/>
  <c r="G977" i="4"/>
  <c r="H977" i="4"/>
  <c r="G978" i="4"/>
  <c r="I978" i="4" s="1"/>
  <c r="K978" i="4" s="1"/>
  <c r="H978" i="4"/>
  <c r="G979" i="4"/>
  <c r="I979" i="4" s="1"/>
  <c r="K979" i="4" s="1"/>
  <c r="H979" i="4"/>
  <c r="G980" i="4"/>
  <c r="I980" i="4" s="1"/>
  <c r="K980" i="4" s="1"/>
  <c r="H980" i="4"/>
  <c r="G981" i="4"/>
  <c r="I981" i="4" s="1"/>
  <c r="K981" i="4" s="1"/>
  <c r="H981" i="4"/>
  <c r="G982" i="4"/>
  <c r="I982" i="4" s="1"/>
  <c r="K982" i="4" s="1"/>
  <c r="H982" i="4"/>
  <c r="G983" i="4"/>
  <c r="H983" i="4"/>
  <c r="G984" i="4"/>
  <c r="H984" i="4"/>
  <c r="G985" i="4"/>
  <c r="H985" i="4"/>
  <c r="G986" i="4"/>
  <c r="I986" i="4" s="1"/>
  <c r="K986" i="4" s="1"/>
  <c r="H986" i="4"/>
  <c r="G987" i="4"/>
  <c r="I987" i="4" s="1"/>
  <c r="K987" i="4" s="1"/>
  <c r="H987" i="4"/>
  <c r="G988" i="4"/>
  <c r="H988" i="4"/>
  <c r="G989" i="4"/>
  <c r="I989" i="4" s="1"/>
  <c r="K989" i="4" s="1"/>
  <c r="H989" i="4"/>
  <c r="G990" i="4"/>
  <c r="I990" i="4" s="1"/>
  <c r="K990" i="4" s="1"/>
  <c r="H990" i="4"/>
  <c r="G991" i="4"/>
  <c r="H991" i="4"/>
  <c r="G992" i="4"/>
  <c r="H992" i="4"/>
  <c r="G993" i="4"/>
  <c r="H993" i="4"/>
  <c r="G994" i="4"/>
  <c r="I994" i="4" s="1"/>
  <c r="K994" i="4" s="1"/>
  <c r="H994" i="4"/>
  <c r="G995" i="4"/>
  <c r="I995" i="4" s="1"/>
  <c r="K995" i="4" s="1"/>
  <c r="H995" i="4"/>
  <c r="G996" i="4"/>
  <c r="I996" i="4" s="1"/>
  <c r="K996" i="4" s="1"/>
  <c r="H996" i="4"/>
  <c r="G997" i="4"/>
  <c r="I997" i="4" s="1"/>
  <c r="K997" i="4" s="1"/>
  <c r="H997" i="4"/>
  <c r="G998" i="4"/>
  <c r="I998" i="4" s="1"/>
  <c r="K998" i="4" s="1"/>
  <c r="H998" i="4"/>
  <c r="G999" i="4"/>
  <c r="H999" i="4"/>
  <c r="G1000" i="4"/>
  <c r="H1000" i="4"/>
  <c r="G1001" i="4"/>
  <c r="H1001" i="4"/>
  <c r="G1002" i="4"/>
  <c r="I1002" i="4" s="1"/>
  <c r="K1002" i="4" s="1"/>
  <c r="H1002" i="4"/>
  <c r="G1003" i="4"/>
  <c r="H1003" i="4"/>
  <c r="G1004" i="4"/>
  <c r="I1004" i="4" s="1"/>
  <c r="K1004" i="4" s="1"/>
  <c r="H1004" i="4"/>
  <c r="G1005" i="4"/>
  <c r="I1005" i="4" s="1"/>
  <c r="K1005" i="4" s="1"/>
  <c r="H1005" i="4"/>
  <c r="H6" i="4"/>
  <c r="G6" i="4"/>
  <c r="I6" i="4" s="1"/>
  <c r="K6" i="4" s="1"/>
  <c r="G7" i="3"/>
  <c r="G8" i="3"/>
  <c r="G9" i="3"/>
  <c r="G10" i="3"/>
  <c r="G11" i="3"/>
  <c r="G12" i="3"/>
  <c r="G13" i="3"/>
  <c r="G14" i="3"/>
  <c r="G15" i="3"/>
  <c r="H15" i="3" s="1"/>
  <c r="I15" i="3" s="1"/>
  <c r="J15" i="3" s="1"/>
  <c r="K15" i="3" s="1"/>
  <c r="L15" i="3" s="1"/>
  <c r="M15" i="3" s="1"/>
  <c r="N15" i="3" s="1"/>
  <c r="O15" i="3" s="1"/>
  <c r="P15" i="3" s="1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H28" i="3" s="1"/>
  <c r="I28" i="3" s="1"/>
  <c r="J28" i="3" s="1"/>
  <c r="K28" i="3" s="1"/>
  <c r="L28" i="3" s="1"/>
  <c r="M28" i="3" s="1"/>
  <c r="N28" i="3" s="1"/>
  <c r="O28" i="3" s="1"/>
  <c r="P28" i="3" s="1"/>
  <c r="G29" i="3"/>
  <c r="G30" i="3"/>
  <c r="H30" i="3" s="1"/>
  <c r="I30" i="3" s="1"/>
  <c r="J30" i="3" s="1"/>
  <c r="K30" i="3" s="1"/>
  <c r="L30" i="3" s="1"/>
  <c r="M30" i="3" s="1"/>
  <c r="N30" i="3" s="1"/>
  <c r="O30" i="3" s="1"/>
  <c r="P30" i="3" s="1"/>
  <c r="G31" i="3"/>
  <c r="G32" i="3"/>
  <c r="G33" i="3"/>
  <c r="G34" i="3"/>
  <c r="G35" i="3"/>
  <c r="G36" i="3"/>
  <c r="G37" i="3"/>
  <c r="G38" i="3"/>
  <c r="H38" i="3" s="1"/>
  <c r="I38" i="3" s="1"/>
  <c r="J38" i="3" s="1"/>
  <c r="K38" i="3" s="1"/>
  <c r="L38" i="3" s="1"/>
  <c r="M38" i="3" s="1"/>
  <c r="N38" i="3" s="1"/>
  <c r="O38" i="3" s="1"/>
  <c r="P38" i="3" s="1"/>
  <c r="G39" i="3"/>
  <c r="G40" i="3"/>
  <c r="G41" i="3"/>
  <c r="H41" i="3" s="1"/>
  <c r="I41" i="3" s="1"/>
  <c r="J41" i="3" s="1"/>
  <c r="K41" i="3" s="1"/>
  <c r="L41" i="3" s="1"/>
  <c r="M41" i="3" s="1"/>
  <c r="N41" i="3" s="1"/>
  <c r="O41" i="3" s="1"/>
  <c r="P41" i="3" s="1"/>
  <c r="G42" i="3"/>
  <c r="G43" i="3"/>
  <c r="G44" i="3"/>
  <c r="G45" i="3"/>
  <c r="G46" i="3"/>
  <c r="G47" i="3"/>
  <c r="G48" i="3"/>
  <c r="G49" i="3"/>
  <c r="H49" i="3" s="1"/>
  <c r="I49" i="3" s="1"/>
  <c r="J49" i="3" s="1"/>
  <c r="K49" i="3" s="1"/>
  <c r="L49" i="3" s="1"/>
  <c r="M49" i="3" s="1"/>
  <c r="N49" i="3" s="1"/>
  <c r="O49" i="3" s="1"/>
  <c r="P49" i="3" s="1"/>
  <c r="G50" i="3"/>
  <c r="G51" i="3"/>
  <c r="G52" i="3"/>
  <c r="G53" i="3"/>
  <c r="G54" i="3"/>
  <c r="H54" i="3" s="1"/>
  <c r="I54" i="3" s="1"/>
  <c r="J54" i="3" s="1"/>
  <c r="K54" i="3" s="1"/>
  <c r="L54" i="3" s="1"/>
  <c r="M54" i="3" s="1"/>
  <c r="N54" i="3" s="1"/>
  <c r="O54" i="3" s="1"/>
  <c r="P54" i="3" s="1"/>
  <c r="G55" i="3"/>
  <c r="H55" i="3" s="1"/>
  <c r="I55" i="3" s="1"/>
  <c r="J55" i="3" s="1"/>
  <c r="K55" i="3" s="1"/>
  <c r="L55" i="3" s="1"/>
  <c r="M55" i="3" s="1"/>
  <c r="N55" i="3" s="1"/>
  <c r="O55" i="3" s="1"/>
  <c r="P55" i="3" s="1"/>
  <c r="G56" i="3"/>
  <c r="G57" i="3"/>
  <c r="G58" i="3"/>
  <c r="G59" i="3"/>
  <c r="G60" i="3"/>
  <c r="G61" i="3"/>
  <c r="G62" i="3"/>
  <c r="G63" i="3"/>
  <c r="H63" i="3" s="1"/>
  <c r="I63" i="3" s="1"/>
  <c r="J63" i="3" s="1"/>
  <c r="K63" i="3" s="1"/>
  <c r="L63" i="3" s="1"/>
  <c r="M63" i="3" s="1"/>
  <c r="N63" i="3" s="1"/>
  <c r="O63" i="3" s="1"/>
  <c r="P63" i="3" s="1"/>
  <c r="G64" i="3"/>
  <c r="G65" i="3"/>
  <c r="H65" i="3" s="1"/>
  <c r="I65" i="3" s="1"/>
  <c r="J65" i="3" s="1"/>
  <c r="K65" i="3" s="1"/>
  <c r="L65" i="3" s="1"/>
  <c r="M65" i="3" s="1"/>
  <c r="N65" i="3" s="1"/>
  <c r="O65" i="3" s="1"/>
  <c r="P65" i="3" s="1"/>
  <c r="G66" i="3"/>
  <c r="G67" i="3"/>
  <c r="G68" i="3"/>
  <c r="H68" i="3" s="1"/>
  <c r="I68" i="3" s="1"/>
  <c r="J68" i="3" s="1"/>
  <c r="K68" i="3" s="1"/>
  <c r="L68" i="3" s="1"/>
  <c r="M68" i="3" s="1"/>
  <c r="N68" i="3" s="1"/>
  <c r="O68" i="3" s="1"/>
  <c r="P68" i="3" s="1"/>
  <c r="G69" i="3"/>
  <c r="G70" i="3"/>
  <c r="G71" i="3"/>
  <c r="G72" i="3"/>
  <c r="G73" i="3"/>
  <c r="G74" i="3"/>
  <c r="G75" i="3"/>
  <c r="G76" i="3"/>
  <c r="H76" i="3" s="1"/>
  <c r="I76" i="3" s="1"/>
  <c r="J76" i="3" s="1"/>
  <c r="K76" i="3" s="1"/>
  <c r="L76" i="3" s="1"/>
  <c r="M76" i="3" s="1"/>
  <c r="N76" i="3" s="1"/>
  <c r="O76" i="3" s="1"/>
  <c r="P76" i="3" s="1"/>
  <c r="G77" i="3"/>
  <c r="G78" i="3"/>
  <c r="G79" i="3"/>
  <c r="H79" i="3" s="1"/>
  <c r="I79" i="3" s="1"/>
  <c r="J79" i="3" s="1"/>
  <c r="K79" i="3" s="1"/>
  <c r="L79" i="3" s="1"/>
  <c r="M79" i="3" s="1"/>
  <c r="N79" i="3" s="1"/>
  <c r="O79" i="3" s="1"/>
  <c r="P79" i="3" s="1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H92" i="3" s="1"/>
  <c r="I92" i="3" s="1"/>
  <c r="J92" i="3" s="1"/>
  <c r="K92" i="3" s="1"/>
  <c r="L92" i="3" s="1"/>
  <c r="M92" i="3" s="1"/>
  <c r="N92" i="3" s="1"/>
  <c r="O92" i="3" s="1"/>
  <c r="P92" i="3" s="1"/>
  <c r="G93" i="3"/>
  <c r="G94" i="3"/>
  <c r="H94" i="3" s="1"/>
  <c r="I94" i="3" s="1"/>
  <c r="J94" i="3" s="1"/>
  <c r="K94" i="3" s="1"/>
  <c r="L94" i="3" s="1"/>
  <c r="M94" i="3" s="1"/>
  <c r="N94" i="3" s="1"/>
  <c r="O94" i="3" s="1"/>
  <c r="P94" i="3" s="1"/>
  <c r="G95" i="3"/>
  <c r="G96" i="3"/>
  <c r="G97" i="3"/>
  <c r="G98" i="3"/>
  <c r="G99" i="3"/>
  <c r="G100" i="3"/>
  <c r="G101" i="3"/>
  <c r="G102" i="3"/>
  <c r="H102" i="3" s="1"/>
  <c r="I102" i="3" s="1"/>
  <c r="J102" i="3" s="1"/>
  <c r="K102" i="3" s="1"/>
  <c r="L102" i="3" s="1"/>
  <c r="M102" i="3" s="1"/>
  <c r="N102" i="3" s="1"/>
  <c r="O102" i="3" s="1"/>
  <c r="P102" i="3" s="1"/>
  <c r="G103" i="3"/>
  <c r="G104" i="3"/>
  <c r="G105" i="3"/>
  <c r="H105" i="3" s="1"/>
  <c r="I105" i="3" s="1"/>
  <c r="J105" i="3" s="1"/>
  <c r="K105" i="3" s="1"/>
  <c r="L105" i="3" s="1"/>
  <c r="M105" i="3" s="1"/>
  <c r="N105" i="3" s="1"/>
  <c r="O105" i="3" s="1"/>
  <c r="P105" i="3" s="1"/>
  <c r="G106" i="3"/>
  <c r="G107" i="3"/>
  <c r="G108" i="3"/>
  <c r="G109" i="3"/>
  <c r="G110" i="3"/>
  <c r="G111" i="3"/>
  <c r="G112" i="3"/>
  <c r="G113" i="3"/>
  <c r="H113" i="3" s="1"/>
  <c r="I113" i="3" s="1"/>
  <c r="J113" i="3" s="1"/>
  <c r="K113" i="3" s="1"/>
  <c r="L113" i="3" s="1"/>
  <c r="M113" i="3" s="1"/>
  <c r="N113" i="3" s="1"/>
  <c r="O113" i="3" s="1"/>
  <c r="P113" i="3" s="1"/>
  <c r="G114" i="3"/>
  <c r="G115" i="3"/>
  <c r="G116" i="3"/>
  <c r="G117" i="3"/>
  <c r="G118" i="3"/>
  <c r="H118" i="3" s="1"/>
  <c r="I118" i="3" s="1"/>
  <c r="J118" i="3" s="1"/>
  <c r="K118" i="3" s="1"/>
  <c r="L118" i="3" s="1"/>
  <c r="M118" i="3" s="1"/>
  <c r="N118" i="3" s="1"/>
  <c r="O118" i="3" s="1"/>
  <c r="P118" i="3" s="1"/>
  <c r="G119" i="3"/>
  <c r="H119" i="3" s="1"/>
  <c r="I119" i="3" s="1"/>
  <c r="J119" i="3" s="1"/>
  <c r="K119" i="3" s="1"/>
  <c r="L119" i="3" s="1"/>
  <c r="M119" i="3" s="1"/>
  <c r="N119" i="3" s="1"/>
  <c r="O119" i="3" s="1"/>
  <c r="P119" i="3" s="1"/>
  <c r="G120" i="3"/>
  <c r="G121" i="3"/>
  <c r="G122" i="3"/>
  <c r="G123" i="3"/>
  <c r="G124" i="3"/>
  <c r="G125" i="3"/>
  <c r="G126" i="3"/>
  <c r="G127" i="3"/>
  <c r="H127" i="3" s="1"/>
  <c r="I127" i="3" s="1"/>
  <c r="J127" i="3" s="1"/>
  <c r="K127" i="3" s="1"/>
  <c r="L127" i="3" s="1"/>
  <c r="M127" i="3" s="1"/>
  <c r="N127" i="3" s="1"/>
  <c r="O127" i="3" s="1"/>
  <c r="P127" i="3" s="1"/>
  <c r="G128" i="3"/>
  <c r="G129" i="3"/>
  <c r="H129" i="3" s="1"/>
  <c r="I129" i="3" s="1"/>
  <c r="J129" i="3" s="1"/>
  <c r="K129" i="3" s="1"/>
  <c r="L129" i="3" s="1"/>
  <c r="M129" i="3" s="1"/>
  <c r="N129" i="3" s="1"/>
  <c r="O129" i="3" s="1"/>
  <c r="P129" i="3" s="1"/>
  <c r="G130" i="3"/>
  <c r="G131" i="3"/>
  <c r="G132" i="3"/>
  <c r="H132" i="3" s="1"/>
  <c r="I132" i="3" s="1"/>
  <c r="J132" i="3" s="1"/>
  <c r="K132" i="3" s="1"/>
  <c r="L132" i="3" s="1"/>
  <c r="M132" i="3" s="1"/>
  <c r="N132" i="3" s="1"/>
  <c r="O132" i="3" s="1"/>
  <c r="P132" i="3" s="1"/>
  <c r="G133" i="3"/>
  <c r="G134" i="3"/>
  <c r="G135" i="3"/>
  <c r="G136" i="3"/>
  <c r="G137" i="3"/>
  <c r="G138" i="3"/>
  <c r="G139" i="3"/>
  <c r="G140" i="3"/>
  <c r="H140" i="3" s="1"/>
  <c r="I140" i="3" s="1"/>
  <c r="J140" i="3" s="1"/>
  <c r="K140" i="3" s="1"/>
  <c r="L140" i="3" s="1"/>
  <c r="M140" i="3" s="1"/>
  <c r="N140" i="3" s="1"/>
  <c r="O140" i="3" s="1"/>
  <c r="P140" i="3" s="1"/>
  <c r="G141" i="3"/>
  <c r="G142" i="3"/>
  <c r="H142" i="3" s="1"/>
  <c r="I142" i="3" s="1"/>
  <c r="J142" i="3" s="1"/>
  <c r="K142" i="3" s="1"/>
  <c r="L142" i="3" s="1"/>
  <c r="M142" i="3" s="1"/>
  <c r="N142" i="3" s="1"/>
  <c r="O142" i="3" s="1"/>
  <c r="P142" i="3" s="1"/>
  <c r="G143" i="3"/>
  <c r="H143" i="3" s="1"/>
  <c r="I143" i="3" s="1"/>
  <c r="J143" i="3" s="1"/>
  <c r="K143" i="3" s="1"/>
  <c r="L143" i="3" s="1"/>
  <c r="M143" i="3" s="1"/>
  <c r="N143" i="3" s="1"/>
  <c r="O143" i="3" s="1"/>
  <c r="P143" i="3" s="1"/>
  <c r="G144" i="3"/>
  <c r="G145" i="3"/>
  <c r="G146" i="3"/>
  <c r="G147" i="3"/>
  <c r="G148" i="3"/>
  <c r="G149" i="3"/>
  <c r="G150" i="3"/>
  <c r="H150" i="3" s="1"/>
  <c r="I150" i="3" s="1"/>
  <c r="J150" i="3" s="1"/>
  <c r="K150" i="3" s="1"/>
  <c r="L150" i="3" s="1"/>
  <c r="M150" i="3" s="1"/>
  <c r="N150" i="3" s="1"/>
  <c r="O150" i="3" s="1"/>
  <c r="P150" i="3" s="1"/>
  <c r="G151" i="3"/>
  <c r="G152" i="3"/>
  <c r="G153" i="3"/>
  <c r="H153" i="3" s="1"/>
  <c r="I153" i="3" s="1"/>
  <c r="J153" i="3" s="1"/>
  <c r="K153" i="3" s="1"/>
  <c r="L153" i="3" s="1"/>
  <c r="M153" i="3" s="1"/>
  <c r="N153" i="3" s="1"/>
  <c r="O153" i="3" s="1"/>
  <c r="P153" i="3" s="1"/>
  <c r="G154" i="3"/>
  <c r="G155" i="3"/>
  <c r="G156" i="3"/>
  <c r="H156" i="3" s="1"/>
  <c r="I156" i="3" s="1"/>
  <c r="J156" i="3" s="1"/>
  <c r="K156" i="3" s="1"/>
  <c r="L156" i="3" s="1"/>
  <c r="M156" i="3" s="1"/>
  <c r="N156" i="3" s="1"/>
  <c r="O156" i="3" s="1"/>
  <c r="P156" i="3" s="1"/>
  <c r="G157" i="3"/>
  <c r="G158" i="3"/>
  <c r="H158" i="3" s="1"/>
  <c r="I158" i="3" s="1"/>
  <c r="J158" i="3" s="1"/>
  <c r="K158" i="3" s="1"/>
  <c r="L158" i="3" s="1"/>
  <c r="M158" i="3" s="1"/>
  <c r="N158" i="3" s="1"/>
  <c r="O158" i="3" s="1"/>
  <c r="P158" i="3" s="1"/>
  <c r="G159" i="3"/>
  <c r="G160" i="3"/>
  <c r="G161" i="3"/>
  <c r="H161" i="3" s="1"/>
  <c r="I161" i="3" s="1"/>
  <c r="J161" i="3" s="1"/>
  <c r="K161" i="3" s="1"/>
  <c r="L161" i="3" s="1"/>
  <c r="M161" i="3" s="1"/>
  <c r="N161" i="3" s="1"/>
  <c r="O161" i="3" s="1"/>
  <c r="P161" i="3" s="1"/>
  <c r="G162" i="3"/>
  <c r="G163" i="3"/>
  <c r="G164" i="3"/>
  <c r="G165" i="3"/>
  <c r="G166" i="3"/>
  <c r="H166" i="3" s="1"/>
  <c r="I166" i="3" s="1"/>
  <c r="J166" i="3" s="1"/>
  <c r="K166" i="3" s="1"/>
  <c r="L166" i="3" s="1"/>
  <c r="M166" i="3" s="1"/>
  <c r="N166" i="3" s="1"/>
  <c r="O166" i="3" s="1"/>
  <c r="P166" i="3" s="1"/>
  <c r="G167" i="3"/>
  <c r="H167" i="3" s="1"/>
  <c r="I167" i="3" s="1"/>
  <c r="J167" i="3" s="1"/>
  <c r="K167" i="3" s="1"/>
  <c r="L167" i="3" s="1"/>
  <c r="M167" i="3" s="1"/>
  <c r="N167" i="3" s="1"/>
  <c r="O167" i="3" s="1"/>
  <c r="P167" i="3" s="1"/>
  <c r="G168" i="3"/>
  <c r="G169" i="3"/>
  <c r="H169" i="3" s="1"/>
  <c r="I169" i="3" s="1"/>
  <c r="J169" i="3" s="1"/>
  <c r="K169" i="3" s="1"/>
  <c r="L169" i="3" s="1"/>
  <c r="M169" i="3" s="1"/>
  <c r="N169" i="3" s="1"/>
  <c r="O169" i="3" s="1"/>
  <c r="P169" i="3" s="1"/>
  <c r="G170" i="3"/>
  <c r="G171" i="3"/>
  <c r="G172" i="3"/>
  <c r="G173" i="3"/>
  <c r="G174" i="3"/>
  <c r="G175" i="3"/>
  <c r="H175" i="3" s="1"/>
  <c r="I175" i="3" s="1"/>
  <c r="J175" i="3" s="1"/>
  <c r="K175" i="3" s="1"/>
  <c r="L175" i="3" s="1"/>
  <c r="M175" i="3" s="1"/>
  <c r="N175" i="3" s="1"/>
  <c r="O175" i="3" s="1"/>
  <c r="P175" i="3" s="1"/>
  <c r="G176" i="3"/>
  <c r="G177" i="3"/>
  <c r="H177" i="3" s="1"/>
  <c r="I177" i="3" s="1"/>
  <c r="J177" i="3" s="1"/>
  <c r="K177" i="3" s="1"/>
  <c r="L177" i="3" s="1"/>
  <c r="M177" i="3" s="1"/>
  <c r="N177" i="3" s="1"/>
  <c r="O177" i="3" s="1"/>
  <c r="P177" i="3" s="1"/>
  <c r="G178" i="3"/>
  <c r="G179" i="3"/>
  <c r="G180" i="3"/>
  <c r="H180" i="3" s="1"/>
  <c r="I180" i="3" s="1"/>
  <c r="J180" i="3" s="1"/>
  <c r="K180" i="3" s="1"/>
  <c r="L180" i="3" s="1"/>
  <c r="M180" i="3" s="1"/>
  <c r="N180" i="3" s="1"/>
  <c r="O180" i="3" s="1"/>
  <c r="P180" i="3" s="1"/>
  <c r="G181" i="3"/>
  <c r="G182" i="3"/>
  <c r="H182" i="3" s="1"/>
  <c r="I182" i="3" s="1"/>
  <c r="J182" i="3" s="1"/>
  <c r="K182" i="3" s="1"/>
  <c r="L182" i="3" s="1"/>
  <c r="M182" i="3" s="1"/>
  <c r="N182" i="3" s="1"/>
  <c r="O182" i="3" s="1"/>
  <c r="P182" i="3" s="1"/>
  <c r="G183" i="3"/>
  <c r="H183" i="3" s="1"/>
  <c r="I183" i="3" s="1"/>
  <c r="J183" i="3" s="1"/>
  <c r="K183" i="3" s="1"/>
  <c r="L183" i="3" s="1"/>
  <c r="M183" i="3" s="1"/>
  <c r="N183" i="3" s="1"/>
  <c r="O183" i="3" s="1"/>
  <c r="P183" i="3" s="1"/>
  <c r="G184" i="3"/>
  <c r="G185" i="3"/>
  <c r="G186" i="3"/>
  <c r="G187" i="3"/>
  <c r="G188" i="3"/>
  <c r="H188" i="3" s="1"/>
  <c r="I188" i="3" s="1"/>
  <c r="J188" i="3" s="1"/>
  <c r="K188" i="3" s="1"/>
  <c r="L188" i="3" s="1"/>
  <c r="M188" i="3" s="1"/>
  <c r="N188" i="3" s="1"/>
  <c r="O188" i="3" s="1"/>
  <c r="P188" i="3" s="1"/>
  <c r="G189" i="3"/>
  <c r="G190" i="3"/>
  <c r="G191" i="3"/>
  <c r="H191" i="3" s="1"/>
  <c r="I191" i="3" s="1"/>
  <c r="J191" i="3" s="1"/>
  <c r="K191" i="3" s="1"/>
  <c r="L191" i="3" s="1"/>
  <c r="M191" i="3" s="1"/>
  <c r="N191" i="3" s="1"/>
  <c r="O191" i="3" s="1"/>
  <c r="P191" i="3" s="1"/>
  <c r="G192" i="3"/>
  <c r="G193" i="3"/>
  <c r="H193" i="3" s="1"/>
  <c r="I193" i="3" s="1"/>
  <c r="J193" i="3" s="1"/>
  <c r="K193" i="3" s="1"/>
  <c r="L193" i="3" s="1"/>
  <c r="M193" i="3" s="1"/>
  <c r="N193" i="3" s="1"/>
  <c r="O193" i="3" s="1"/>
  <c r="P193" i="3" s="1"/>
  <c r="G194" i="3"/>
  <c r="G195" i="3"/>
  <c r="G196" i="3"/>
  <c r="H196" i="3" s="1"/>
  <c r="I196" i="3" s="1"/>
  <c r="J196" i="3" s="1"/>
  <c r="K196" i="3" s="1"/>
  <c r="L196" i="3" s="1"/>
  <c r="M196" i="3" s="1"/>
  <c r="N196" i="3" s="1"/>
  <c r="O196" i="3" s="1"/>
  <c r="P196" i="3" s="1"/>
  <c r="G197" i="3"/>
  <c r="G198" i="3"/>
  <c r="G199" i="3"/>
  <c r="G200" i="3"/>
  <c r="H200" i="3" s="1"/>
  <c r="I200" i="3" s="1"/>
  <c r="J200" i="3" s="1"/>
  <c r="K200" i="3" s="1"/>
  <c r="L200" i="3" s="1"/>
  <c r="M200" i="3" s="1"/>
  <c r="N200" i="3" s="1"/>
  <c r="O200" i="3" s="1"/>
  <c r="P200" i="3" s="1"/>
  <c r="G201" i="3"/>
  <c r="G202" i="3"/>
  <c r="G203" i="3"/>
  <c r="G204" i="3"/>
  <c r="H204" i="3" s="1"/>
  <c r="I204" i="3" s="1"/>
  <c r="J204" i="3" s="1"/>
  <c r="K204" i="3" s="1"/>
  <c r="L204" i="3" s="1"/>
  <c r="M204" i="3" s="1"/>
  <c r="N204" i="3" s="1"/>
  <c r="O204" i="3" s="1"/>
  <c r="P204" i="3" s="1"/>
  <c r="G205" i="3"/>
  <c r="G206" i="3"/>
  <c r="H206" i="3" s="1"/>
  <c r="I206" i="3" s="1"/>
  <c r="J206" i="3" s="1"/>
  <c r="K206" i="3" s="1"/>
  <c r="L206" i="3" s="1"/>
  <c r="M206" i="3" s="1"/>
  <c r="N206" i="3" s="1"/>
  <c r="O206" i="3" s="1"/>
  <c r="P206" i="3" s="1"/>
  <c r="G207" i="3"/>
  <c r="H207" i="3" s="1"/>
  <c r="I207" i="3" s="1"/>
  <c r="J207" i="3" s="1"/>
  <c r="K207" i="3" s="1"/>
  <c r="L207" i="3" s="1"/>
  <c r="M207" i="3" s="1"/>
  <c r="N207" i="3" s="1"/>
  <c r="O207" i="3" s="1"/>
  <c r="P207" i="3" s="1"/>
  <c r="G208" i="3"/>
  <c r="G209" i="3"/>
  <c r="G210" i="3"/>
  <c r="G211" i="3"/>
  <c r="G212" i="3"/>
  <c r="G213" i="3"/>
  <c r="G214" i="3"/>
  <c r="H214" i="3" s="1"/>
  <c r="I214" i="3" s="1"/>
  <c r="J214" i="3" s="1"/>
  <c r="K214" i="3" s="1"/>
  <c r="L214" i="3" s="1"/>
  <c r="M214" i="3" s="1"/>
  <c r="N214" i="3" s="1"/>
  <c r="O214" i="3" s="1"/>
  <c r="P214" i="3" s="1"/>
  <c r="G215" i="3"/>
  <c r="G216" i="3"/>
  <c r="G217" i="3"/>
  <c r="H217" i="3" s="1"/>
  <c r="I217" i="3" s="1"/>
  <c r="J217" i="3" s="1"/>
  <c r="K217" i="3" s="1"/>
  <c r="L217" i="3" s="1"/>
  <c r="M217" i="3" s="1"/>
  <c r="N217" i="3" s="1"/>
  <c r="O217" i="3" s="1"/>
  <c r="P217" i="3" s="1"/>
  <c r="G218" i="3"/>
  <c r="G219" i="3"/>
  <c r="G220" i="3"/>
  <c r="H220" i="3" s="1"/>
  <c r="I220" i="3" s="1"/>
  <c r="J220" i="3" s="1"/>
  <c r="K220" i="3" s="1"/>
  <c r="L220" i="3" s="1"/>
  <c r="M220" i="3" s="1"/>
  <c r="N220" i="3" s="1"/>
  <c r="O220" i="3" s="1"/>
  <c r="P220" i="3" s="1"/>
  <c r="G221" i="3"/>
  <c r="G222" i="3"/>
  <c r="H222" i="3" s="1"/>
  <c r="I222" i="3" s="1"/>
  <c r="J222" i="3" s="1"/>
  <c r="K222" i="3" s="1"/>
  <c r="L222" i="3" s="1"/>
  <c r="M222" i="3" s="1"/>
  <c r="N222" i="3" s="1"/>
  <c r="O222" i="3" s="1"/>
  <c r="P222" i="3" s="1"/>
  <c r="G223" i="3"/>
  <c r="G224" i="3"/>
  <c r="G225" i="3"/>
  <c r="H225" i="3" s="1"/>
  <c r="I225" i="3" s="1"/>
  <c r="J225" i="3" s="1"/>
  <c r="K225" i="3" s="1"/>
  <c r="L225" i="3" s="1"/>
  <c r="M225" i="3" s="1"/>
  <c r="N225" i="3" s="1"/>
  <c r="O225" i="3" s="1"/>
  <c r="P225" i="3" s="1"/>
  <c r="G226" i="3"/>
  <c r="G227" i="3"/>
  <c r="G228" i="3"/>
  <c r="G229" i="3"/>
  <c r="G230" i="3"/>
  <c r="H230" i="3" s="1"/>
  <c r="I230" i="3" s="1"/>
  <c r="J230" i="3" s="1"/>
  <c r="K230" i="3" s="1"/>
  <c r="L230" i="3" s="1"/>
  <c r="M230" i="3" s="1"/>
  <c r="N230" i="3" s="1"/>
  <c r="O230" i="3" s="1"/>
  <c r="P230" i="3" s="1"/>
  <c r="G231" i="3"/>
  <c r="H231" i="3" s="1"/>
  <c r="I231" i="3" s="1"/>
  <c r="J231" i="3" s="1"/>
  <c r="K231" i="3" s="1"/>
  <c r="L231" i="3" s="1"/>
  <c r="M231" i="3" s="1"/>
  <c r="N231" i="3" s="1"/>
  <c r="O231" i="3" s="1"/>
  <c r="P231" i="3" s="1"/>
  <c r="G232" i="3"/>
  <c r="G233" i="3"/>
  <c r="H233" i="3" s="1"/>
  <c r="I233" i="3" s="1"/>
  <c r="J233" i="3" s="1"/>
  <c r="K233" i="3" s="1"/>
  <c r="L233" i="3" s="1"/>
  <c r="M233" i="3" s="1"/>
  <c r="N233" i="3" s="1"/>
  <c r="O233" i="3" s="1"/>
  <c r="P233" i="3" s="1"/>
  <c r="G234" i="3"/>
  <c r="G235" i="3"/>
  <c r="G236" i="3"/>
  <c r="G237" i="3"/>
  <c r="G238" i="3"/>
  <c r="G239" i="3"/>
  <c r="H239" i="3" s="1"/>
  <c r="I239" i="3" s="1"/>
  <c r="J239" i="3" s="1"/>
  <c r="K239" i="3" s="1"/>
  <c r="L239" i="3" s="1"/>
  <c r="M239" i="3" s="1"/>
  <c r="N239" i="3" s="1"/>
  <c r="O239" i="3" s="1"/>
  <c r="P239" i="3" s="1"/>
  <c r="G240" i="3"/>
  <c r="G241" i="3"/>
  <c r="H241" i="3" s="1"/>
  <c r="I241" i="3" s="1"/>
  <c r="J241" i="3" s="1"/>
  <c r="K241" i="3" s="1"/>
  <c r="L241" i="3" s="1"/>
  <c r="M241" i="3" s="1"/>
  <c r="N241" i="3" s="1"/>
  <c r="O241" i="3" s="1"/>
  <c r="P241" i="3" s="1"/>
  <c r="G242" i="3"/>
  <c r="G243" i="3"/>
  <c r="G244" i="3"/>
  <c r="H244" i="3" s="1"/>
  <c r="I244" i="3" s="1"/>
  <c r="J244" i="3" s="1"/>
  <c r="K244" i="3" s="1"/>
  <c r="L244" i="3" s="1"/>
  <c r="M244" i="3" s="1"/>
  <c r="N244" i="3" s="1"/>
  <c r="O244" i="3" s="1"/>
  <c r="P244" i="3" s="1"/>
  <c r="G245" i="3"/>
  <c r="G246" i="3"/>
  <c r="H246" i="3" s="1"/>
  <c r="I246" i="3" s="1"/>
  <c r="J246" i="3" s="1"/>
  <c r="K246" i="3" s="1"/>
  <c r="L246" i="3" s="1"/>
  <c r="M246" i="3" s="1"/>
  <c r="N246" i="3" s="1"/>
  <c r="O246" i="3" s="1"/>
  <c r="P246" i="3" s="1"/>
  <c r="G247" i="3"/>
  <c r="H247" i="3" s="1"/>
  <c r="I247" i="3" s="1"/>
  <c r="J247" i="3" s="1"/>
  <c r="K247" i="3" s="1"/>
  <c r="L247" i="3" s="1"/>
  <c r="M247" i="3" s="1"/>
  <c r="N247" i="3" s="1"/>
  <c r="O247" i="3" s="1"/>
  <c r="P247" i="3" s="1"/>
  <c r="G248" i="3"/>
  <c r="G249" i="3"/>
  <c r="G250" i="3"/>
  <c r="G251" i="3"/>
  <c r="G252" i="3"/>
  <c r="H252" i="3" s="1"/>
  <c r="I252" i="3" s="1"/>
  <c r="J252" i="3" s="1"/>
  <c r="K252" i="3" s="1"/>
  <c r="L252" i="3" s="1"/>
  <c r="M252" i="3" s="1"/>
  <c r="N252" i="3" s="1"/>
  <c r="O252" i="3" s="1"/>
  <c r="P252" i="3" s="1"/>
  <c r="G253" i="3"/>
  <c r="G254" i="3"/>
  <c r="G255" i="3"/>
  <c r="H255" i="3" s="1"/>
  <c r="I255" i="3" s="1"/>
  <c r="J255" i="3" s="1"/>
  <c r="K255" i="3" s="1"/>
  <c r="L255" i="3" s="1"/>
  <c r="M255" i="3" s="1"/>
  <c r="N255" i="3" s="1"/>
  <c r="O255" i="3" s="1"/>
  <c r="P255" i="3" s="1"/>
  <c r="G256" i="3"/>
  <c r="G257" i="3"/>
  <c r="H257" i="3" s="1"/>
  <c r="I257" i="3" s="1"/>
  <c r="J257" i="3" s="1"/>
  <c r="K257" i="3" s="1"/>
  <c r="L257" i="3" s="1"/>
  <c r="M257" i="3" s="1"/>
  <c r="N257" i="3" s="1"/>
  <c r="O257" i="3" s="1"/>
  <c r="P257" i="3" s="1"/>
  <c r="G258" i="3"/>
  <c r="G259" i="3"/>
  <c r="G260" i="3"/>
  <c r="H260" i="3" s="1"/>
  <c r="I260" i="3" s="1"/>
  <c r="J260" i="3" s="1"/>
  <c r="K260" i="3" s="1"/>
  <c r="L260" i="3" s="1"/>
  <c r="M260" i="3" s="1"/>
  <c r="N260" i="3" s="1"/>
  <c r="O260" i="3" s="1"/>
  <c r="P260" i="3" s="1"/>
  <c r="G261" i="3"/>
  <c r="G262" i="3"/>
  <c r="G263" i="3"/>
  <c r="G264" i="3"/>
  <c r="G265" i="3"/>
  <c r="G266" i="3"/>
  <c r="G267" i="3"/>
  <c r="G268" i="3"/>
  <c r="H268" i="3" s="1"/>
  <c r="I268" i="3" s="1"/>
  <c r="J268" i="3" s="1"/>
  <c r="K268" i="3" s="1"/>
  <c r="L268" i="3" s="1"/>
  <c r="M268" i="3" s="1"/>
  <c r="N268" i="3" s="1"/>
  <c r="O268" i="3" s="1"/>
  <c r="P268" i="3" s="1"/>
  <c r="G269" i="3"/>
  <c r="G270" i="3"/>
  <c r="H270" i="3" s="1"/>
  <c r="I270" i="3" s="1"/>
  <c r="J270" i="3" s="1"/>
  <c r="K270" i="3" s="1"/>
  <c r="L270" i="3" s="1"/>
  <c r="M270" i="3" s="1"/>
  <c r="N270" i="3" s="1"/>
  <c r="O270" i="3" s="1"/>
  <c r="P270" i="3" s="1"/>
  <c r="G271" i="3"/>
  <c r="H271" i="3" s="1"/>
  <c r="I271" i="3" s="1"/>
  <c r="J271" i="3" s="1"/>
  <c r="K271" i="3" s="1"/>
  <c r="L271" i="3" s="1"/>
  <c r="M271" i="3" s="1"/>
  <c r="N271" i="3" s="1"/>
  <c r="O271" i="3" s="1"/>
  <c r="P271" i="3" s="1"/>
  <c r="G272" i="3"/>
  <c r="G273" i="3"/>
  <c r="G274" i="3"/>
  <c r="G275" i="3"/>
  <c r="G276" i="3"/>
  <c r="G277" i="3"/>
  <c r="G278" i="3"/>
  <c r="H278" i="3" s="1"/>
  <c r="I278" i="3" s="1"/>
  <c r="J278" i="3" s="1"/>
  <c r="K278" i="3" s="1"/>
  <c r="L278" i="3" s="1"/>
  <c r="M278" i="3" s="1"/>
  <c r="N278" i="3" s="1"/>
  <c r="O278" i="3" s="1"/>
  <c r="P278" i="3" s="1"/>
  <c r="G279" i="3"/>
  <c r="G280" i="3"/>
  <c r="G281" i="3"/>
  <c r="H281" i="3" s="1"/>
  <c r="I281" i="3" s="1"/>
  <c r="J281" i="3" s="1"/>
  <c r="K281" i="3" s="1"/>
  <c r="L281" i="3" s="1"/>
  <c r="M281" i="3" s="1"/>
  <c r="N281" i="3" s="1"/>
  <c r="O281" i="3" s="1"/>
  <c r="P281" i="3" s="1"/>
  <c r="G282" i="3"/>
  <c r="G283" i="3"/>
  <c r="G284" i="3"/>
  <c r="H284" i="3" s="1"/>
  <c r="I284" i="3" s="1"/>
  <c r="J284" i="3" s="1"/>
  <c r="K284" i="3" s="1"/>
  <c r="L284" i="3" s="1"/>
  <c r="M284" i="3" s="1"/>
  <c r="N284" i="3" s="1"/>
  <c r="O284" i="3" s="1"/>
  <c r="P284" i="3" s="1"/>
  <c r="G285" i="3"/>
  <c r="G286" i="3"/>
  <c r="H286" i="3" s="1"/>
  <c r="I286" i="3" s="1"/>
  <c r="J286" i="3" s="1"/>
  <c r="K286" i="3" s="1"/>
  <c r="L286" i="3" s="1"/>
  <c r="M286" i="3" s="1"/>
  <c r="N286" i="3" s="1"/>
  <c r="O286" i="3" s="1"/>
  <c r="P286" i="3" s="1"/>
  <c r="G287" i="3"/>
  <c r="G288" i="3"/>
  <c r="G289" i="3"/>
  <c r="H289" i="3" s="1"/>
  <c r="I289" i="3" s="1"/>
  <c r="J289" i="3" s="1"/>
  <c r="K289" i="3" s="1"/>
  <c r="L289" i="3" s="1"/>
  <c r="M289" i="3" s="1"/>
  <c r="N289" i="3" s="1"/>
  <c r="O289" i="3" s="1"/>
  <c r="P289" i="3" s="1"/>
  <c r="G290" i="3"/>
  <c r="G291" i="3"/>
  <c r="G292" i="3"/>
  <c r="G293" i="3"/>
  <c r="G294" i="3"/>
  <c r="H294" i="3" s="1"/>
  <c r="I294" i="3" s="1"/>
  <c r="J294" i="3" s="1"/>
  <c r="K294" i="3" s="1"/>
  <c r="L294" i="3" s="1"/>
  <c r="M294" i="3" s="1"/>
  <c r="N294" i="3" s="1"/>
  <c r="O294" i="3" s="1"/>
  <c r="P294" i="3" s="1"/>
  <c r="G295" i="3"/>
  <c r="H295" i="3" s="1"/>
  <c r="I295" i="3" s="1"/>
  <c r="J295" i="3" s="1"/>
  <c r="K295" i="3" s="1"/>
  <c r="L295" i="3" s="1"/>
  <c r="M295" i="3" s="1"/>
  <c r="N295" i="3" s="1"/>
  <c r="O295" i="3" s="1"/>
  <c r="P295" i="3" s="1"/>
  <c r="G296" i="3"/>
  <c r="G297" i="3"/>
  <c r="H297" i="3" s="1"/>
  <c r="I297" i="3" s="1"/>
  <c r="J297" i="3" s="1"/>
  <c r="K297" i="3" s="1"/>
  <c r="L297" i="3" s="1"/>
  <c r="M297" i="3" s="1"/>
  <c r="N297" i="3" s="1"/>
  <c r="O297" i="3" s="1"/>
  <c r="P297" i="3" s="1"/>
  <c r="G298" i="3"/>
  <c r="G299" i="3"/>
  <c r="G300" i="3"/>
  <c r="G301" i="3"/>
  <c r="G302" i="3"/>
  <c r="G303" i="3"/>
  <c r="H303" i="3" s="1"/>
  <c r="I303" i="3" s="1"/>
  <c r="J303" i="3" s="1"/>
  <c r="K303" i="3" s="1"/>
  <c r="L303" i="3" s="1"/>
  <c r="M303" i="3" s="1"/>
  <c r="N303" i="3" s="1"/>
  <c r="O303" i="3" s="1"/>
  <c r="P303" i="3" s="1"/>
  <c r="G304" i="3"/>
  <c r="G305" i="3"/>
  <c r="H305" i="3" s="1"/>
  <c r="I305" i="3" s="1"/>
  <c r="J305" i="3" s="1"/>
  <c r="K305" i="3" s="1"/>
  <c r="L305" i="3" s="1"/>
  <c r="M305" i="3" s="1"/>
  <c r="N305" i="3" s="1"/>
  <c r="O305" i="3" s="1"/>
  <c r="P305" i="3" s="1"/>
  <c r="G306" i="3"/>
  <c r="G307" i="3"/>
  <c r="G308" i="3"/>
  <c r="H308" i="3" s="1"/>
  <c r="I308" i="3" s="1"/>
  <c r="J308" i="3" s="1"/>
  <c r="K308" i="3" s="1"/>
  <c r="L308" i="3" s="1"/>
  <c r="M308" i="3" s="1"/>
  <c r="N308" i="3" s="1"/>
  <c r="O308" i="3" s="1"/>
  <c r="P308" i="3" s="1"/>
  <c r="G309" i="3"/>
  <c r="G310" i="3"/>
  <c r="H310" i="3" s="1"/>
  <c r="I310" i="3" s="1"/>
  <c r="J310" i="3" s="1"/>
  <c r="K310" i="3" s="1"/>
  <c r="L310" i="3" s="1"/>
  <c r="M310" i="3" s="1"/>
  <c r="N310" i="3" s="1"/>
  <c r="O310" i="3" s="1"/>
  <c r="P310" i="3" s="1"/>
  <c r="G311" i="3"/>
  <c r="H311" i="3" s="1"/>
  <c r="I311" i="3" s="1"/>
  <c r="J311" i="3" s="1"/>
  <c r="K311" i="3" s="1"/>
  <c r="L311" i="3" s="1"/>
  <c r="M311" i="3" s="1"/>
  <c r="N311" i="3" s="1"/>
  <c r="O311" i="3" s="1"/>
  <c r="P311" i="3" s="1"/>
  <c r="G312" i="3"/>
  <c r="G313" i="3"/>
  <c r="G314" i="3"/>
  <c r="G315" i="3"/>
  <c r="G316" i="3"/>
  <c r="H316" i="3" s="1"/>
  <c r="I316" i="3" s="1"/>
  <c r="J316" i="3" s="1"/>
  <c r="K316" i="3" s="1"/>
  <c r="L316" i="3" s="1"/>
  <c r="M316" i="3" s="1"/>
  <c r="N316" i="3" s="1"/>
  <c r="O316" i="3" s="1"/>
  <c r="P316" i="3" s="1"/>
  <c r="G317" i="3"/>
  <c r="G318" i="3"/>
  <c r="G319" i="3"/>
  <c r="H319" i="3" s="1"/>
  <c r="I319" i="3" s="1"/>
  <c r="J319" i="3" s="1"/>
  <c r="K319" i="3" s="1"/>
  <c r="L319" i="3" s="1"/>
  <c r="M319" i="3" s="1"/>
  <c r="N319" i="3" s="1"/>
  <c r="O319" i="3" s="1"/>
  <c r="P319" i="3" s="1"/>
  <c r="G320" i="3"/>
  <c r="G321" i="3"/>
  <c r="H321" i="3" s="1"/>
  <c r="I321" i="3" s="1"/>
  <c r="J321" i="3" s="1"/>
  <c r="K321" i="3" s="1"/>
  <c r="L321" i="3" s="1"/>
  <c r="M321" i="3" s="1"/>
  <c r="N321" i="3" s="1"/>
  <c r="O321" i="3" s="1"/>
  <c r="P321" i="3" s="1"/>
  <c r="G322" i="3"/>
  <c r="G323" i="3"/>
  <c r="G324" i="3"/>
  <c r="H324" i="3" s="1"/>
  <c r="I324" i="3" s="1"/>
  <c r="J324" i="3" s="1"/>
  <c r="K324" i="3" s="1"/>
  <c r="L324" i="3" s="1"/>
  <c r="M324" i="3" s="1"/>
  <c r="N324" i="3" s="1"/>
  <c r="O324" i="3" s="1"/>
  <c r="P324" i="3" s="1"/>
  <c r="G325" i="3"/>
  <c r="G326" i="3"/>
  <c r="G327" i="3"/>
  <c r="G328" i="3"/>
  <c r="G329" i="3"/>
  <c r="G330" i="3"/>
  <c r="G331" i="3"/>
  <c r="G332" i="3"/>
  <c r="H332" i="3" s="1"/>
  <c r="I332" i="3" s="1"/>
  <c r="J332" i="3" s="1"/>
  <c r="K332" i="3" s="1"/>
  <c r="L332" i="3" s="1"/>
  <c r="M332" i="3" s="1"/>
  <c r="N332" i="3" s="1"/>
  <c r="O332" i="3" s="1"/>
  <c r="P332" i="3" s="1"/>
  <c r="G333" i="3"/>
  <c r="G334" i="3"/>
  <c r="H334" i="3" s="1"/>
  <c r="I334" i="3" s="1"/>
  <c r="J334" i="3" s="1"/>
  <c r="K334" i="3" s="1"/>
  <c r="L334" i="3" s="1"/>
  <c r="M334" i="3" s="1"/>
  <c r="N334" i="3" s="1"/>
  <c r="O334" i="3" s="1"/>
  <c r="P334" i="3" s="1"/>
  <c r="G335" i="3"/>
  <c r="H335" i="3" s="1"/>
  <c r="I335" i="3" s="1"/>
  <c r="J335" i="3" s="1"/>
  <c r="K335" i="3" s="1"/>
  <c r="L335" i="3" s="1"/>
  <c r="M335" i="3" s="1"/>
  <c r="N335" i="3" s="1"/>
  <c r="O335" i="3" s="1"/>
  <c r="P335" i="3" s="1"/>
  <c r="G336" i="3"/>
  <c r="G337" i="3"/>
  <c r="G338" i="3"/>
  <c r="G339" i="3"/>
  <c r="G340" i="3"/>
  <c r="G341" i="3"/>
  <c r="G342" i="3"/>
  <c r="H342" i="3" s="1"/>
  <c r="I342" i="3" s="1"/>
  <c r="J342" i="3" s="1"/>
  <c r="K342" i="3" s="1"/>
  <c r="L342" i="3" s="1"/>
  <c r="M342" i="3" s="1"/>
  <c r="N342" i="3" s="1"/>
  <c r="O342" i="3" s="1"/>
  <c r="P342" i="3" s="1"/>
  <c r="G343" i="3"/>
  <c r="G344" i="3"/>
  <c r="H344" i="3" s="1"/>
  <c r="I344" i="3" s="1"/>
  <c r="J344" i="3" s="1"/>
  <c r="K344" i="3" s="1"/>
  <c r="L344" i="3" s="1"/>
  <c r="M344" i="3" s="1"/>
  <c r="N344" i="3" s="1"/>
  <c r="O344" i="3" s="1"/>
  <c r="P344" i="3" s="1"/>
  <c r="G345" i="3"/>
  <c r="H345" i="3" s="1"/>
  <c r="I345" i="3" s="1"/>
  <c r="J345" i="3" s="1"/>
  <c r="K345" i="3" s="1"/>
  <c r="L345" i="3" s="1"/>
  <c r="M345" i="3" s="1"/>
  <c r="N345" i="3" s="1"/>
  <c r="O345" i="3" s="1"/>
  <c r="P345" i="3" s="1"/>
  <c r="G346" i="3"/>
  <c r="G347" i="3"/>
  <c r="G348" i="3"/>
  <c r="H348" i="3" s="1"/>
  <c r="I348" i="3" s="1"/>
  <c r="J348" i="3" s="1"/>
  <c r="K348" i="3" s="1"/>
  <c r="L348" i="3" s="1"/>
  <c r="M348" i="3" s="1"/>
  <c r="N348" i="3" s="1"/>
  <c r="O348" i="3" s="1"/>
  <c r="P348" i="3" s="1"/>
  <c r="G349" i="3"/>
  <c r="G350" i="3"/>
  <c r="H350" i="3" s="1"/>
  <c r="I350" i="3" s="1"/>
  <c r="J350" i="3" s="1"/>
  <c r="K350" i="3" s="1"/>
  <c r="L350" i="3" s="1"/>
  <c r="M350" i="3" s="1"/>
  <c r="N350" i="3" s="1"/>
  <c r="O350" i="3" s="1"/>
  <c r="P350" i="3" s="1"/>
  <c r="G351" i="3"/>
  <c r="G352" i="3"/>
  <c r="G353" i="3"/>
  <c r="H353" i="3" s="1"/>
  <c r="I353" i="3" s="1"/>
  <c r="J353" i="3" s="1"/>
  <c r="K353" i="3" s="1"/>
  <c r="L353" i="3" s="1"/>
  <c r="M353" i="3" s="1"/>
  <c r="N353" i="3" s="1"/>
  <c r="O353" i="3" s="1"/>
  <c r="P353" i="3" s="1"/>
  <c r="G354" i="3"/>
  <c r="G355" i="3"/>
  <c r="G356" i="3"/>
  <c r="G357" i="3"/>
  <c r="G358" i="3"/>
  <c r="H358" i="3" s="1"/>
  <c r="I358" i="3" s="1"/>
  <c r="J358" i="3" s="1"/>
  <c r="K358" i="3" s="1"/>
  <c r="L358" i="3" s="1"/>
  <c r="M358" i="3" s="1"/>
  <c r="N358" i="3" s="1"/>
  <c r="O358" i="3" s="1"/>
  <c r="P358" i="3" s="1"/>
  <c r="G359" i="3"/>
  <c r="H359" i="3" s="1"/>
  <c r="I359" i="3" s="1"/>
  <c r="J359" i="3" s="1"/>
  <c r="K359" i="3" s="1"/>
  <c r="L359" i="3" s="1"/>
  <c r="M359" i="3" s="1"/>
  <c r="N359" i="3" s="1"/>
  <c r="O359" i="3" s="1"/>
  <c r="P359" i="3" s="1"/>
  <c r="G360" i="3"/>
  <c r="G361" i="3"/>
  <c r="H361" i="3" s="1"/>
  <c r="I361" i="3" s="1"/>
  <c r="J361" i="3" s="1"/>
  <c r="K361" i="3" s="1"/>
  <c r="L361" i="3" s="1"/>
  <c r="M361" i="3" s="1"/>
  <c r="N361" i="3" s="1"/>
  <c r="O361" i="3" s="1"/>
  <c r="P361" i="3" s="1"/>
  <c r="G362" i="3"/>
  <c r="G363" i="3"/>
  <c r="G364" i="3"/>
  <c r="G365" i="3"/>
  <c r="G366" i="3"/>
  <c r="G367" i="3"/>
  <c r="H367" i="3" s="1"/>
  <c r="I367" i="3" s="1"/>
  <c r="J367" i="3" s="1"/>
  <c r="K367" i="3" s="1"/>
  <c r="L367" i="3" s="1"/>
  <c r="M367" i="3" s="1"/>
  <c r="N367" i="3" s="1"/>
  <c r="O367" i="3" s="1"/>
  <c r="P367" i="3" s="1"/>
  <c r="G368" i="3"/>
  <c r="G369" i="3"/>
  <c r="H369" i="3" s="1"/>
  <c r="I369" i="3" s="1"/>
  <c r="J369" i="3" s="1"/>
  <c r="K369" i="3" s="1"/>
  <c r="L369" i="3" s="1"/>
  <c r="M369" i="3" s="1"/>
  <c r="N369" i="3" s="1"/>
  <c r="O369" i="3" s="1"/>
  <c r="P369" i="3" s="1"/>
  <c r="G370" i="3"/>
  <c r="G371" i="3"/>
  <c r="G372" i="3"/>
  <c r="H372" i="3" s="1"/>
  <c r="I372" i="3" s="1"/>
  <c r="J372" i="3" s="1"/>
  <c r="K372" i="3" s="1"/>
  <c r="L372" i="3" s="1"/>
  <c r="M372" i="3" s="1"/>
  <c r="N372" i="3" s="1"/>
  <c r="O372" i="3" s="1"/>
  <c r="P372" i="3" s="1"/>
  <c r="G373" i="3"/>
  <c r="G374" i="3"/>
  <c r="H374" i="3" s="1"/>
  <c r="I374" i="3" s="1"/>
  <c r="J374" i="3" s="1"/>
  <c r="K374" i="3" s="1"/>
  <c r="L374" i="3" s="1"/>
  <c r="M374" i="3" s="1"/>
  <c r="N374" i="3" s="1"/>
  <c r="O374" i="3" s="1"/>
  <c r="P374" i="3" s="1"/>
  <c r="G375" i="3"/>
  <c r="H375" i="3" s="1"/>
  <c r="I375" i="3" s="1"/>
  <c r="J375" i="3" s="1"/>
  <c r="K375" i="3" s="1"/>
  <c r="L375" i="3" s="1"/>
  <c r="M375" i="3" s="1"/>
  <c r="N375" i="3" s="1"/>
  <c r="O375" i="3" s="1"/>
  <c r="P375" i="3" s="1"/>
  <c r="G376" i="3"/>
  <c r="G377" i="3"/>
  <c r="G378" i="3"/>
  <c r="G379" i="3"/>
  <c r="G380" i="3"/>
  <c r="H380" i="3" s="1"/>
  <c r="I380" i="3" s="1"/>
  <c r="J380" i="3" s="1"/>
  <c r="K380" i="3" s="1"/>
  <c r="L380" i="3" s="1"/>
  <c r="M380" i="3" s="1"/>
  <c r="N380" i="3" s="1"/>
  <c r="O380" i="3" s="1"/>
  <c r="P380" i="3" s="1"/>
  <c r="G381" i="3"/>
  <c r="G382" i="3"/>
  <c r="G383" i="3"/>
  <c r="H383" i="3" s="1"/>
  <c r="I383" i="3" s="1"/>
  <c r="J383" i="3" s="1"/>
  <c r="K383" i="3" s="1"/>
  <c r="L383" i="3" s="1"/>
  <c r="M383" i="3" s="1"/>
  <c r="N383" i="3" s="1"/>
  <c r="O383" i="3" s="1"/>
  <c r="P383" i="3" s="1"/>
  <c r="G384" i="3"/>
  <c r="H384" i="3" s="1"/>
  <c r="I384" i="3" s="1"/>
  <c r="J384" i="3" s="1"/>
  <c r="K384" i="3" s="1"/>
  <c r="L384" i="3" s="1"/>
  <c r="M384" i="3" s="1"/>
  <c r="N384" i="3" s="1"/>
  <c r="O384" i="3" s="1"/>
  <c r="P384" i="3" s="1"/>
  <c r="G385" i="3"/>
  <c r="H385" i="3" s="1"/>
  <c r="I385" i="3" s="1"/>
  <c r="J385" i="3" s="1"/>
  <c r="K385" i="3" s="1"/>
  <c r="L385" i="3" s="1"/>
  <c r="M385" i="3" s="1"/>
  <c r="N385" i="3" s="1"/>
  <c r="O385" i="3" s="1"/>
  <c r="P385" i="3" s="1"/>
  <c r="G386" i="3"/>
  <c r="G387" i="3"/>
  <c r="G388" i="3"/>
  <c r="H388" i="3" s="1"/>
  <c r="I388" i="3" s="1"/>
  <c r="J388" i="3" s="1"/>
  <c r="K388" i="3" s="1"/>
  <c r="L388" i="3" s="1"/>
  <c r="M388" i="3" s="1"/>
  <c r="N388" i="3" s="1"/>
  <c r="O388" i="3" s="1"/>
  <c r="P388" i="3" s="1"/>
  <c r="G389" i="3"/>
  <c r="G390" i="3"/>
  <c r="G391" i="3"/>
  <c r="G392" i="3"/>
  <c r="G393" i="3"/>
  <c r="G394" i="3"/>
  <c r="G395" i="3"/>
  <c r="G396" i="3"/>
  <c r="H396" i="3" s="1"/>
  <c r="I396" i="3" s="1"/>
  <c r="J396" i="3" s="1"/>
  <c r="K396" i="3" s="1"/>
  <c r="L396" i="3" s="1"/>
  <c r="M396" i="3" s="1"/>
  <c r="N396" i="3" s="1"/>
  <c r="O396" i="3" s="1"/>
  <c r="P396" i="3" s="1"/>
  <c r="G397" i="3"/>
  <c r="G398" i="3"/>
  <c r="H398" i="3" s="1"/>
  <c r="I398" i="3" s="1"/>
  <c r="J398" i="3" s="1"/>
  <c r="K398" i="3" s="1"/>
  <c r="L398" i="3" s="1"/>
  <c r="M398" i="3" s="1"/>
  <c r="N398" i="3" s="1"/>
  <c r="O398" i="3" s="1"/>
  <c r="P398" i="3" s="1"/>
  <c r="G399" i="3"/>
  <c r="H399" i="3" s="1"/>
  <c r="I399" i="3" s="1"/>
  <c r="J399" i="3" s="1"/>
  <c r="K399" i="3" s="1"/>
  <c r="L399" i="3" s="1"/>
  <c r="M399" i="3" s="1"/>
  <c r="N399" i="3" s="1"/>
  <c r="O399" i="3" s="1"/>
  <c r="P399" i="3" s="1"/>
  <c r="G400" i="3"/>
  <c r="G401" i="3"/>
  <c r="G402" i="3"/>
  <c r="G403" i="3"/>
  <c r="G404" i="3"/>
  <c r="G405" i="3"/>
  <c r="G406" i="3"/>
  <c r="H406" i="3" s="1"/>
  <c r="I406" i="3" s="1"/>
  <c r="J406" i="3" s="1"/>
  <c r="K406" i="3" s="1"/>
  <c r="L406" i="3" s="1"/>
  <c r="M406" i="3" s="1"/>
  <c r="N406" i="3" s="1"/>
  <c r="O406" i="3" s="1"/>
  <c r="P406" i="3" s="1"/>
  <c r="G407" i="3"/>
  <c r="G408" i="3"/>
  <c r="G409" i="3"/>
  <c r="H409" i="3" s="1"/>
  <c r="I409" i="3" s="1"/>
  <c r="J409" i="3" s="1"/>
  <c r="K409" i="3" s="1"/>
  <c r="L409" i="3" s="1"/>
  <c r="M409" i="3" s="1"/>
  <c r="N409" i="3" s="1"/>
  <c r="O409" i="3" s="1"/>
  <c r="P409" i="3" s="1"/>
  <c r="G410" i="3"/>
  <c r="G411" i="3"/>
  <c r="G412" i="3"/>
  <c r="H412" i="3" s="1"/>
  <c r="I412" i="3" s="1"/>
  <c r="J412" i="3" s="1"/>
  <c r="K412" i="3" s="1"/>
  <c r="L412" i="3" s="1"/>
  <c r="M412" i="3" s="1"/>
  <c r="N412" i="3" s="1"/>
  <c r="O412" i="3" s="1"/>
  <c r="P412" i="3" s="1"/>
  <c r="G413" i="3"/>
  <c r="G414" i="3"/>
  <c r="G415" i="3"/>
  <c r="G416" i="3"/>
  <c r="G417" i="3"/>
  <c r="G418" i="3"/>
  <c r="G419" i="3"/>
  <c r="G420" i="3"/>
  <c r="G421" i="3"/>
  <c r="G422" i="3"/>
  <c r="G423" i="3"/>
  <c r="H423" i="3" s="1"/>
  <c r="I423" i="3" s="1"/>
  <c r="J423" i="3" s="1"/>
  <c r="K423" i="3" s="1"/>
  <c r="L423" i="3" s="1"/>
  <c r="M423" i="3" s="1"/>
  <c r="N423" i="3" s="1"/>
  <c r="O423" i="3" s="1"/>
  <c r="P423" i="3" s="1"/>
  <c r="G424" i="3"/>
  <c r="H424" i="3" s="1"/>
  <c r="I424" i="3" s="1"/>
  <c r="J424" i="3" s="1"/>
  <c r="K424" i="3" s="1"/>
  <c r="L424" i="3" s="1"/>
  <c r="M424" i="3" s="1"/>
  <c r="N424" i="3" s="1"/>
  <c r="O424" i="3" s="1"/>
  <c r="P424" i="3" s="1"/>
  <c r="G425" i="3"/>
  <c r="G426" i="3"/>
  <c r="G427" i="3"/>
  <c r="G428" i="3"/>
  <c r="G429" i="3"/>
  <c r="G430" i="3"/>
  <c r="G431" i="3"/>
  <c r="H431" i="3" s="1"/>
  <c r="I431" i="3" s="1"/>
  <c r="J431" i="3" s="1"/>
  <c r="K431" i="3" s="1"/>
  <c r="L431" i="3" s="1"/>
  <c r="M431" i="3" s="1"/>
  <c r="N431" i="3" s="1"/>
  <c r="O431" i="3" s="1"/>
  <c r="P431" i="3" s="1"/>
  <c r="G432" i="3"/>
  <c r="G433" i="3"/>
  <c r="G434" i="3"/>
  <c r="G435" i="3"/>
  <c r="G436" i="3"/>
  <c r="H436" i="3" s="1"/>
  <c r="I436" i="3" s="1"/>
  <c r="J436" i="3" s="1"/>
  <c r="K436" i="3" s="1"/>
  <c r="L436" i="3" s="1"/>
  <c r="M436" i="3" s="1"/>
  <c r="N436" i="3" s="1"/>
  <c r="O436" i="3" s="1"/>
  <c r="P436" i="3" s="1"/>
  <c r="G437" i="3"/>
  <c r="G438" i="3"/>
  <c r="G439" i="3"/>
  <c r="G440" i="3"/>
  <c r="G441" i="3"/>
  <c r="G442" i="3"/>
  <c r="G443" i="3"/>
  <c r="G444" i="3"/>
  <c r="G445" i="3"/>
  <c r="G446" i="3"/>
  <c r="G447" i="3"/>
  <c r="H447" i="3" s="1"/>
  <c r="I447" i="3" s="1"/>
  <c r="J447" i="3" s="1"/>
  <c r="K447" i="3" s="1"/>
  <c r="L447" i="3" s="1"/>
  <c r="M447" i="3" s="1"/>
  <c r="N447" i="3" s="1"/>
  <c r="O447" i="3" s="1"/>
  <c r="P447" i="3" s="1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H464" i="3" s="1"/>
  <c r="I464" i="3" s="1"/>
  <c r="J464" i="3" s="1"/>
  <c r="K464" i="3" s="1"/>
  <c r="L464" i="3" s="1"/>
  <c r="M464" i="3" s="1"/>
  <c r="N464" i="3" s="1"/>
  <c r="O464" i="3" s="1"/>
  <c r="P464" i="3" s="1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H487" i="3" s="1"/>
  <c r="I487" i="3" s="1"/>
  <c r="J487" i="3" s="1"/>
  <c r="K487" i="3" s="1"/>
  <c r="L487" i="3" s="1"/>
  <c r="M487" i="3" s="1"/>
  <c r="N487" i="3" s="1"/>
  <c r="O487" i="3" s="1"/>
  <c r="P487" i="3" s="1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H508" i="3" s="1"/>
  <c r="I508" i="3" s="1"/>
  <c r="J508" i="3" s="1"/>
  <c r="K508" i="3" s="1"/>
  <c r="L508" i="3" s="1"/>
  <c r="M508" i="3" s="1"/>
  <c r="N508" i="3" s="1"/>
  <c r="O508" i="3" s="1"/>
  <c r="P508" i="3" s="1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H527" i="3" s="1"/>
  <c r="I527" i="3" s="1"/>
  <c r="J527" i="3" s="1"/>
  <c r="K527" i="3" s="1"/>
  <c r="L527" i="3" s="1"/>
  <c r="M527" i="3" s="1"/>
  <c r="N527" i="3" s="1"/>
  <c r="O527" i="3" s="1"/>
  <c r="P527" i="3" s="1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H550" i="3" s="1"/>
  <c r="I550" i="3" s="1"/>
  <c r="J550" i="3" s="1"/>
  <c r="K550" i="3" s="1"/>
  <c r="L550" i="3" s="1"/>
  <c r="M550" i="3" s="1"/>
  <c r="N550" i="3" s="1"/>
  <c r="O550" i="3" s="1"/>
  <c r="P550" i="3" s="1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H567" i="3" s="1"/>
  <c r="I567" i="3" s="1"/>
  <c r="J567" i="3" s="1"/>
  <c r="K567" i="3" s="1"/>
  <c r="L567" i="3" s="1"/>
  <c r="M567" i="3" s="1"/>
  <c r="N567" i="3" s="1"/>
  <c r="O567" i="3" s="1"/>
  <c r="P567" i="3" s="1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H590" i="3" s="1"/>
  <c r="I590" i="3" s="1"/>
  <c r="J590" i="3" s="1"/>
  <c r="K590" i="3" s="1"/>
  <c r="L590" i="3" s="1"/>
  <c r="M590" i="3" s="1"/>
  <c r="N590" i="3" s="1"/>
  <c r="O590" i="3" s="1"/>
  <c r="P590" i="3" s="1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H609" i="3" s="1"/>
  <c r="I609" i="3" s="1"/>
  <c r="J609" i="3" s="1"/>
  <c r="K609" i="3" s="1"/>
  <c r="L609" i="3" s="1"/>
  <c r="M609" i="3" s="1"/>
  <c r="N609" i="3" s="1"/>
  <c r="O609" i="3" s="1"/>
  <c r="P609" i="3" s="1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H630" i="3" s="1"/>
  <c r="I630" i="3" s="1"/>
  <c r="J630" i="3" s="1"/>
  <c r="K630" i="3" s="1"/>
  <c r="L630" i="3" s="1"/>
  <c r="M630" i="3" s="1"/>
  <c r="N630" i="3" s="1"/>
  <c r="O630" i="3" s="1"/>
  <c r="P630" i="3" s="1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H652" i="3" s="1"/>
  <c r="I652" i="3" s="1"/>
  <c r="J652" i="3" s="1"/>
  <c r="K652" i="3" s="1"/>
  <c r="L652" i="3" s="1"/>
  <c r="M652" i="3" s="1"/>
  <c r="N652" i="3" s="1"/>
  <c r="O652" i="3" s="1"/>
  <c r="P652" i="3" s="1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H669" i="3" s="1"/>
  <c r="I669" i="3" s="1"/>
  <c r="J669" i="3" s="1"/>
  <c r="K669" i="3" s="1"/>
  <c r="L669" i="3" s="1"/>
  <c r="M669" i="3" s="1"/>
  <c r="N669" i="3" s="1"/>
  <c r="O669" i="3" s="1"/>
  <c r="P669" i="3" s="1"/>
  <c r="G670" i="3"/>
  <c r="G671" i="3"/>
  <c r="G672" i="3"/>
  <c r="G673" i="3"/>
  <c r="G674" i="3"/>
  <c r="G675" i="3"/>
  <c r="G676" i="3"/>
  <c r="G677" i="3"/>
  <c r="H677" i="3" s="1"/>
  <c r="I677" i="3" s="1"/>
  <c r="J677" i="3" s="1"/>
  <c r="K677" i="3" s="1"/>
  <c r="L677" i="3" s="1"/>
  <c r="M677" i="3" s="1"/>
  <c r="N677" i="3" s="1"/>
  <c r="O677" i="3" s="1"/>
  <c r="P677" i="3" s="1"/>
  <c r="G678" i="3"/>
  <c r="G679" i="3"/>
  <c r="G680" i="3"/>
  <c r="G681" i="3"/>
  <c r="G682" i="3"/>
  <c r="G683" i="3"/>
  <c r="G684" i="3"/>
  <c r="G685" i="3"/>
  <c r="G686" i="3"/>
  <c r="G687" i="3"/>
  <c r="H687" i="3" s="1"/>
  <c r="I687" i="3" s="1"/>
  <c r="J687" i="3" s="1"/>
  <c r="K687" i="3" s="1"/>
  <c r="L687" i="3" s="1"/>
  <c r="M687" i="3" s="1"/>
  <c r="N687" i="3" s="1"/>
  <c r="O687" i="3" s="1"/>
  <c r="P687" i="3" s="1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H700" i="3" s="1"/>
  <c r="I700" i="3" s="1"/>
  <c r="J700" i="3" s="1"/>
  <c r="K700" i="3" s="1"/>
  <c r="L700" i="3" s="1"/>
  <c r="M700" i="3" s="1"/>
  <c r="N700" i="3" s="1"/>
  <c r="O700" i="3" s="1"/>
  <c r="P700" i="3" s="1"/>
  <c r="G701" i="3"/>
  <c r="G702" i="3"/>
  <c r="G703" i="3"/>
  <c r="G704" i="3"/>
  <c r="G705" i="3"/>
  <c r="G706" i="3"/>
  <c r="G707" i="3"/>
  <c r="G708" i="3"/>
  <c r="G709" i="3"/>
  <c r="G710" i="3"/>
  <c r="G711" i="3"/>
  <c r="G712" i="3"/>
  <c r="H712" i="3" s="1"/>
  <c r="I712" i="3" s="1"/>
  <c r="J712" i="3" s="1"/>
  <c r="K712" i="3" s="1"/>
  <c r="L712" i="3" s="1"/>
  <c r="M712" i="3" s="1"/>
  <c r="N712" i="3" s="1"/>
  <c r="O712" i="3" s="1"/>
  <c r="P712" i="3" s="1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H726" i="3" s="1"/>
  <c r="I726" i="3" s="1"/>
  <c r="J726" i="3" s="1"/>
  <c r="K726" i="3" s="1"/>
  <c r="L726" i="3" s="1"/>
  <c r="M726" i="3" s="1"/>
  <c r="N726" i="3" s="1"/>
  <c r="O726" i="3" s="1"/>
  <c r="P726" i="3" s="1"/>
  <c r="G727" i="3"/>
  <c r="G728" i="3"/>
  <c r="G729" i="3"/>
  <c r="G730" i="3"/>
  <c r="G731" i="3"/>
  <c r="G732" i="3"/>
  <c r="G733" i="3"/>
  <c r="G734" i="3"/>
  <c r="G735" i="3"/>
  <c r="G736" i="3"/>
  <c r="G737" i="3"/>
  <c r="H737" i="3" s="1"/>
  <c r="I737" i="3" s="1"/>
  <c r="J737" i="3" s="1"/>
  <c r="K737" i="3" s="1"/>
  <c r="L737" i="3" s="1"/>
  <c r="M737" i="3" s="1"/>
  <c r="N737" i="3" s="1"/>
  <c r="O737" i="3" s="1"/>
  <c r="P737" i="3" s="1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H751" i="3" s="1"/>
  <c r="I751" i="3" s="1"/>
  <c r="J751" i="3" s="1"/>
  <c r="K751" i="3" s="1"/>
  <c r="L751" i="3" s="1"/>
  <c r="M751" i="3" s="1"/>
  <c r="N751" i="3" s="1"/>
  <c r="O751" i="3" s="1"/>
  <c r="P751" i="3" s="1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H764" i="3" s="1"/>
  <c r="I764" i="3" s="1"/>
  <c r="J764" i="3" s="1"/>
  <c r="K764" i="3" s="1"/>
  <c r="L764" i="3" s="1"/>
  <c r="M764" i="3" s="1"/>
  <c r="N764" i="3" s="1"/>
  <c r="O764" i="3" s="1"/>
  <c r="P764" i="3" s="1"/>
  <c r="G765" i="3"/>
  <c r="G766" i="3"/>
  <c r="G767" i="3"/>
  <c r="G768" i="3"/>
  <c r="G769" i="3"/>
  <c r="G770" i="3"/>
  <c r="G771" i="3"/>
  <c r="G772" i="3"/>
  <c r="G773" i="3"/>
  <c r="G774" i="3"/>
  <c r="G775" i="3"/>
  <c r="G776" i="3"/>
  <c r="H776" i="3" s="1"/>
  <c r="I776" i="3" s="1"/>
  <c r="J776" i="3" s="1"/>
  <c r="K776" i="3" s="1"/>
  <c r="L776" i="3" s="1"/>
  <c r="M776" i="3" s="1"/>
  <c r="N776" i="3" s="1"/>
  <c r="O776" i="3" s="1"/>
  <c r="P776" i="3" s="1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H790" i="3" s="1"/>
  <c r="I790" i="3" s="1"/>
  <c r="J790" i="3" s="1"/>
  <c r="K790" i="3" s="1"/>
  <c r="L790" i="3" s="1"/>
  <c r="M790" i="3" s="1"/>
  <c r="N790" i="3" s="1"/>
  <c r="O790" i="3" s="1"/>
  <c r="P790" i="3" s="1"/>
  <c r="G791" i="3"/>
  <c r="G792" i="3"/>
  <c r="G793" i="3"/>
  <c r="G794" i="3"/>
  <c r="G795" i="3"/>
  <c r="G796" i="3"/>
  <c r="G797" i="3"/>
  <c r="G798" i="3"/>
  <c r="G799" i="3"/>
  <c r="G800" i="3"/>
  <c r="G801" i="3"/>
  <c r="H801" i="3" s="1"/>
  <c r="I801" i="3" s="1"/>
  <c r="J801" i="3" s="1"/>
  <c r="K801" i="3" s="1"/>
  <c r="L801" i="3" s="1"/>
  <c r="M801" i="3" s="1"/>
  <c r="N801" i="3" s="1"/>
  <c r="O801" i="3" s="1"/>
  <c r="P801" i="3" s="1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H815" i="3" s="1"/>
  <c r="I815" i="3" s="1"/>
  <c r="J815" i="3" s="1"/>
  <c r="K815" i="3" s="1"/>
  <c r="L815" i="3" s="1"/>
  <c r="M815" i="3" s="1"/>
  <c r="N815" i="3" s="1"/>
  <c r="O815" i="3" s="1"/>
  <c r="P815" i="3" s="1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H828" i="3" s="1"/>
  <c r="I828" i="3" s="1"/>
  <c r="J828" i="3" s="1"/>
  <c r="K828" i="3" s="1"/>
  <c r="L828" i="3" s="1"/>
  <c r="M828" i="3" s="1"/>
  <c r="N828" i="3" s="1"/>
  <c r="O828" i="3" s="1"/>
  <c r="P828" i="3" s="1"/>
  <c r="G829" i="3"/>
  <c r="G830" i="3"/>
  <c r="G831" i="3"/>
  <c r="G832" i="3"/>
  <c r="G833" i="3"/>
  <c r="G834" i="3"/>
  <c r="G835" i="3"/>
  <c r="G836" i="3"/>
  <c r="G837" i="3"/>
  <c r="G838" i="3"/>
  <c r="G839" i="3"/>
  <c r="G840" i="3"/>
  <c r="H840" i="3" s="1"/>
  <c r="I840" i="3" s="1"/>
  <c r="J840" i="3" s="1"/>
  <c r="K840" i="3" s="1"/>
  <c r="L840" i="3" s="1"/>
  <c r="M840" i="3" s="1"/>
  <c r="N840" i="3" s="1"/>
  <c r="O840" i="3" s="1"/>
  <c r="P840" i="3" s="1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H854" i="3" s="1"/>
  <c r="I854" i="3" s="1"/>
  <c r="J854" i="3" s="1"/>
  <c r="K854" i="3" s="1"/>
  <c r="L854" i="3" s="1"/>
  <c r="M854" i="3" s="1"/>
  <c r="N854" i="3" s="1"/>
  <c r="O854" i="3" s="1"/>
  <c r="P854" i="3" s="1"/>
  <c r="G855" i="3"/>
  <c r="G856" i="3"/>
  <c r="G857" i="3"/>
  <c r="G858" i="3"/>
  <c r="G859" i="3"/>
  <c r="G860" i="3"/>
  <c r="G861" i="3"/>
  <c r="G862" i="3"/>
  <c r="G863" i="3"/>
  <c r="G864" i="3"/>
  <c r="G865" i="3"/>
  <c r="H865" i="3" s="1"/>
  <c r="I865" i="3" s="1"/>
  <c r="J865" i="3" s="1"/>
  <c r="K865" i="3" s="1"/>
  <c r="L865" i="3" s="1"/>
  <c r="M865" i="3" s="1"/>
  <c r="N865" i="3" s="1"/>
  <c r="O865" i="3" s="1"/>
  <c r="P865" i="3" s="1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H879" i="3" s="1"/>
  <c r="I879" i="3" s="1"/>
  <c r="J879" i="3" s="1"/>
  <c r="K879" i="3" s="1"/>
  <c r="L879" i="3" s="1"/>
  <c r="M879" i="3" s="1"/>
  <c r="N879" i="3" s="1"/>
  <c r="O879" i="3" s="1"/>
  <c r="P879" i="3" s="1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H892" i="3" s="1"/>
  <c r="I892" i="3" s="1"/>
  <c r="J892" i="3" s="1"/>
  <c r="K892" i="3" s="1"/>
  <c r="L892" i="3" s="1"/>
  <c r="M892" i="3" s="1"/>
  <c r="N892" i="3" s="1"/>
  <c r="O892" i="3" s="1"/>
  <c r="P892" i="3" s="1"/>
  <c r="G893" i="3"/>
  <c r="G894" i="3"/>
  <c r="G895" i="3"/>
  <c r="G896" i="3"/>
  <c r="G897" i="3"/>
  <c r="G898" i="3"/>
  <c r="G899" i="3"/>
  <c r="G900" i="3"/>
  <c r="G901" i="3"/>
  <c r="G902" i="3"/>
  <c r="G903" i="3"/>
  <c r="G904" i="3"/>
  <c r="H904" i="3" s="1"/>
  <c r="I904" i="3" s="1"/>
  <c r="J904" i="3" s="1"/>
  <c r="K904" i="3" s="1"/>
  <c r="L904" i="3" s="1"/>
  <c r="M904" i="3" s="1"/>
  <c r="N904" i="3" s="1"/>
  <c r="O904" i="3" s="1"/>
  <c r="P904" i="3" s="1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H918" i="3" s="1"/>
  <c r="I918" i="3" s="1"/>
  <c r="J918" i="3" s="1"/>
  <c r="K918" i="3" s="1"/>
  <c r="L918" i="3" s="1"/>
  <c r="M918" i="3" s="1"/>
  <c r="N918" i="3" s="1"/>
  <c r="O918" i="3" s="1"/>
  <c r="P918" i="3" s="1"/>
  <c r="G919" i="3"/>
  <c r="G920" i="3"/>
  <c r="G921" i="3"/>
  <c r="G922" i="3"/>
  <c r="G923" i="3"/>
  <c r="G924" i="3"/>
  <c r="G925" i="3"/>
  <c r="G926" i="3"/>
  <c r="G927" i="3"/>
  <c r="G928" i="3"/>
  <c r="G929" i="3"/>
  <c r="H929" i="3" s="1"/>
  <c r="I929" i="3" s="1"/>
  <c r="J929" i="3" s="1"/>
  <c r="K929" i="3" s="1"/>
  <c r="L929" i="3" s="1"/>
  <c r="M929" i="3" s="1"/>
  <c r="N929" i="3" s="1"/>
  <c r="O929" i="3" s="1"/>
  <c r="P929" i="3" s="1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H942" i="3" s="1"/>
  <c r="I942" i="3" s="1"/>
  <c r="J942" i="3" s="1"/>
  <c r="K942" i="3" s="1"/>
  <c r="L942" i="3" s="1"/>
  <c r="M942" i="3" s="1"/>
  <c r="N942" i="3" s="1"/>
  <c r="O942" i="3" s="1"/>
  <c r="P942" i="3" s="1"/>
  <c r="G943" i="3"/>
  <c r="G944" i="3"/>
  <c r="G945" i="3"/>
  <c r="G946" i="3"/>
  <c r="G947" i="3"/>
  <c r="G948" i="3"/>
  <c r="G949" i="3"/>
  <c r="H949" i="3" s="1"/>
  <c r="I949" i="3" s="1"/>
  <c r="J949" i="3" s="1"/>
  <c r="K949" i="3" s="1"/>
  <c r="L949" i="3" s="1"/>
  <c r="M949" i="3" s="1"/>
  <c r="N949" i="3" s="1"/>
  <c r="O949" i="3" s="1"/>
  <c r="P949" i="3" s="1"/>
  <c r="G950" i="3"/>
  <c r="G951" i="3"/>
  <c r="H951" i="3" s="1"/>
  <c r="I951" i="3" s="1"/>
  <c r="J951" i="3" s="1"/>
  <c r="K951" i="3" s="1"/>
  <c r="L951" i="3" s="1"/>
  <c r="M951" i="3" s="1"/>
  <c r="N951" i="3" s="1"/>
  <c r="O951" i="3" s="1"/>
  <c r="P951" i="3" s="1"/>
  <c r="G952" i="3"/>
  <c r="G953" i="3"/>
  <c r="G954" i="3"/>
  <c r="G955" i="3"/>
  <c r="G956" i="3"/>
  <c r="G957" i="3"/>
  <c r="H957" i="3" s="1"/>
  <c r="I957" i="3" s="1"/>
  <c r="J957" i="3" s="1"/>
  <c r="K957" i="3" s="1"/>
  <c r="L957" i="3" s="1"/>
  <c r="M957" i="3" s="1"/>
  <c r="N957" i="3" s="1"/>
  <c r="O957" i="3" s="1"/>
  <c r="P957" i="3" s="1"/>
  <c r="G958" i="3"/>
  <c r="G959" i="3"/>
  <c r="H959" i="3" s="1"/>
  <c r="I959" i="3" s="1"/>
  <c r="J959" i="3" s="1"/>
  <c r="K959" i="3" s="1"/>
  <c r="L959" i="3" s="1"/>
  <c r="M959" i="3" s="1"/>
  <c r="N959" i="3" s="1"/>
  <c r="O959" i="3" s="1"/>
  <c r="P959" i="3" s="1"/>
  <c r="G960" i="3"/>
  <c r="G961" i="3"/>
  <c r="G962" i="3"/>
  <c r="G963" i="3"/>
  <c r="G964" i="3"/>
  <c r="G965" i="3"/>
  <c r="H965" i="3" s="1"/>
  <c r="I965" i="3" s="1"/>
  <c r="J965" i="3" s="1"/>
  <c r="K965" i="3" s="1"/>
  <c r="L965" i="3" s="1"/>
  <c r="M965" i="3" s="1"/>
  <c r="N965" i="3" s="1"/>
  <c r="O965" i="3" s="1"/>
  <c r="P965" i="3" s="1"/>
  <c r="G966" i="3"/>
  <c r="G967" i="3"/>
  <c r="H967" i="3" s="1"/>
  <c r="I967" i="3" s="1"/>
  <c r="J967" i="3" s="1"/>
  <c r="K967" i="3" s="1"/>
  <c r="L967" i="3" s="1"/>
  <c r="M967" i="3" s="1"/>
  <c r="N967" i="3" s="1"/>
  <c r="O967" i="3" s="1"/>
  <c r="P967" i="3" s="1"/>
  <c r="G968" i="3"/>
  <c r="G969" i="3"/>
  <c r="G970" i="3"/>
  <c r="G971" i="3"/>
  <c r="G972" i="3"/>
  <c r="G973" i="3"/>
  <c r="H973" i="3" s="1"/>
  <c r="I973" i="3" s="1"/>
  <c r="J973" i="3" s="1"/>
  <c r="K973" i="3" s="1"/>
  <c r="L973" i="3" s="1"/>
  <c r="M973" i="3" s="1"/>
  <c r="N973" i="3" s="1"/>
  <c r="O973" i="3" s="1"/>
  <c r="P973" i="3" s="1"/>
  <c r="G974" i="3"/>
  <c r="G975" i="3"/>
  <c r="H975" i="3" s="1"/>
  <c r="I975" i="3" s="1"/>
  <c r="J975" i="3" s="1"/>
  <c r="K975" i="3" s="1"/>
  <c r="L975" i="3" s="1"/>
  <c r="M975" i="3" s="1"/>
  <c r="N975" i="3" s="1"/>
  <c r="O975" i="3" s="1"/>
  <c r="P975" i="3" s="1"/>
  <c r="G976" i="3"/>
  <c r="G977" i="3"/>
  <c r="G978" i="3"/>
  <c r="G979" i="3"/>
  <c r="G980" i="3"/>
  <c r="G981" i="3"/>
  <c r="H981" i="3" s="1"/>
  <c r="I981" i="3" s="1"/>
  <c r="J981" i="3" s="1"/>
  <c r="K981" i="3" s="1"/>
  <c r="L981" i="3" s="1"/>
  <c r="M981" i="3" s="1"/>
  <c r="N981" i="3" s="1"/>
  <c r="O981" i="3" s="1"/>
  <c r="P981" i="3" s="1"/>
  <c r="G982" i="3"/>
  <c r="G983" i="3"/>
  <c r="H983" i="3" s="1"/>
  <c r="I983" i="3" s="1"/>
  <c r="J983" i="3" s="1"/>
  <c r="K983" i="3" s="1"/>
  <c r="L983" i="3" s="1"/>
  <c r="M983" i="3" s="1"/>
  <c r="N983" i="3" s="1"/>
  <c r="O983" i="3" s="1"/>
  <c r="P983" i="3" s="1"/>
  <c r="G984" i="3"/>
  <c r="G985" i="3"/>
  <c r="G986" i="3"/>
  <c r="G987" i="3"/>
  <c r="G988" i="3"/>
  <c r="G989" i="3"/>
  <c r="H989" i="3" s="1"/>
  <c r="I989" i="3" s="1"/>
  <c r="J989" i="3" s="1"/>
  <c r="K989" i="3" s="1"/>
  <c r="L989" i="3" s="1"/>
  <c r="M989" i="3" s="1"/>
  <c r="N989" i="3" s="1"/>
  <c r="O989" i="3" s="1"/>
  <c r="P989" i="3" s="1"/>
  <c r="G990" i="3"/>
  <c r="G991" i="3"/>
  <c r="H991" i="3" s="1"/>
  <c r="I991" i="3" s="1"/>
  <c r="J991" i="3" s="1"/>
  <c r="K991" i="3" s="1"/>
  <c r="L991" i="3" s="1"/>
  <c r="M991" i="3" s="1"/>
  <c r="N991" i="3" s="1"/>
  <c r="O991" i="3" s="1"/>
  <c r="P991" i="3" s="1"/>
  <c r="G992" i="3"/>
  <c r="G993" i="3"/>
  <c r="G994" i="3"/>
  <c r="G995" i="3"/>
  <c r="G996" i="3"/>
  <c r="G997" i="3"/>
  <c r="H997" i="3" s="1"/>
  <c r="I997" i="3" s="1"/>
  <c r="J997" i="3" s="1"/>
  <c r="K997" i="3" s="1"/>
  <c r="L997" i="3" s="1"/>
  <c r="M997" i="3" s="1"/>
  <c r="N997" i="3" s="1"/>
  <c r="O997" i="3" s="1"/>
  <c r="P997" i="3" s="1"/>
  <c r="G998" i="3"/>
  <c r="G999" i="3"/>
  <c r="H999" i="3" s="1"/>
  <c r="I999" i="3" s="1"/>
  <c r="J999" i="3" s="1"/>
  <c r="K999" i="3" s="1"/>
  <c r="L999" i="3" s="1"/>
  <c r="M999" i="3" s="1"/>
  <c r="N999" i="3" s="1"/>
  <c r="O999" i="3" s="1"/>
  <c r="P999" i="3" s="1"/>
  <c r="G1000" i="3"/>
  <c r="G1001" i="3"/>
  <c r="G1002" i="3"/>
  <c r="G1003" i="3"/>
  <c r="G1004" i="3"/>
  <c r="G1005" i="3"/>
  <c r="H1005" i="3" s="1"/>
  <c r="I1005" i="3" s="1"/>
  <c r="J1005" i="3" s="1"/>
  <c r="K1005" i="3" s="1"/>
  <c r="L1005" i="3" s="1"/>
  <c r="M1005" i="3" s="1"/>
  <c r="N1005" i="3" s="1"/>
  <c r="O1005" i="3" s="1"/>
  <c r="P1005" i="3" s="1"/>
  <c r="G6" i="3"/>
  <c r="H6" i="3" s="1"/>
  <c r="I6" i="3" s="1"/>
  <c r="J6" i="3" s="1"/>
  <c r="K6" i="3" s="1"/>
  <c r="L6" i="3" s="1"/>
  <c r="M6" i="3" s="1"/>
  <c r="N6" i="3" s="1"/>
  <c r="O6" i="3" s="1"/>
  <c r="P6" i="3" s="1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6" i="3"/>
  <c r="O5" i="3"/>
  <c r="P5" i="3" s="1"/>
  <c r="H5" i="3"/>
  <c r="I5" i="3" s="1"/>
  <c r="J5" i="3" s="1"/>
  <c r="K5" i="3" s="1"/>
  <c r="L5" i="3" s="1"/>
  <c r="M5" i="3" s="1"/>
  <c r="N5" i="3" s="1"/>
  <c r="G5" i="3"/>
  <c r="V11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H19" i="2" s="1"/>
  <c r="I19" i="2" s="1"/>
  <c r="J19" i="2" s="1"/>
  <c r="K19" i="2" s="1"/>
  <c r="L19" i="2" s="1"/>
  <c r="M19" i="2" s="1"/>
  <c r="N19" i="2" s="1"/>
  <c r="O19" i="2" s="1"/>
  <c r="P19" i="2" s="1"/>
  <c r="G20" i="2"/>
  <c r="G21" i="2"/>
  <c r="G22" i="2"/>
  <c r="G23" i="2"/>
  <c r="G24" i="2"/>
  <c r="G25" i="2"/>
  <c r="G26" i="2"/>
  <c r="G27" i="2"/>
  <c r="H27" i="2" s="1"/>
  <c r="I27" i="2" s="1"/>
  <c r="J27" i="2" s="1"/>
  <c r="K27" i="2" s="1"/>
  <c r="L27" i="2" s="1"/>
  <c r="M27" i="2" s="1"/>
  <c r="N27" i="2" s="1"/>
  <c r="O27" i="2" s="1"/>
  <c r="P27" i="2" s="1"/>
  <c r="G28" i="2"/>
  <c r="G29" i="2"/>
  <c r="G30" i="2"/>
  <c r="G31" i="2"/>
  <c r="G32" i="2"/>
  <c r="H32" i="2" s="1"/>
  <c r="I32" i="2" s="1"/>
  <c r="J32" i="2" s="1"/>
  <c r="K32" i="2" s="1"/>
  <c r="L32" i="2" s="1"/>
  <c r="M32" i="2" s="1"/>
  <c r="N32" i="2" s="1"/>
  <c r="O32" i="2" s="1"/>
  <c r="P32" i="2" s="1"/>
  <c r="G33" i="2"/>
  <c r="G34" i="2"/>
  <c r="G35" i="2"/>
  <c r="H35" i="2" s="1"/>
  <c r="I35" i="2" s="1"/>
  <c r="J35" i="2" s="1"/>
  <c r="K35" i="2" s="1"/>
  <c r="L35" i="2" s="1"/>
  <c r="M35" i="2" s="1"/>
  <c r="N35" i="2" s="1"/>
  <c r="O35" i="2" s="1"/>
  <c r="P35" i="2" s="1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H54" i="2" s="1"/>
  <c r="I54" i="2" s="1"/>
  <c r="J54" i="2" s="1"/>
  <c r="K54" i="2" s="1"/>
  <c r="L54" i="2" s="1"/>
  <c r="M54" i="2" s="1"/>
  <c r="N54" i="2" s="1"/>
  <c r="O54" i="2" s="1"/>
  <c r="P54" i="2" s="1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H75" i="2" s="1"/>
  <c r="I75" i="2" s="1"/>
  <c r="J75" i="2" s="1"/>
  <c r="K75" i="2" s="1"/>
  <c r="L75" i="2" s="1"/>
  <c r="M75" i="2" s="1"/>
  <c r="N75" i="2" s="1"/>
  <c r="O75" i="2" s="1"/>
  <c r="P75" i="2" s="1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H96" i="2" s="1"/>
  <c r="I96" i="2" s="1"/>
  <c r="J96" i="2" s="1"/>
  <c r="K96" i="2" s="1"/>
  <c r="L96" i="2" s="1"/>
  <c r="M96" i="2" s="1"/>
  <c r="N96" i="2" s="1"/>
  <c r="O96" i="2" s="1"/>
  <c r="P96" i="2" s="1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H118" i="2" s="1"/>
  <c r="I118" i="2" s="1"/>
  <c r="J118" i="2" s="1"/>
  <c r="K118" i="2" s="1"/>
  <c r="L118" i="2" s="1"/>
  <c r="M118" i="2" s="1"/>
  <c r="N118" i="2" s="1"/>
  <c r="O118" i="2" s="1"/>
  <c r="P118" i="2" s="1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H139" i="2" s="1"/>
  <c r="I139" i="2" s="1"/>
  <c r="J139" i="2" s="1"/>
  <c r="K139" i="2" s="1"/>
  <c r="L139" i="2" s="1"/>
  <c r="M139" i="2" s="1"/>
  <c r="N139" i="2" s="1"/>
  <c r="O139" i="2" s="1"/>
  <c r="P139" i="2" s="1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H160" i="2" s="1"/>
  <c r="I160" i="2" s="1"/>
  <c r="J160" i="2" s="1"/>
  <c r="K160" i="2" s="1"/>
  <c r="L160" i="2" s="1"/>
  <c r="M160" i="2" s="1"/>
  <c r="N160" i="2" s="1"/>
  <c r="O160" i="2" s="1"/>
  <c r="P160" i="2" s="1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H182" i="2" s="1"/>
  <c r="I182" i="2" s="1"/>
  <c r="J182" i="2" s="1"/>
  <c r="K182" i="2" s="1"/>
  <c r="L182" i="2" s="1"/>
  <c r="M182" i="2" s="1"/>
  <c r="N182" i="2" s="1"/>
  <c r="O182" i="2" s="1"/>
  <c r="P182" i="2" s="1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H203" i="2" s="1"/>
  <c r="I203" i="2" s="1"/>
  <c r="J203" i="2" s="1"/>
  <c r="K203" i="2" s="1"/>
  <c r="L203" i="2" s="1"/>
  <c r="M203" i="2" s="1"/>
  <c r="N203" i="2" s="1"/>
  <c r="O203" i="2" s="1"/>
  <c r="P203" i="2" s="1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H224" i="2" s="1"/>
  <c r="I224" i="2" s="1"/>
  <c r="J224" i="2" s="1"/>
  <c r="K224" i="2" s="1"/>
  <c r="L224" i="2" s="1"/>
  <c r="M224" i="2" s="1"/>
  <c r="N224" i="2" s="1"/>
  <c r="O224" i="2" s="1"/>
  <c r="P224" i="2" s="1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H246" i="2" s="1"/>
  <c r="I246" i="2" s="1"/>
  <c r="J246" i="2" s="1"/>
  <c r="K246" i="2" s="1"/>
  <c r="L246" i="2" s="1"/>
  <c r="M246" i="2" s="1"/>
  <c r="N246" i="2" s="1"/>
  <c r="O246" i="2" s="1"/>
  <c r="P246" i="2" s="1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H267" i="2" s="1"/>
  <c r="I267" i="2" s="1"/>
  <c r="J267" i="2" s="1"/>
  <c r="K267" i="2" s="1"/>
  <c r="L267" i="2" s="1"/>
  <c r="M267" i="2" s="1"/>
  <c r="N267" i="2" s="1"/>
  <c r="O267" i="2" s="1"/>
  <c r="P267" i="2" s="1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H288" i="2" s="1"/>
  <c r="I288" i="2" s="1"/>
  <c r="J288" i="2" s="1"/>
  <c r="K288" i="2" s="1"/>
  <c r="L288" i="2" s="1"/>
  <c r="M288" i="2" s="1"/>
  <c r="N288" i="2" s="1"/>
  <c r="O288" i="2" s="1"/>
  <c r="P288" i="2" s="1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H310" i="2" s="1"/>
  <c r="I310" i="2" s="1"/>
  <c r="J310" i="2" s="1"/>
  <c r="K310" i="2" s="1"/>
  <c r="L310" i="2" s="1"/>
  <c r="M310" i="2" s="1"/>
  <c r="N310" i="2" s="1"/>
  <c r="O310" i="2" s="1"/>
  <c r="P310" i="2" s="1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H331" i="2" s="1"/>
  <c r="I331" i="2" s="1"/>
  <c r="J331" i="2" s="1"/>
  <c r="K331" i="2" s="1"/>
  <c r="L331" i="2" s="1"/>
  <c r="M331" i="2" s="1"/>
  <c r="N331" i="2" s="1"/>
  <c r="O331" i="2" s="1"/>
  <c r="P331" i="2" s="1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H352" i="2" s="1"/>
  <c r="I352" i="2" s="1"/>
  <c r="J352" i="2" s="1"/>
  <c r="K352" i="2" s="1"/>
  <c r="L352" i="2" s="1"/>
  <c r="M352" i="2" s="1"/>
  <c r="N352" i="2" s="1"/>
  <c r="O352" i="2" s="1"/>
  <c r="P352" i="2" s="1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H374" i="2" s="1"/>
  <c r="I374" i="2" s="1"/>
  <c r="J374" i="2" s="1"/>
  <c r="K374" i="2" s="1"/>
  <c r="L374" i="2" s="1"/>
  <c r="M374" i="2" s="1"/>
  <c r="N374" i="2" s="1"/>
  <c r="O374" i="2" s="1"/>
  <c r="P374" i="2" s="1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H395" i="2" s="1"/>
  <c r="I395" i="2" s="1"/>
  <c r="J395" i="2" s="1"/>
  <c r="K395" i="2" s="1"/>
  <c r="L395" i="2" s="1"/>
  <c r="M395" i="2" s="1"/>
  <c r="N395" i="2" s="1"/>
  <c r="O395" i="2" s="1"/>
  <c r="P395" i="2" s="1"/>
  <c r="G396" i="2"/>
  <c r="G397" i="2"/>
  <c r="G398" i="2"/>
  <c r="G399" i="2"/>
  <c r="G400" i="2"/>
  <c r="H400" i="2" s="1"/>
  <c r="I400" i="2" s="1"/>
  <c r="J400" i="2" s="1"/>
  <c r="K400" i="2" s="1"/>
  <c r="L400" i="2" s="1"/>
  <c r="M400" i="2" s="1"/>
  <c r="N400" i="2" s="1"/>
  <c r="O400" i="2" s="1"/>
  <c r="P400" i="2" s="1"/>
  <c r="G401" i="2"/>
  <c r="G402" i="2"/>
  <c r="G403" i="2"/>
  <c r="H403" i="2" s="1"/>
  <c r="I403" i="2" s="1"/>
  <c r="J403" i="2" s="1"/>
  <c r="K403" i="2" s="1"/>
  <c r="L403" i="2" s="1"/>
  <c r="M403" i="2" s="1"/>
  <c r="N403" i="2" s="1"/>
  <c r="O403" i="2" s="1"/>
  <c r="P403" i="2" s="1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H416" i="2" s="1"/>
  <c r="I416" i="2" s="1"/>
  <c r="J416" i="2" s="1"/>
  <c r="K416" i="2" s="1"/>
  <c r="L416" i="2" s="1"/>
  <c r="M416" i="2" s="1"/>
  <c r="N416" i="2" s="1"/>
  <c r="O416" i="2" s="1"/>
  <c r="P416" i="2" s="1"/>
  <c r="G417" i="2"/>
  <c r="G418" i="2"/>
  <c r="G419" i="2"/>
  <c r="G420" i="2"/>
  <c r="G421" i="2"/>
  <c r="G422" i="2"/>
  <c r="H422" i="2" s="1"/>
  <c r="I422" i="2" s="1"/>
  <c r="J422" i="2" s="1"/>
  <c r="K422" i="2" s="1"/>
  <c r="L422" i="2" s="1"/>
  <c r="M422" i="2" s="1"/>
  <c r="N422" i="2" s="1"/>
  <c r="O422" i="2" s="1"/>
  <c r="P422" i="2" s="1"/>
  <c r="G423" i="2"/>
  <c r="G424" i="2"/>
  <c r="H424" i="2" s="1"/>
  <c r="I424" i="2" s="1"/>
  <c r="J424" i="2" s="1"/>
  <c r="K424" i="2" s="1"/>
  <c r="L424" i="2" s="1"/>
  <c r="M424" i="2" s="1"/>
  <c r="N424" i="2" s="1"/>
  <c r="O424" i="2" s="1"/>
  <c r="P424" i="2" s="1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H438" i="2" s="1"/>
  <c r="I438" i="2" s="1"/>
  <c r="J438" i="2" s="1"/>
  <c r="K438" i="2" s="1"/>
  <c r="L438" i="2" s="1"/>
  <c r="M438" i="2" s="1"/>
  <c r="N438" i="2" s="1"/>
  <c r="O438" i="2" s="1"/>
  <c r="P438" i="2" s="1"/>
  <c r="G439" i="2"/>
  <c r="G440" i="2"/>
  <c r="G441" i="2"/>
  <c r="G442" i="2"/>
  <c r="G443" i="2"/>
  <c r="H443" i="2" s="1"/>
  <c r="I443" i="2" s="1"/>
  <c r="J443" i="2" s="1"/>
  <c r="K443" i="2" s="1"/>
  <c r="L443" i="2" s="1"/>
  <c r="M443" i="2" s="1"/>
  <c r="N443" i="2" s="1"/>
  <c r="O443" i="2" s="1"/>
  <c r="P443" i="2" s="1"/>
  <c r="G444" i="2"/>
  <c r="G445" i="2"/>
  <c r="G446" i="2"/>
  <c r="H446" i="2" s="1"/>
  <c r="I446" i="2" s="1"/>
  <c r="J446" i="2" s="1"/>
  <c r="K446" i="2" s="1"/>
  <c r="L446" i="2" s="1"/>
  <c r="M446" i="2" s="1"/>
  <c r="N446" i="2" s="1"/>
  <c r="O446" i="2" s="1"/>
  <c r="P446" i="2" s="1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H459" i="2" s="1"/>
  <c r="I459" i="2" s="1"/>
  <c r="J459" i="2" s="1"/>
  <c r="K459" i="2" s="1"/>
  <c r="L459" i="2" s="1"/>
  <c r="M459" i="2" s="1"/>
  <c r="N459" i="2" s="1"/>
  <c r="O459" i="2" s="1"/>
  <c r="P459" i="2" s="1"/>
  <c r="G460" i="2"/>
  <c r="G461" i="2"/>
  <c r="G462" i="2"/>
  <c r="G463" i="2"/>
  <c r="G464" i="2"/>
  <c r="H464" i="2" s="1"/>
  <c r="I464" i="2" s="1"/>
  <c r="J464" i="2" s="1"/>
  <c r="K464" i="2" s="1"/>
  <c r="L464" i="2" s="1"/>
  <c r="M464" i="2" s="1"/>
  <c r="N464" i="2" s="1"/>
  <c r="O464" i="2" s="1"/>
  <c r="P464" i="2" s="1"/>
  <c r="G465" i="2"/>
  <c r="G466" i="2"/>
  <c r="G467" i="2"/>
  <c r="H467" i="2" s="1"/>
  <c r="I467" i="2" s="1"/>
  <c r="J467" i="2" s="1"/>
  <c r="K467" i="2" s="1"/>
  <c r="L467" i="2" s="1"/>
  <c r="M467" i="2" s="1"/>
  <c r="N467" i="2" s="1"/>
  <c r="O467" i="2" s="1"/>
  <c r="P467" i="2" s="1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H480" i="2" s="1"/>
  <c r="I480" i="2" s="1"/>
  <c r="J480" i="2" s="1"/>
  <c r="K480" i="2" s="1"/>
  <c r="L480" i="2" s="1"/>
  <c r="M480" i="2" s="1"/>
  <c r="N480" i="2" s="1"/>
  <c r="O480" i="2" s="1"/>
  <c r="P480" i="2" s="1"/>
  <c r="G481" i="2"/>
  <c r="G482" i="2"/>
  <c r="G483" i="2"/>
  <c r="G484" i="2"/>
  <c r="G485" i="2"/>
  <c r="G486" i="2"/>
  <c r="H486" i="2" s="1"/>
  <c r="I486" i="2" s="1"/>
  <c r="J486" i="2" s="1"/>
  <c r="K486" i="2" s="1"/>
  <c r="L486" i="2" s="1"/>
  <c r="M486" i="2" s="1"/>
  <c r="N486" i="2" s="1"/>
  <c r="O486" i="2" s="1"/>
  <c r="P486" i="2" s="1"/>
  <c r="G487" i="2"/>
  <c r="G488" i="2"/>
  <c r="H488" i="2" s="1"/>
  <c r="I488" i="2" s="1"/>
  <c r="J488" i="2" s="1"/>
  <c r="K488" i="2" s="1"/>
  <c r="L488" i="2" s="1"/>
  <c r="M488" i="2" s="1"/>
  <c r="N488" i="2" s="1"/>
  <c r="O488" i="2" s="1"/>
  <c r="P488" i="2" s="1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H502" i="2" s="1"/>
  <c r="I502" i="2" s="1"/>
  <c r="J502" i="2" s="1"/>
  <c r="K502" i="2" s="1"/>
  <c r="L502" i="2" s="1"/>
  <c r="M502" i="2" s="1"/>
  <c r="N502" i="2" s="1"/>
  <c r="O502" i="2" s="1"/>
  <c r="P502" i="2" s="1"/>
  <c r="G503" i="2"/>
  <c r="G504" i="2"/>
  <c r="G505" i="2"/>
  <c r="G506" i="2"/>
  <c r="G507" i="2"/>
  <c r="H507" i="2" s="1"/>
  <c r="I507" i="2" s="1"/>
  <c r="J507" i="2" s="1"/>
  <c r="K507" i="2" s="1"/>
  <c r="L507" i="2" s="1"/>
  <c r="M507" i="2" s="1"/>
  <c r="N507" i="2" s="1"/>
  <c r="O507" i="2" s="1"/>
  <c r="P507" i="2" s="1"/>
  <c r="G508" i="2"/>
  <c r="G509" i="2"/>
  <c r="G510" i="2"/>
  <c r="H510" i="2" s="1"/>
  <c r="I510" i="2" s="1"/>
  <c r="J510" i="2" s="1"/>
  <c r="K510" i="2" s="1"/>
  <c r="L510" i="2" s="1"/>
  <c r="M510" i="2" s="1"/>
  <c r="N510" i="2" s="1"/>
  <c r="O510" i="2" s="1"/>
  <c r="P510" i="2" s="1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H523" i="2" s="1"/>
  <c r="I523" i="2" s="1"/>
  <c r="J523" i="2" s="1"/>
  <c r="K523" i="2" s="1"/>
  <c r="L523" i="2" s="1"/>
  <c r="M523" i="2" s="1"/>
  <c r="N523" i="2" s="1"/>
  <c r="O523" i="2" s="1"/>
  <c r="P523" i="2" s="1"/>
  <c r="G524" i="2"/>
  <c r="G525" i="2"/>
  <c r="G526" i="2"/>
  <c r="G527" i="2"/>
  <c r="G528" i="2"/>
  <c r="H528" i="2" s="1"/>
  <c r="I528" i="2" s="1"/>
  <c r="J528" i="2" s="1"/>
  <c r="K528" i="2" s="1"/>
  <c r="L528" i="2" s="1"/>
  <c r="M528" i="2" s="1"/>
  <c r="N528" i="2" s="1"/>
  <c r="O528" i="2" s="1"/>
  <c r="P528" i="2" s="1"/>
  <c r="G529" i="2"/>
  <c r="G530" i="2"/>
  <c r="G531" i="2"/>
  <c r="H531" i="2" s="1"/>
  <c r="I531" i="2" s="1"/>
  <c r="J531" i="2" s="1"/>
  <c r="K531" i="2" s="1"/>
  <c r="L531" i="2" s="1"/>
  <c r="M531" i="2" s="1"/>
  <c r="N531" i="2" s="1"/>
  <c r="O531" i="2" s="1"/>
  <c r="P531" i="2" s="1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H544" i="2" s="1"/>
  <c r="I544" i="2" s="1"/>
  <c r="J544" i="2" s="1"/>
  <c r="K544" i="2" s="1"/>
  <c r="L544" i="2" s="1"/>
  <c r="M544" i="2" s="1"/>
  <c r="N544" i="2" s="1"/>
  <c r="O544" i="2" s="1"/>
  <c r="P544" i="2" s="1"/>
  <c r="G545" i="2"/>
  <c r="G546" i="2"/>
  <c r="G547" i="2"/>
  <c r="G548" i="2"/>
  <c r="G549" i="2"/>
  <c r="G550" i="2"/>
  <c r="H550" i="2" s="1"/>
  <c r="I550" i="2" s="1"/>
  <c r="J550" i="2" s="1"/>
  <c r="K550" i="2" s="1"/>
  <c r="L550" i="2" s="1"/>
  <c r="M550" i="2" s="1"/>
  <c r="N550" i="2" s="1"/>
  <c r="O550" i="2" s="1"/>
  <c r="P550" i="2" s="1"/>
  <c r="G551" i="2"/>
  <c r="G552" i="2"/>
  <c r="H552" i="2" s="1"/>
  <c r="I552" i="2" s="1"/>
  <c r="J552" i="2" s="1"/>
  <c r="K552" i="2" s="1"/>
  <c r="L552" i="2" s="1"/>
  <c r="M552" i="2" s="1"/>
  <c r="N552" i="2" s="1"/>
  <c r="O552" i="2" s="1"/>
  <c r="P552" i="2" s="1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H566" i="2" s="1"/>
  <c r="I566" i="2" s="1"/>
  <c r="J566" i="2" s="1"/>
  <c r="K566" i="2" s="1"/>
  <c r="L566" i="2" s="1"/>
  <c r="M566" i="2" s="1"/>
  <c r="N566" i="2" s="1"/>
  <c r="O566" i="2" s="1"/>
  <c r="P566" i="2" s="1"/>
  <c r="G567" i="2"/>
  <c r="G568" i="2"/>
  <c r="G569" i="2"/>
  <c r="G570" i="2"/>
  <c r="G571" i="2"/>
  <c r="H571" i="2" s="1"/>
  <c r="I571" i="2" s="1"/>
  <c r="J571" i="2" s="1"/>
  <c r="K571" i="2" s="1"/>
  <c r="L571" i="2" s="1"/>
  <c r="M571" i="2" s="1"/>
  <c r="N571" i="2" s="1"/>
  <c r="O571" i="2" s="1"/>
  <c r="P571" i="2" s="1"/>
  <c r="G572" i="2"/>
  <c r="G573" i="2"/>
  <c r="G574" i="2"/>
  <c r="H574" i="2" s="1"/>
  <c r="I574" i="2" s="1"/>
  <c r="J574" i="2" s="1"/>
  <c r="K574" i="2" s="1"/>
  <c r="L574" i="2" s="1"/>
  <c r="M574" i="2" s="1"/>
  <c r="N574" i="2" s="1"/>
  <c r="O574" i="2" s="1"/>
  <c r="P574" i="2" s="1"/>
  <c r="G575" i="2"/>
  <c r="G576" i="2"/>
  <c r="G577" i="2"/>
  <c r="G578" i="2"/>
  <c r="G579" i="2"/>
  <c r="G580" i="2"/>
  <c r="G581" i="2"/>
  <c r="G582" i="2"/>
  <c r="G583" i="2"/>
  <c r="H583" i="2" s="1"/>
  <c r="I583" i="2" s="1"/>
  <c r="J583" i="2" s="1"/>
  <c r="K583" i="2" s="1"/>
  <c r="L583" i="2" s="1"/>
  <c r="M583" i="2" s="1"/>
  <c r="N583" i="2" s="1"/>
  <c r="O583" i="2" s="1"/>
  <c r="P583" i="2" s="1"/>
  <c r="G584" i="2"/>
  <c r="G585" i="2"/>
  <c r="G586" i="2"/>
  <c r="H586" i="2" s="1"/>
  <c r="I586" i="2" s="1"/>
  <c r="J586" i="2" s="1"/>
  <c r="K586" i="2" s="1"/>
  <c r="L586" i="2" s="1"/>
  <c r="M586" i="2" s="1"/>
  <c r="N586" i="2" s="1"/>
  <c r="O586" i="2" s="1"/>
  <c r="P586" i="2" s="1"/>
  <c r="G587" i="2"/>
  <c r="H587" i="2" s="1"/>
  <c r="I587" i="2" s="1"/>
  <c r="J587" i="2" s="1"/>
  <c r="K587" i="2" s="1"/>
  <c r="L587" i="2" s="1"/>
  <c r="M587" i="2" s="1"/>
  <c r="N587" i="2" s="1"/>
  <c r="O587" i="2" s="1"/>
  <c r="P587" i="2" s="1"/>
  <c r="G588" i="2"/>
  <c r="G589" i="2"/>
  <c r="G590" i="2"/>
  <c r="G591" i="2"/>
  <c r="G592" i="2"/>
  <c r="G593" i="2"/>
  <c r="G594" i="2"/>
  <c r="G595" i="2"/>
  <c r="H595" i="2" s="1"/>
  <c r="I595" i="2" s="1"/>
  <c r="J595" i="2" s="1"/>
  <c r="K595" i="2" s="1"/>
  <c r="L595" i="2" s="1"/>
  <c r="M595" i="2" s="1"/>
  <c r="N595" i="2" s="1"/>
  <c r="O595" i="2" s="1"/>
  <c r="P595" i="2" s="1"/>
  <c r="G596" i="2"/>
  <c r="G597" i="2"/>
  <c r="G598" i="2"/>
  <c r="G599" i="2"/>
  <c r="H599" i="2" s="1"/>
  <c r="I599" i="2" s="1"/>
  <c r="J599" i="2" s="1"/>
  <c r="K599" i="2" s="1"/>
  <c r="L599" i="2" s="1"/>
  <c r="M599" i="2" s="1"/>
  <c r="N599" i="2" s="1"/>
  <c r="O599" i="2" s="1"/>
  <c r="P599" i="2" s="1"/>
  <c r="G600" i="2"/>
  <c r="H600" i="2" s="1"/>
  <c r="I600" i="2" s="1"/>
  <c r="J600" i="2" s="1"/>
  <c r="K600" i="2" s="1"/>
  <c r="L600" i="2" s="1"/>
  <c r="M600" i="2" s="1"/>
  <c r="N600" i="2" s="1"/>
  <c r="O600" i="2" s="1"/>
  <c r="P600" i="2" s="1"/>
  <c r="G601" i="2"/>
  <c r="G602" i="2"/>
  <c r="G603" i="2"/>
  <c r="G604" i="2"/>
  <c r="G605" i="2"/>
  <c r="G606" i="2"/>
  <c r="G607" i="2"/>
  <c r="G608" i="2"/>
  <c r="H608" i="2" s="1"/>
  <c r="I608" i="2" s="1"/>
  <c r="J608" i="2" s="1"/>
  <c r="K608" i="2" s="1"/>
  <c r="L608" i="2" s="1"/>
  <c r="M608" i="2" s="1"/>
  <c r="N608" i="2" s="1"/>
  <c r="O608" i="2" s="1"/>
  <c r="P608" i="2" s="1"/>
  <c r="G609" i="2"/>
  <c r="G610" i="2"/>
  <c r="G611" i="2"/>
  <c r="H611" i="2" s="1"/>
  <c r="I611" i="2" s="1"/>
  <c r="J611" i="2" s="1"/>
  <c r="K611" i="2" s="1"/>
  <c r="L611" i="2" s="1"/>
  <c r="M611" i="2" s="1"/>
  <c r="N611" i="2" s="1"/>
  <c r="O611" i="2" s="1"/>
  <c r="P611" i="2" s="1"/>
  <c r="G612" i="2"/>
  <c r="G613" i="2"/>
  <c r="G614" i="2"/>
  <c r="H614" i="2" s="1"/>
  <c r="I614" i="2" s="1"/>
  <c r="J614" i="2" s="1"/>
  <c r="K614" i="2" s="1"/>
  <c r="L614" i="2" s="1"/>
  <c r="M614" i="2" s="1"/>
  <c r="N614" i="2" s="1"/>
  <c r="O614" i="2" s="1"/>
  <c r="P614" i="2" s="1"/>
  <c r="G615" i="2"/>
  <c r="G616" i="2"/>
  <c r="G617" i="2"/>
  <c r="G618" i="2"/>
  <c r="G619" i="2"/>
  <c r="G620" i="2"/>
  <c r="G621" i="2"/>
  <c r="G622" i="2"/>
  <c r="H622" i="2" s="1"/>
  <c r="I622" i="2" s="1"/>
  <c r="J622" i="2" s="1"/>
  <c r="K622" i="2" s="1"/>
  <c r="L622" i="2" s="1"/>
  <c r="M622" i="2" s="1"/>
  <c r="N622" i="2" s="1"/>
  <c r="O622" i="2" s="1"/>
  <c r="P622" i="2" s="1"/>
  <c r="G623" i="2"/>
  <c r="G624" i="2"/>
  <c r="H624" i="2" s="1"/>
  <c r="I624" i="2" s="1"/>
  <c r="J624" i="2" s="1"/>
  <c r="K624" i="2" s="1"/>
  <c r="L624" i="2" s="1"/>
  <c r="M624" i="2" s="1"/>
  <c r="N624" i="2" s="1"/>
  <c r="O624" i="2" s="1"/>
  <c r="P624" i="2" s="1"/>
  <c r="G625" i="2"/>
  <c r="G626" i="2"/>
  <c r="H626" i="2" s="1"/>
  <c r="I626" i="2" s="1"/>
  <c r="J626" i="2" s="1"/>
  <c r="K626" i="2" s="1"/>
  <c r="L626" i="2" s="1"/>
  <c r="M626" i="2" s="1"/>
  <c r="N626" i="2" s="1"/>
  <c r="O626" i="2" s="1"/>
  <c r="P626" i="2" s="1"/>
  <c r="G627" i="2"/>
  <c r="G628" i="2"/>
  <c r="G629" i="2"/>
  <c r="G630" i="2"/>
  <c r="G631" i="2"/>
  <c r="G632" i="2"/>
  <c r="G633" i="2"/>
  <c r="G634" i="2"/>
  <c r="H634" i="2" s="1"/>
  <c r="I634" i="2" s="1"/>
  <c r="J634" i="2" s="1"/>
  <c r="K634" i="2" s="1"/>
  <c r="L634" i="2" s="1"/>
  <c r="M634" i="2" s="1"/>
  <c r="N634" i="2" s="1"/>
  <c r="O634" i="2" s="1"/>
  <c r="P634" i="2" s="1"/>
  <c r="G635" i="2"/>
  <c r="G636" i="2"/>
  <c r="G637" i="2"/>
  <c r="G638" i="2"/>
  <c r="H638" i="2" s="1"/>
  <c r="I638" i="2" s="1"/>
  <c r="J638" i="2" s="1"/>
  <c r="K638" i="2" s="1"/>
  <c r="L638" i="2" s="1"/>
  <c r="M638" i="2" s="1"/>
  <c r="N638" i="2" s="1"/>
  <c r="O638" i="2" s="1"/>
  <c r="P638" i="2" s="1"/>
  <c r="G639" i="2"/>
  <c r="H639" i="2" s="1"/>
  <c r="I639" i="2" s="1"/>
  <c r="J639" i="2" s="1"/>
  <c r="K639" i="2" s="1"/>
  <c r="L639" i="2" s="1"/>
  <c r="M639" i="2" s="1"/>
  <c r="N639" i="2" s="1"/>
  <c r="O639" i="2" s="1"/>
  <c r="P639" i="2" s="1"/>
  <c r="G640" i="2"/>
  <c r="G641" i="2"/>
  <c r="G642" i="2"/>
  <c r="G643" i="2"/>
  <c r="G644" i="2"/>
  <c r="G645" i="2"/>
  <c r="G646" i="2"/>
  <c r="G647" i="2"/>
  <c r="H647" i="2" s="1"/>
  <c r="I647" i="2" s="1"/>
  <c r="J647" i="2" s="1"/>
  <c r="K647" i="2" s="1"/>
  <c r="L647" i="2" s="1"/>
  <c r="M647" i="2" s="1"/>
  <c r="N647" i="2" s="1"/>
  <c r="O647" i="2" s="1"/>
  <c r="P647" i="2" s="1"/>
  <c r="G648" i="2"/>
  <c r="G649" i="2"/>
  <c r="G650" i="2"/>
  <c r="H650" i="2" s="1"/>
  <c r="I650" i="2" s="1"/>
  <c r="J650" i="2" s="1"/>
  <c r="K650" i="2" s="1"/>
  <c r="L650" i="2" s="1"/>
  <c r="M650" i="2" s="1"/>
  <c r="N650" i="2" s="1"/>
  <c r="O650" i="2" s="1"/>
  <c r="P650" i="2" s="1"/>
  <c r="G651" i="2"/>
  <c r="H651" i="2" s="1"/>
  <c r="I651" i="2" s="1"/>
  <c r="J651" i="2" s="1"/>
  <c r="K651" i="2" s="1"/>
  <c r="L651" i="2" s="1"/>
  <c r="M651" i="2" s="1"/>
  <c r="N651" i="2" s="1"/>
  <c r="O651" i="2" s="1"/>
  <c r="P651" i="2" s="1"/>
  <c r="G652" i="2"/>
  <c r="G653" i="2"/>
  <c r="G654" i="2"/>
  <c r="G655" i="2"/>
  <c r="G656" i="2"/>
  <c r="G657" i="2"/>
  <c r="G658" i="2"/>
  <c r="G659" i="2"/>
  <c r="H659" i="2" s="1"/>
  <c r="I659" i="2" s="1"/>
  <c r="J659" i="2" s="1"/>
  <c r="K659" i="2" s="1"/>
  <c r="L659" i="2" s="1"/>
  <c r="M659" i="2" s="1"/>
  <c r="N659" i="2" s="1"/>
  <c r="O659" i="2" s="1"/>
  <c r="P659" i="2" s="1"/>
  <c r="G660" i="2"/>
  <c r="G661" i="2"/>
  <c r="G662" i="2"/>
  <c r="G663" i="2"/>
  <c r="H663" i="2" s="1"/>
  <c r="I663" i="2" s="1"/>
  <c r="J663" i="2" s="1"/>
  <c r="K663" i="2" s="1"/>
  <c r="L663" i="2" s="1"/>
  <c r="M663" i="2" s="1"/>
  <c r="N663" i="2" s="1"/>
  <c r="O663" i="2" s="1"/>
  <c r="P663" i="2" s="1"/>
  <c r="G664" i="2"/>
  <c r="H664" i="2" s="1"/>
  <c r="I664" i="2" s="1"/>
  <c r="J664" i="2" s="1"/>
  <c r="K664" i="2" s="1"/>
  <c r="L664" i="2" s="1"/>
  <c r="M664" i="2" s="1"/>
  <c r="N664" i="2" s="1"/>
  <c r="O664" i="2" s="1"/>
  <c r="P664" i="2" s="1"/>
  <c r="G665" i="2"/>
  <c r="G666" i="2"/>
  <c r="G667" i="2"/>
  <c r="G668" i="2"/>
  <c r="G669" i="2"/>
  <c r="G670" i="2"/>
  <c r="G671" i="2"/>
  <c r="G672" i="2"/>
  <c r="H672" i="2" s="1"/>
  <c r="I672" i="2" s="1"/>
  <c r="J672" i="2" s="1"/>
  <c r="K672" i="2" s="1"/>
  <c r="L672" i="2" s="1"/>
  <c r="M672" i="2" s="1"/>
  <c r="N672" i="2" s="1"/>
  <c r="O672" i="2" s="1"/>
  <c r="P672" i="2" s="1"/>
  <c r="G673" i="2"/>
  <c r="G674" i="2"/>
  <c r="G675" i="2"/>
  <c r="H675" i="2" s="1"/>
  <c r="I675" i="2" s="1"/>
  <c r="J675" i="2" s="1"/>
  <c r="K675" i="2" s="1"/>
  <c r="L675" i="2" s="1"/>
  <c r="M675" i="2" s="1"/>
  <c r="N675" i="2" s="1"/>
  <c r="O675" i="2" s="1"/>
  <c r="P675" i="2" s="1"/>
  <c r="G676" i="2"/>
  <c r="G677" i="2"/>
  <c r="G678" i="2"/>
  <c r="H678" i="2" s="1"/>
  <c r="I678" i="2" s="1"/>
  <c r="J678" i="2" s="1"/>
  <c r="K678" i="2" s="1"/>
  <c r="L678" i="2" s="1"/>
  <c r="M678" i="2" s="1"/>
  <c r="N678" i="2" s="1"/>
  <c r="O678" i="2" s="1"/>
  <c r="P678" i="2" s="1"/>
  <c r="G679" i="2"/>
  <c r="G680" i="2"/>
  <c r="G681" i="2"/>
  <c r="G682" i="2"/>
  <c r="G683" i="2"/>
  <c r="G684" i="2"/>
  <c r="G685" i="2"/>
  <c r="G686" i="2"/>
  <c r="H686" i="2" s="1"/>
  <c r="I686" i="2" s="1"/>
  <c r="J686" i="2" s="1"/>
  <c r="K686" i="2" s="1"/>
  <c r="L686" i="2" s="1"/>
  <c r="M686" i="2" s="1"/>
  <c r="N686" i="2" s="1"/>
  <c r="O686" i="2" s="1"/>
  <c r="P686" i="2" s="1"/>
  <c r="G687" i="2"/>
  <c r="G688" i="2"/>
  <c r="H688" i="2" s="1"/>
  <c r="I688" i="2" s="1"/>
  <c r="J688" i="2" s="1"/>
  <c r="K688" i="2" s="1"/>
  <c r="L688" i="2" s="1"/>
  <c r="M688" i="2" s="1"/>
  <c r="N688" i="2" s="1"/>
  <c r="O688" i="2" s="1"/>
  <c r="P688" i="2" s="1"/>
  <c r="G689" i="2"/>
  <c r="H689" i="2" s="1"/>
  <c r="I689" i="2" s="1"/>
  <c r="J689" i="2" s="1"/>
  <c r="K689" i="2" s="1"/>
  <c r="L689" i="2" s="1"/>
  <c r="M689" i="2" s="1"/>
  <c r="N689" i="2" s="1"/>
  <c r="O689" i="2" s="1"/>
  <c r="P689" i="2" s="1"/>
  <c r="G690" i="2"/>
  <c r="G691" i="2"/>
  <c r="G692" i="2"/>
  <c r="G693" i="2"/>
  <c r="G694" i="2"/>
  <c r="H694" i="2" s="1"/>
  <c r="I694" i="2" s="1"/>
  <c r="J694" i="2" s="1"/>
  <c r="K694" i="2" s="1"/>
  <c r="L694" i="2" s="1"/>
  <c r="M694" i="2" s="1"/>
  <c r="N694" i="2" s="1"/>
  <c r="O694" i="2" s="1"/>
  <c r="P694" i="2" s="1"/>
  <c r="G695" i="2"/>
  <c r="G696" i="2"/>
  <c r="H696" i="2" s="1"/>
  <c r="I696" i="2" s="1"/>
  <c r="J696" i="2" s="1"/>
  <c r="K696" i="2" s="1"/>
  <c r="L696" i="2" s="1"/>
  <c r="M696" i="2" s="1"/>
  <c r="N696" i="2" s="1"/>
  <c r="O696" i="2" s="1"/>
  <c r="P696" i="2" s="1"/>
  <c r="G697" i="2"/>
  <c r="H697" i="2" s="1"/>
  <c r="I697" i="2" s="1"/>
  <c r="J697" i="2" s="1"/>
  <c r="K697" i="2" s="1"/>
  <c r="L697" i="2" s="1"/>
  <c r="M697" i="2" s="1"/>
  <c r="N697" i="2" s="1"/>
  <c r="O697" i="2" s="1"/>
  <c r="P697" i="2" s="1"/>
  <c r="G698" i="2"/>
  <c r="G699" i="2"/>
  <c r="G700" i="2"/>
  <c r="G701" i="2"/>
  <c r="G702" i="2"/>
  <c r="H702" i="2" s="1"/>
  <c r="I702" i="2" s="1"/>
  <c r="J702" i="2" s="1"/>
  <c r="K702" i="2" s="1"/>
  <c r="L702" i="2" s="1"/>
  <c r="M702" i="2" s="1"/>
  <c r="N702" i="2" s="1"/>
  <c r="O702" i="2" s="1"/>
  <c r="P702" i="2" s="1"/>
  <c r="G703" i="2"/>
  <c r="G704" i="2"/>
  <c r="H704" i="2" s="1"/>
  <c r="I704" i="2" s="1"/>
  <c r="J704" i="2" s="1"/>
  <c r="K704" i="2" s="1"/>
  <c r="L704" i="2" s="1"/>
  <c r="M704" i="2" s="1"/>
  <c r="N704" i="2" s="1"/>
  <c r="O704" i="2" s="1"/>
  <c r="P704" i="2" s="1"/>
  <c r="G705" i="2"/>
  <c r="H705" i="2" s="1"/>
  <c r="I705" i="2" s="1"/>
  <c r="J705" i="2" s="1"/>
  <c r="K705" i="2" s="1"/>
  <c r="L705" i="2" s="1"/>
  <c r="M705" i="2" s="1"/>
  <c r="N705" i="2" s="1"/>
  <c r="O705" i="2" s="1"/>
  <c r="P705" i="2" s="1"/>
  <c r="G706" i="2"/>
  <c r="G707" i="2"/>
  <c r="G708" i="2"/>
  <c r="G709" i="2"/>
  <c r="G710" i="2"/>
  <c r="H710" i="2" s="1"/>
  <c r="I710" i="2" s="1"/>
  <c r="J710" i="2" s="1"/>
  <c r="K710" i="2" s="1"/>
  <c r="L710" i="2" s="1"/>
  <c r="M710" i="2" s="1"/>
  <c r="N710" i="2" s="1"/>
  <c r="O710" i="2" s="1"/>
  <c r="P710" i="2" s="1"/>
  <c r="G711" i="2"/>
  <c r="G712" i="2"/>
  <c r="H712" i="2" s="1"/>
  <c r="I712" i="2" s="1"/>
  <c r="J712" i="2" s="1"/>
  <c r="K712" i="2" s="1"/>
  <c r="L712" i="2" s="1"/>
  <c r="M712" i="2" s="1"/>
  <c r="N712" i="2" s="1"/>
  <c r="O712" i="2" s="1"/>
  <c r="P712" i="2" s="1"/>
  <c r="G713" i="2"/>
  <c r="H713" i="2" s="1"/>
  <c r="I713" i="2" s="1"/>
  <c r="J713" i="2" s="1"/>
  <c r="K713" i="2" s="1"/>
  <c r="L713" i="2" s="1"/>
  <c r="M713" i="2" s="1"/>
  <c r="N713" i="2" s="1"/>
  <c r="O713" i="2" s="1"/>
  <c r="P713" i="2" s="1"/>
  <c r="G714" i="2"/>
  <c r="G715" i="2"/>
  <c r="G716" i="2"/>
  <c r="G717" i="2"/>
  <c r="G718" i="2"/>
  <c r="H718" i="2" s="1"/>
  <c r="I718" i="2" s="1"/>
  <c r="J718" i="2" s="1"/>
  <c r="K718" i="2" s="1"/>
  <c r="L718" i="2" s="1"/>
  <c r="M718" i="2" s="1"/>
  <c r="N718" i="2" s="1"/>
  <c r="O718" i="2" s="1"/>
  <c r="P718" i="2" s="1"/>
  <c r="G719" i="2"/>
  <c r="G720" i="2"/>
  <c r="H720" i="2" s="1"/>
  <c r="I720" i="2" s="1"/>
  <c r="J720" i="2" s="1"/>
  <c r="K720" i="2" s="1"/>
  <c r="L720" i="2" s="1"/>
  <c r="M720" i="2" s="1"/>
  <c r="N720" i="2" s="1"/>
  <c r="O720" i="2" s="1"/>
  <c r="P720" i="2" s="1"/>
  <c r="G721" i="2"/>
  <c r="H721" i="2" s="1"/>
  <c r="I721" i="2" s="1"/>
  <c r="J721" i="2" s="1"/>
  <c r="K721" i="2" s="1"/>
  <c r="L721" i="2" s="1"/>
  <c r="M721" i="2" s="1"/>
  <c r="N721" i="2" s="1"/>
  <c r="O721" i="2" s="1"/>
  <c r="P721" i="2" s="1"/>
  <c r="G722" i="2"/>
  <c r="G723" i="2"/>
  <c r="G724" i="2"/>
  <c r="G725" i="2"/>
  <c r="G726" i="2"/>
  <c r="H726" i="2" s="1"/>
  <c r="I726" i="2" s="1"/>
  <c r="J726" i="2" s="1"/>
  <c r="K726" i="2" s="1"/>
  <c r="L726" i="2" s="1"/>
  <c r="M726" i="2" s="1"/>
  <c r="N726" i="2" s="1"/>
  <c r="O726" i="2" s="1"/>
  <c r="P726" i="2" s="1"/>
  <c r="G727" i="2"/>
  <c r="G728" i="2"/>
  <c r="H728" i="2" s="1"/>
  <c r="I728" i="2" s="1"/>
  <c r="J728" i="2" s="1"/>
  <c r="K728" i="2" s="1"/>
  <c r="L728" i="2" s="1"/>
  <c r="M728" i="2" s="1"/>
  <c r="N728" i="2" s="1"/>
  <c r="O728" i="2" s="1"/>
  <c r="P728" i="2" s="1"/>
  <c r="G729" i="2"/>
  <c r="H729" i="2" s="1"/>
  <c r="I729" i="2" s="1"/>
  <c r="J729" i="2" s="1"/>
  <c r="K729" i="2" s="1"/>
  <c r="L729" i="2" s="1"/>
  <c r="M729" i="2" s="1"/>
  <c r="N729" i="2" s="1"/>
  <c r="O729" i="2" s="1"/>
  <c r="P729" i="2" s="1"/>
  <c r="G730" i="2"/>
  <c r="G731" i="2"/>
  <c r="G732" i="2"/>
  <c r="G733" i="2"/>
  <c r="G734" i="2"/>
  <c r="H734" i="2" s="1"/>
  <c r="I734" i="2" s="1"/>
  <c r="J734" i="2" s="1"/>
  <c r="K734" i="2" s="1"/>
  <c r="L734" i="2" s="1"/>
  <c r="M734" i="2" s="1"/>
  <c r="N734" i="2" s="1"/>
  <c r="O734" i="2" s="1"/>
  <c r="P734" i="2" s="1"/>
  <c r="G735" i="2"/>
  <c r="G736" i="2"/>
  <c r="H736" i="2" s="1"/>
  <c r="I736" i="2" s="1"/>
  <c r="J736" i="2" s="1"/>
  <c r="K736" i="2" s="1"/>
  <c r="L736" i="2" s="1"/>
  <c r="M736" i="2" s="1"/>
  <c r="N736" i="2" s="1"/>
  <c r="O736" i="2" s="1"/>
  <c r="P736" i="2" s="1"/>
  <c r="G737" i="2"/>
  <c r="H737" i="2" s="1"/>
  <c r="I737" i="2" s="1"/>
  <c r="J737" i="2" s="1"/>
  <c r="K737" i="2" s="1"/>
  <c r="L737" i="2" s="1"/>
  <c r="M737" i="2" s="1"/>
  <c r="N737" i="2" s="1"/>
  <c r="O737" i="2" s="1"/>
  <c r="P737" i="2" s="1"/>
  <c r="G738" i="2"/>
  <c r="G739" i="2"/>
  <c r="G740" i="2"/>
  <c r="G741" i="2"/>
  <c r="G742" i="2"/>
  <c r="H742" i="2" s="1"/>
  <c r="I742" i="2" s="1"/>
  <c r="J742" i="2" s="1"/>
  <c r="K742" i="2" s="1"/>
  <c r="L742" i="2" s="1"/>
  <c r="M742" i="2" s="1"/>
  <c r="N742" i="2" s="1"/>
  <c r="O742" i="2" s="1"/>
  <c r="P742" i="2" s="1"/>
  <c r="G743" i="2"/>
  <c r="G744" i="2"/>
  <c r="H744" i="2" s="1"/>
  <c r="I744" i="2" s="1"/>
  <c r="J744" i="2" s="1"/>
  <c r="K744" i="2" s="1"/>
  <c r="L744" i="2" s="1"/>
  <c r="M744" i="2" s="1"/>
  <c r="N744" i="2" s="1"/>
  <c r="O744" i="2" s="1"/>
  <c r="P744" i="2" s="1"/>
  <c r="G745" i="2"/>
  <c r="H745" i="2" s="1"/>
  <c r="I745" i="2" s="1"/>
  <c r="J745" i="2" s="1"/>
  <c r="K745" i="2" s="1"/>
  <c r="L745" i="2" s="1"/>
  <c r="M745" i="2" s="1"/>
  <c r="N745" i="2" s="1"/>
  <c r="O745" i="2" s="1"/>
  <c r="P745" i="2" s="1"/>
  <c r="G746" i="2"/>
  <c r="G747" i="2"/>
  <c r="G748" i="2"/>
  <c r="G749" i="2"/>
  <c r="G750" i="2"/>
  <c r="H750" i="2" s="1"/>
  <c r="I750" i="2" s="1"/>
  <c r="J750" i="2" s="1"/>
  <c r="K750" i="2" s="1"/>
  <c r="L750" i="2" s="1"/>
  <c r="M750" i="2" s="1"/>
  <c r="N750" i="2" s="1"/>
  <c r="O750" i="2" s="1"/>
  <c r="P750" i="2" s="1"/>
  <c r="G751" i="2"/>
  <c r="G752" i="2"/>
  <c r="H752" i="2" s="1"/>
  <c r="I752" i="2" s="1"/>
  <c r="J752" i="2" s="1"/>
  <c r="K752" i="2" s="1"/>
  <c r="L752" i="2" s="1"/>
  <c r="M752" i="2" s="1"/>
  <c r="N752" i="2" s="1"/>
  <c r="O752" i="2" s="1"/>
  <c r="P752" i="2" s="1"/>
  <c r="G753" i="2"/>
  <c r="H753" i="2" s="1"/>
  <c r="I753" i="2" s="1"/>
  <c r="J753" i="2" s="1"/>
  <c r="K753" i="2" s="1"/>
  <c r="L753" i="2" s="1"/>
  <c r="M753" i="2" s="1"/>
  <c r="N753" i="2" s="1"/>
  <c r="O753" i="2" s="1"/>
  <c r="P753" i="2" s="1"/>
  <c r="G754" i="2"/>
  <c r="G755" i="2"/>
  <c r="G756" i="2"/>
  <c r="G757" i="2"/>
  <c r="G758" i="2"/>
  <c r="H758" i="2" s="1"/>
  <c r="I758" i="2" s="1"/>
  <c r="J758" i="2" s="1"/>
  <c r="K758" i="2" s="1"/>
  <c r="L758" i="2" s="1"/>
  <c r="M758" i="2" s="1"/>
  <c r="N758" i="2" s="1"/>
  <c r="O758" i="2" s="1"/>
  <c r="P758" i="2" s="1"/>
  <c r="G759" i="2"/>
  <c r="G760" i="2"/>
  <c r="H760" i="2" s="1"/>
  <c r="I760" i="2" s="1"/>
  <c r="J760" i="2" s="1"/>
  <c r="K760" i="2" s="1"/>
  <c r="L760" i="2" s="1"/>
  <c r="M760" i="2" s="1"/>
  <c r="N760" i="2" s="1"/>
  <c r="O760" i="2" s="1"/>
  <c r="P760" i="2" s="1"/>
  <c r="G761" i="2"/>
  <c r="H761" i="2" s="1"/>
  <c r="I761" i="2" s="1"/>
  <c r="J761" i="2" s="1"/>
  <c r="K761" i="2" s="1"/>
  <c r="L761" i="2" s="1"/>
  <c r="M761" i="2" s="1"/>
  <c r="N761" i="2" s="1"/>
  <c r="O761" i="2" s="1"/>
  <c r="P761" i="2" s="1"/>
  <c r="G762" i="2"/>
  <c r="G763" i="2"/>
  <c r="G764" i="2"/>
  <c r="G765" i="2"/>
  <c r="G766" i="2"/>
  <c r="H766" i="2" s="1"/>
  <c r="I766" i="2" s="1"/>
  <c r="J766" i="2" s="1"/>
  <c r="K766" i="2" s="1"/>
  <c r="L766" i="2" s="1"/>
  <c r="M766" i="2" s="1"/>
  <c r="N766" i="2" s="1"/>
  <c r="O766" i="2" s="1"/>
  <c r="P766" i="2" s="1"/>
  <c r="G767" i="2"/>
  <c r="G768" i="2"/>
  <c r="H768" i="2" s="1"/>
  <c r="I768" i="2" s="1"/>
  <c r="J768" i="2" s="1"/>
  <c r="K768" i="2" s="1"/>
  <c r="L768" i="2" s="1"/>
  <c r="M768" i="2" s="1"/>
  <c r="N768" i="2" s="1"/>
  <c r="O768" i="2" s="1"/>
  <c r="P768" i="2" s="1"/>
  <c r="G769" i="2"/>
  <c r="H769" i="2" s="1"/>
  <c r="I769" i="2" s="1"/>
  <c r="J769" i="2" s="1"/>
  <c r="K769" i="2" s="1"/>
  <c r="L769" i="2" s="1"/>
  <c r="M769" i="2" s="1"/>
  <c r="N769" i="2" s="1"/>
  <c r="O769" i="2" s="1"/>
  <c r="P769" i="2" s="1"/>
  <c r="G770" i="2"/>
  <c r="G771" i="2"/>
  <c r="G772" i="2"/>
  <c r="G773" i="2"/>
  <c r="G774" i="2"/>
  <c r="H774" i="2" s="1"/>
  <c r="I774" i="2" s="1"/>
  <c r="J774" i="2" s="1"/>
  <c r="K774" i="2" s="1"/>
  <c r="L774" i="2" s="1"/>
  <c r="M774" i="2" s="1"/>
  <c r="N774" i="2" s="1"/>
  <c r="O774" i="2" s="1"/>
  <c r="P774" i="2" s="1"/>
  <c r="G775" i="2"/>
  <c r="G776" i="2"/>
  <c r="H776" i="2" s="1"/>
  <c r="I776" i="2" s="1"/>
  <c r="J776" i="2" s="1"/>
  <c r="K776" i="2" s="1"/>
  <c r="L776" i="2" s="1"/>
  <c r="M776" i="2" s="1"/>
  <c r="N776" i="2" s="1"/>
  <c r="O776" i="2" s="1"/>
  <c r="P776" i="2" s="1"/>
  <c r="G777" i="2"/>
  <c r="H777" i="2" s="1"/>
  <c r="I777" i="2" s="1"/>
  <c r="J777" i="2" s="1"/>
  <c r="K777" i="2" s="1"/>
  <c r="L777" i="2" s="1"/>
  <c r="M777" i="2" s="1"/>
  <c r="N777" i="2" s="1"/>
  <c r="O777" i="2" s="1"/>
  <c r="P777" i="2" s="1"/>
  <c r="G778" i="2"/>
  <c r="G779" i="2"/>
  <c r="G780" i="2"/>
  <c r="G781" i="2"/>
  <c r="G782" i="2"/>
  <c r="H782" i="2" s="1"/>
  <c r="I782" i="2" s="1"/>
  <c r="J782" i="2" s="1"/>
  <c r="K782" i="2" s="1"/>
  <c r="L782" i="2" s="1"/>
  <c r="M782" i="2" s="1"/>
  <c r="N782" i="2" s="1"/>
  <c r="O782" i="2" s="1"/>
  <c r="P782" i="2" s="1"/>
  <c r="G783" i="2"/>
  <c r="G784" i="2"/>
  <c r="H784" i="2" s="1"/>
  <c r="I784" i="2" s="1"/>
  <c r="J784" i="2" s="1"/>
  <c r="K784" i="2" s="1"/>
  <c r="L784" i="2" s="1"/>
  <c r="M784" i="2" s="1"/>
  <c r="N784" i="2" s="1"/>
  <c r="O784" i="2" s="1"/>
  <c r="P784" i="2" s="1"/>
  <c r="G785" i="2"/>
  <c r="H785" i="2" s="1"/>
  <c r="I785" i="2" s="1"/>
  <c r="J785" i="2" s="1"/>
  <c r="K785" i="2" s="1"/>
  <c r="L785" i="2" s="1"/>
  <c r="M785" i="2" s="1"/>
  <c r="N785" i="2" s="1"/>
  <c r="O785" i="2" s="1"/>
  <c r="P785" i="2" s="1"/>
  <c r="G786" i="2"/>
  <c r="G787" i="2"/>
  <c r="G788" i="2"/>
  <c r="G789" i="2"/>
  <c r="G790" i="2"/>
  <c r="H790" i="2" s="1"/>
  <c r="I790" i="2" s="1"/>
  <c r="J790" i="2" s="1"/>
  <c r="K790" i="2" s="1"/>
  <c r="L790" i="2" s="1"/>
  <c r="M790" i="2" s="1"/>
  <c r="N790" i="2" s="1"/>
  <c r="O790" i="2" s="1"/>
  <c r="P790" i="2" s="1"/>
  <c r="G791" i="2"/>
  <c r="G792" i="2"/>
  <c r="H792" i="2" s="1"/>
  <c r="I792" i="2" s="1"/>
  <c r="J792" i="2" s="1"/>
  <c r="K792" i="2" s="1"/>
  <c r="L792" i="2" s="1"/>
  <c r="M792" i="2" s="1"/>
  <c r="N792" i="2" s="1"/>
  <c r="O792" i="2" s="1"/>
  <c r="P792" i="2" s="1"/>
  <c r="G793" i="2"/>
  <c r="H793" i="2" s="1"/>
  <c r="I793" i="2" s="1"/>
  <c r="J793" i="2" s="1"/>
  <c r="K793" i="2" s="1"/>
  <c r="L793" i="2" s="1"/>
  <c r="M793" i="2" s="1"/>
  <c r="N793" i="2" s="1"/>
  <c r="O793" i="2" s="1"/>
  <c r="P793" i="2" s="1"/>
  <c r="G794" i="2"/>
  <c r="G795" i="2"/>
  <c r="G796" i="2"/>
  <c r="G797" i="2"/>
  <c r="G798" i="2"/>
  <c r="H798" i="2" s="1"/>
  <c r="I798" i="2" s="1"/>
  <c r="J798" i="2" s="1"/>
  <c r="K798" i="2" s="1"/>
  <c r="L798" i="2" s="1"/>
  <c r="M798" i="2" s="1"/>
  <c r="N798" i="2" s="1"/>
  <c r="O798" i="2" s="1"/>
  <c r="P798" i="2" s="1"/>
  <c r="G799" i="2"/>
  <c r="G800" i="2"/>
  <c r="H800" i="2" s="1"/>
  <c r="I800" i="2" s="1"/>
  <c r="J800" i="2" s="1"/>
  <c r="K800" i="2" s="1"/>
  <c r="L800" i="2" s="1"/>
  <c r="M800" i="2" s="1"/>
  <c r="N800" i="2" s="1"/>
  <c r="O800" i="2" s="1"/>
  <c r="P800" i="2" s="1"/>
  <c r="G801" i="2"/>
  <c r="H801" i="2" s="1"/>
  <c r="I801" i="2" s="1"/>
  <c r="J801" i="2" s="1"/>
  <c r="K801" i="2" s="1"/>
  <c r="L801" i="2" s="1"/>
  <c r="M801" i="2" s="1"/>
  <c r="N801" i="2" s="1"/>
  <c r="O801" i="2" s="1"/>
  <c r="P801" i="2" s="1"/>
  <c r="G802" i="2"/>
  <c r="G803" i="2"/>
  <c r="G804" i="2"/>
  <c r="G805" i="2"/>
  <c r="G806" i="2"/>
  <c r="H806" i="2" s="1"/>
  <c r="I806" i="2" s="1"/>
  <c r="J806" i="2" s="1"/>
  <c r="K806" i="2" s="1"/>
  <c r="L806" i="2" s="1"/>
  <c r="M806" i="2" s="1"/>
  <c r="N806" i="2" s="1"/>
  <c r="O806" i="2" s="1"/>
  <c r="P806" i="2" s="1"/>
  <c r="G807" i="2"/>
  <c r="G808" i="2"/>
  <c r="H808" i="2" s="1"/>
  <c r="I808" i="2" s="1"/>
  <c r="J808" i="2" s="1"/>
  <c r="K808" i="2" s="1"/>
  <c r="L808" i="2" s="1"/>
  <c r="M808" i="2" s="1"/>
  <c r="N808" i="2" s="1"/>
  <c r="O808" i="2" s="1"/>
  <c r="P808" i="2" s="1"/>
  <c r="G809" i="2"/>
  <c r="H809" i="2" s="1"/>
  <c r="I809" i="2" s="1"/>
  <c r="J809" i="2" s="1"/>
  <c r="K809" i="2" s="1"/>
  <c r="L809" i="2" s="1"/>
  <c r="M809" i="2" s="1"/>
  <c r="N809" i="2" s="1"/>
  <c r="O809" i="2" s="1"/>
  <c r="P809" i="2" s="1"/>
  <c r="G810" i="2"/>
  <c r="G811" i="2"/>
  <c r="G812" i="2"/>
  <c r="G813" i="2"/>
  <c r="G814" i="2"/>
  <c r="H814" i="2" s="1"/>
  <c r="I814" i="2" s="1"/>
  <c r="J814" i="2" s="1"/>
  <c r="K814" i="2" s="1"/>
  <c r="L814" i="2" s="1"/>
  <c r="M814" i="2" s="1"/>
  <c r="N814" i="2" s="1"/>
  <c r="O814" i="2" s="1"/>
  <c r="P814" i="2" s="1"/>
  <c r="G815" i="2"/>
  <c r="G816" i="2"/>
  <c r="H816" i="2" s="1"/>
  <c r="I816" i="2" s="1"/>
  <c r="J816" i="2" s="1"/>
  <c r="K816" i="2" s="1"/>
  <c r="L816" i="2" s="1"/>
  <c r="M816" i="2" s="1"/>
  <c r="N816" i="2" s="1"/>
  <c r="O816" i="2" s="1"/>
  <c r="P816" i="2" s="1"/>
  <c r="G817" i="2"/>
  <c r="H817" i="2" s="1"/>
  <c r="I817" i="2" s="1"/>
  <c r="J817" i="2" s="1"/>
  <c r="K817" i="2" s="1"/>
  <c r="L817" i="2" s="1"/>
  <c r="M817" i="2" s="1"/>
  <c r="N817" i="2" s="1"/>
  <c r="O817" i="2" s="1"/>
  <c r="P817" i="2" s="1"/>
  <c r="G818" i="2"/>
  <c r="G819" i="2"/>
  <c r="G820" i="2"/>
  <c r="G821" i="2"/>
  <c r="G822" i="2"/>
  <c r="H822" i="2" s="1"/>
  <c r="I822" i="2" s="1"/>
  <c r="J822" i="2" s="1"/>
  <c r="K822" i="2" s="1"/>
  <c r="L822" i="2" s="1"/>
  <c r="M822" i="2" s="1"/>
  <c r="N822" i="2" s="1"/>
  <c r="O822" i="2" s="1"/>
  <c r="P822" i="2" s="1"/>
  <c r="G823" i="2"/>
  <c r="G824" i="2"/>
  <c r="H824" i="2" s="1"/>
  <c r="I824" i="2" s="1"/>
  <c r="J824" i="2" s="1"/>
  <c r="K824" i="2" s="1"/>
  <c r="L824" i="2" s="1"/>
  <c r="M824" i="2" s="1"/>
  <c r="N824" i="2" s="1"/>
  <c r="O824" i="2" s="1"/>
  <c r="P824" i="2" s="1"/>
  <c r="G825" i="2"/>
  <c r="H825" i="2" s="1"/>
  <c r="I825" i="2" s="1"/>
  <c r="J825" i="2" s="1"/>
  <c r="K825" i="2" s="1"/>
  <c r="L825" i="2" s="1"/>
  <c r="M825" i="2" s="1"/>
  <c r="N825" i="2" s="1"/>
  <c r="O825" i="2" s="1"/>
  <c r="P825" i="2" s="1"/>
  <c r="G826" i="2"/>
  <c r="G827" i="2"/>
  <c r="G828" i="2"/>
  <c r="G829" i="2"/>
  <c r="G830" i="2"/>
  <c r="H830" i="2" s="1"/>
  <c r="I830" i="2" s="1"/>
  <c r="J830" i="2" s="1"/>
  <c r="K830" i="2" s="1"/>
  <c r="L830" i="2" s="1"/>
  <c r="M830" i="2" s="1"/>
  <c r="N830" i="2" s="1"/>
  <c r="O830" i="2" s="1"/>
  <c r="P830" i="2" s="1"/>
  <c r="G831" i="2"/>
  <c r="G832" i="2"/>
  <c r="H832" i="2" s="1"/>
  <c r="I832" i="2" s="1"/>
  <c r="J832" i="2" s="1"/>
  <c r="K832" i="2" s="1"/>
  <c r="L832" i="2" s="1"/>
  <c r="M832" i="2" s="1"/>
  <c r="N832" i="2" s="1"/>
  <c r="O832" i="2" s="1"/>
  <c r="P832" i="2" s="1"/>
  <c r="G833" i="2"/>
  <c r="H833" i="2" s="1"/>
  <c r="I833" i="2" s="1"/>
  <c r="J833" i="2" s="1"/>
  <c r="K833" i="2" s="1"/>
  <c r="L833" i="2" s="1"/>
  <c r="M833" i="2" s="1"/>
  <c r="N833" i="2" s="1"/>
  <c r="O833" i="2" s="1"/>
  <c r="P833" i="2" s="1"/>
  <c r="G834" i="2"/>
  <c r="G835" i="2"/>
  <c r="G836" i="2"/>
  <c r="G837" i="2"/>
  <c r="G838" i="2"/>
  <c r="H838" i="2" s="1"/>
  <c r="I838" i="2" s="1"/>
  <c r="J838" i="2" s="1"/>
  <c r="K838" i="2" s="1"/>
  <c r="L838" i="2" s="1"/>
  <c r="M838" i="2" s="1"/>
  <c r="N838" i="2" s="1"/>
  <c r="O838" i="2" s="1"/>
  <c r="P838" i="2" s="1"/>
  <c r="G839" i="2"/>
  <c r="G840" i="2"/>
  <c r="H840" i="2" s="1"/>
  <c r="I840" i="2" s="1"/>
  <c r="J840" i="2" s="1"/>
  <c r="K840" i="2" s="1"/>
  <c r="L840" i="2" s="1"/>
  <c r="M840" i="2" s="1"/>
  <c r="N840" i="2" s="1"/>
  <c r="O840" i="2" s="1"/>
  <c r="P840" i="2" s="1"/>
  <c r="G841" i="2"/>
  <c r="H841" i="2" s="1"/>
  <c r="I841" i="2" s="1"/>
  <c r="J841" i="2" s="1"/>
  <c r="K841" i="2" s="1"/>
  <c r="L841" i="2" s="1"/>
  <c r="M841" i="2" s="1"/>
  <c r="N841" i="2" s="1"/>
  <c r="O841" i="2" s="1"/>
  <c r="P841" i="2" s="1"/>
  <c r="G842" i="2"/>
  <c r="G843" i="2"/>
  <c r="G844" i="2"/>
  <c r="G845" i="2"/>
  <c r="G846" i="2"/>
  <c r="H846" i="2" s="1"/>
  <c r="I846" i="2" s="1"/>
  <c r="J846" i="2" s="1"/>
  <c r="K846" i="2" s="1"/>
  <c r="L846" i="2" s="1"/>
  <c r="M846" i="2" s="1"/>
  <c r="N846" i="2" s="1"/>
  <c r="O846" i="2" s="1"/>
  <c r="P846" i="2" s="1"/>
  <c r="G847" i="2"/>
  <c r="G848" i="2"/>
  <c r="H848" i="2" s="1"/>
  <c r="I848" i="2" s="1"/>
  <c r="J848" i="2" s="1"/>
  <c r="K848" i="2" s="1"/>
  <c r="L848" i="2" s="1"/>
  <c r="M848" i="2" s="1"/>
  <c r="N848" i="2" s="1"/>
  <c r="O848" i="2" s="1"/>
  <c r="P848" i="2" s="1"/>
  <c r="G849" i="2"/>
  <c r="H849" i="2" s="1"/>
  <c r="I849" i="2" s="1"/>
  <c r="J849" i="2" s="1"/>
  <c r="K849" i="2" s="1"/>
  <c r="L849" i="2" s="1"/>
  <c r="M849" i="2" s="1"/>
  <c r="N849" i="2" s="1"/>
  <c r="O849" i="2" s="1"/>
  <c r="P849" i="2" s="1"/>
  <c r="G850" i="2"/>
  <c r="G851" i="2"/>
  <c r="G852" i="2"/>
  <c r="G853" i="2"/>
  <c r="G854" i="2"/>
  <c r="H854" i="2" s="1"/>
  <c r="I854" i="2" s="1"/>
  <c r="J854" i="2" s="1"/>
  <c r="K854" i="2" s="1"/>
  <c r="L854" i="2" s="1"/>
  <c r="M854" i="2" s="1"/>
  <c r="N854" i="2" s="1"/>
  <c r="O854" i="2" s="1"/>
  <c r="P854" i="2" s="1"/>
  <c r="G855" i="2"/>
  <c r="G856" i="2"/>
  <c r="H856" i="2" s="1"/>
  <c r="I856" i="2" s="1"/>
  <c r="J856" i="2" s="1"/>
  <c r="K856" i="2" s="1"/>
  <c r="L856" i="2" s="1"/>
  <c r="M856" i="2" s="1"/>
  <c r="N856" i="2" s="1"/>
  <c r="O856" i="2" s="1"/>
  <c r="P856" i="2" s="1"/>
  <c r="G857" i="2"/>
  <c r="H857" i="2" s="1"/>
  <c r="I857" i="2" s="1"/>
  <c r="J857" i="2" s="1"/>
  <c r="K857" i="2" s="1"/>
  <c r="L857" i="2" s="1"/>
  <c r="M857" i="2" s="1"/>
  <c r="N857" i="2" s="1"/>
  <c r="O857" i="2" s="1"/>
  <c r="P857" i="2" s="1"/>
  <c r="G858" i="2"/>
  <c r="G859" i="2"/>
  <c r="G860" i="2"/>
  <c r="G861" i="2"/>
  <c r="G862" i="2"/>
  <c r="H862" i="2" s="1"/>
  <c r="I862" i="2" s="1"/>
  <c r="J862" i="2" s="1"/>
  <c r="K862" i="2" s="1"/>
  <c r="L862" i="2" s="1"/>
  <c r="M862" i="2" s="1"/>
  <c r="N862" i="2" s="1"/>
  <c r="O862" i="2" s="1"/>
  <c r="P862" i="2" s="1"/>
  <c r="G863" i="2"/>
  <c r="G864" i="2"/>
  <c r="H864" i="2" s="1"/>
  <c r="I864" i="2" s="1"/>
  <c r="J864" i="2" s="1"/>
  <c r="K864" i="2" s="1"/>
  <c r="L864" i="2" s="1"/>
  <c r="M864" i="2" s="1"/>
  <c r="N864" i="2" s="1"/>
  <c r="O864" i="2" s="1"/>
  <c r="P864" i="2" s="1"/>
  <c r="G865" i="2"/>
  <c r="H865" i="2" s="1"/>
  <c r="I865" i="2" s="1"/>
  <c r="J865" i="2" s="1"/>
  <c r="K865" i="2" s="1"/>
  <c r="L865" i="2" s="1"/>
  <c r="M865" i="2" s="1"/>
  <c r="N865" i="2" s="1"/>
  <c r="O865" i="2" s="1"/>
  <c r="P865" i="2" s="1"/>
  <c r="G866" i="2"/>
  <c r="G867" i="2"/>
  <c r="G868" i="2"/>
  <c r="G869" i="2"/>
  <c r="G870" i="2"/>
  <c r="H870" i="2" s="1"/>
  <c r="I870" i="2" s="1"/>
  <c r="J870" i="2" s="1"/>
  <c r="K870" i="2" s="1"/>
  <c r="L870" i="2" s="1"/>
  <c r="M870" i="2" s="1"/>
  <c r="N870" i="2" s="1"/>
  <c r="O870" i="2" s="1"/>
  <c r="P870" i="2" s="1"/>
  <c r="G871" i="2"/>
  <c r="G872" i="2"/>
  <c r="H872" i="2" s="1"/>
  <c r="I872" i="2" s="1"/>
  <c r="J872" i="2" s="1"/>
  <c r="K872" i="2" s="1"/>
  <c r="L872" i="2" s="1"/>
  <c r="M872" i="2" s="1"/>
  <c r="N872" i="2" s="1"/>
  <c r="O872" i="2" s="1"/>
  <c r="P872" i="2" s="1"/>
  <c r="G873" i="2"/>
  <c r="H873" i="2" s="1"/>
  <c r="I873" i="2" s="1"/>
  <c r="J873" i="2" s="1"/>
  <c r="K873" i="2" s="1"/>
  <c r="L873" i="2" s="1"/>
  <c r="M873" i="2" s="1"/>
  <c r="N873" i="2" s="1"/>
  <c r="O873" i="2" s="1"/>
  <c r="P873" i="2" s="1"/>
  <c r="G874" i="2"/>
  <c r="G875" i="2"/>
  <c r="G876" i="2"/>
  <c r="G877" i="2"/>
  <c r="G878" i="2"/>
  <c r="H878" i="2" s="1"/>
  <c r="I878" i="2" s="1"/>
  <c r="J878" i="2" s="1"/>
  <c r="K878" i="2" s="1"/>
  <c r="L878" i="2" s="1"/>
  <c r="M878" i="2" s="1"/>
  <c r="N878" i="2" s="1"/>
  <c r="O878" i="2" s="1"/>
  <c r="P878" i="2" s="1"/>
  <c r="G879" i="2"/>
  <c r="G880" i="2"/>
  <c r="H880" i="2" s="1"/>
  <c r="I880" i="2" s="1"/>
  <c r="J880" i="2" s="1"/>
  <c r="K880" i="2" s="1"/>
  <c r="L880" i="2" s="1"/>
  <c r="M880" i="2" s="1"/>
  <c r="N880" i="2" s="1"/>
  <c r="O880" i="2" s="1"/>
  <c r="P880" i="2" s="1"/>
  <c r="G881" i="2"/>
  <c r="H881" i="2" s="1"/>
  <c r="I881" i="2" s="1"/>
  <c r="J881" i="2" s="1"/>
  <c r="K881" i="2" s="1"/>
  <c r="L881" i="2" s="1"/>
  <c r="M881" i="2" s="1"/>
  <c r="N881" i="2" s="1"/>
  <c r="O881" i="2" s="1"/>
  <c r="P881" i="2" s="1"/>
  <c r="G882" i="2"/>
  <c r="G883" i="2"/>
  <c r="G884" i="2"/>
  <c r="G885" i="2"/>
  <c r="G886" i="2"/>
  <c r="H886" i="2" s="1"/>
  <c r="I886" i="2" s="1"/>
  <c r="J886" i="2" s="1"/>
  <c r="K886" i="2" s="1"/>
  <c r="L886" i="2" s="1"/>
  <c r="M886" i="2" s="1"/>
  <c r="N886" i="2" s="1"/>
  <c r="O886" i="2" s="1"/>
  <c r="P886" i="2" s="1"/>
  <c r="G887" i="2"/>
  <c r="G888" i="2"/>
  <c r="H888" i="2" s="1"/>
  <c r="I888" i="2" s="1"/>
  <c r="J888" i="2" s="1"/>
  <c r="K888" i="2" s="1"/>
  <c r="L888" i="2" s="1"/>
  <c r="M888" i="2" s="1"/>
  <c r="N888" i="2" s="1"/>
  <c r="O888" i="2" s="1"/>
  <c r="P888" i="2" s="1"/>
  <c r="G889" i="2"/>
  <c r="H889" i="2" s="1"/>
  <c r="I889" i="2" s="1"/>
  <c r="J889" i="2" s="1"/>
  <c r="K889" i="2" s="1"/>
  <c r="L889" i="2" s="1"/>
  <c r="M889" i="2" s="1"/>
  <c r="N889" i="2" s="1"/>
  <c r="O889" i="2" s="1"/>
  <c r="P889" i="2" s="1"/>
  <c r="G890" i="2"/>
  <c r="G891" i="2"/>
  <c r="G892" i="2"/>
  <c r="G893" i="2"/>
  <c r="G894" i="2"/>
  <c r="H894" i="2" s="1"/>
  <c r="I894" i="2" s="1"/>
  <c r="J894" i="2" s="1"/>
  <c r="K894" i="2" s="1"/>
  <c r="L894" i="2" s="1"/>
  <c r="M894" i="2" s="1"/>
  <c r="N894" i="2" s="1"/>
  <c r="O894" i="2" s="1"/>
  <c r="P894" i="2" s="1"/>
  <c r="G895" i="2"/>
  <c r="G896" i="2"/>
  <c r="H896" i="2" s="1"/>
  <c r="I896" i="2" s="1"/>
  <c r="J896" i="2" s="1"/>
  <c r="K896" i="2" s="1"/>
  <c r="L896" i="2" s="1"/>
  <c r="M896" i="2" s="1"/>
  <c r="N896" i="2" s="1"/>
  <c r="O896" i="2" s="1"/>
  <c r="P896" i="2" s="1"/>
  <c r="G897" i="2"/>
  <c r="H897" i="2" s="1"/>
  <c r="I897" i="2" s="1"/>
  <c r="J897" i="2" s="1"/>
  <c r="K897" i="2" s="1"/>
  <c r="L897" i="2" s="1"/>
  <c r="M897" i="2" s="1"/>
  <c r="N897" i="2" s="1"/>
  <c r="O897" i="2" s="1"/>
  <c r="P897" i="2" s="1"/>
  <c r="G898" i="2"/>
  <c r="G899" i="2"/>
  <c r="G900" i="2"/>
  <c r="G901" i="2"/>
  <c r="G902" i="2"/>
  <c r="H902" i="2" s="1"/>
  <c r="I902" i="2" s="1"/>
  <c r="J902" i="2" s="1"/>
  <c r="K902" i="2" s="1"/>
  <c r="L902" i="2" s="1"/>
  <c r="M902" i="2" s="1"/>
  <c r="N902" i="2" s="1"/>
  <c r="O902" i="2" s="1"/>
  <c r="P902" i="2" s="1"/>
  <c r="G903" i="2"/>
  <c r="G904" i="2"/>
  <c r="H904" i="2" s="1"/>
  <c r="I904" i="2" s="1"/>
  <c r="J904" i="2" s="1"/>
  <c r="K904" i="2" s="1"/>
  <c r="L904" i="2" s="1"/>
  <c r="M904" i="2" s="1"/>
  <c r="N904" i="2" s="1"/>
  <c r="O904" i="2" s="1"/>
  <c r="P904" i="2" s="1"/>
  <c r="G905" i="2"/>
  <c r="H905" i="2" s="1"/>
  <c r="I905" i="2" s="1"/>
  <c r="J905" i="2" s="1"/>
  <c r="K905" i="2" s="1"/>
  <c r="L905" i="2" s="1"/>
  <c r="M905" i="2" s="1"/>
  <c r="N905" i="2" s="1"/>
  <c r="O905" i="2" s="1"/>
  <c r="P905" i="2" s="1"/>
  <c r="G906" i="2"/>
  <c r="G907" i="2"/>
  <c r="G908" i="2"/>
  <c r="G909" i="2"/>
  <c r="G910" i="2"/>
  <c r="H910" i="2" s="1"/>
  <c r="I910" i="2" s="1"/>
  <c r="J910" i="2" s="1"/>
  <c r="K910" i="2" s="1"/>
  <c r="L910" i="2" s="1"/>
  <c r="M910" i="2" s="1"/>
  <c r="N910" i="2" s="1"/>
  <c r="O910" i="2" s="1"/>
  <c r="P910" i="2" s="1"/>
  <c r="G911" i="2"/>
  <c r="G912" i="2"/>
  <c r="H912" i="2" s="1"/>
  <c r="I912" i="2" s="1"/>
  <c r="J912" i="2" s="1"/>
  <c r="K912" i="2" s="1"/>
  <c r="L912" i="2" s="1"/>
  <c r="M912" i="2" s="1"/>
  <c r="N912" i="2" s="1"/>
  <c r="O912" i="2" s="1"/>
  <c r="P912" i="2" s="1"/>
  <c r="G913" i="2"/>
  <c r="H913" i="2" s="1"/>
  <c r="I913" i="2" s="1"/>
  <c r="J913" i="2" s="1"/>
  <c r="K913" i="2" s="1"/>
  <c r="L913" i="2" s="1"/>
  <c r="M913" i="2" s="1"/>
  <c r="N913" i="2" s="1"/>
  <c r="O913" i="2" s="1"/>
  <c r="P913" i="2" s="1"/>
  <c r="G914" i="2"/>
  <c r="G915" i="2"/>
  <c r="G916" i="2"/>
  <c r="G917" i="2"/>
  <c r="G918" i="2"/>
  <c r="H918" i="2" s="1"/>
  <c r="I918" i="2" s="1"/>
  <c r="J918" i="2" s="1"/>
  <c r="K918" i="2" s="1"/>
  <c r="L918" i="2" s="1"/>
  <c r="M918" i="2" s="1"/>
  <c r="N918" i="2" s="1"/>
  <c r="O918" i="2" s="1"/>
  <c r="P918" i="2" s="1"/>
  <c r="G919" i="2"/>
  <c r="G920" i="2"/>
  <c r="H920" i="2" s="1"/>
  <c r="I920" i="2" s="1"/>
  <c r="J920" i="2" s="1"/>
  <c r="K920" i="2" s="1"/>
  <c r="L920" i="2" s="1"/>
  <c r="M920" i="2" s="1"/>
  <c r="N920" i="2" s="1"/>
  <c r="O920" i="2" s="1"/>
  <c r="P920" i="2" s="1"/>
  <c r="G921" i="2"/>
  <c r="H921" i="2" s="1"/>
  <c r="I921" i="2" s="1"/>
  <c r="J921" i="2" s="1"/>
  <c r="K921" i="2" s="1"/>
  <c r="L921" i="2" s="1"/>
  <c r="M921" i="2" s="1"/>
  <c r="N921" i="2" s="1"/>
  <c r="O921" i="2" s="1"/>
  <c r="P921" i="2" s="1"/>
  <c r="G922" i="2"/>
  <c r="G923" i="2"/>
  <c r="G924" i="2"/>
  <c r="G925" i="2"/>
  <c r="G926" i="2"/>
  <c r="H926" i="2" s="1"/>
  <c r="I926" i="2" s="1"/>
  <c r="J926" i="2" s="1"/>
  <c r="K926" i="2" s="1"/>
  <c r="L926" i="2" s="1"/>
  <c r="M926" i="2" s="1"/>
  <c r="N926" i="2" s="1"/>
  <c r="O926" i="2" s="1"/>
  <c r="P926" i="2" s="1"/>
  <c r="G927" i="2"/>
  <c r="G928" i="2"/>
  <c r="H928" i="2" s="1"/>
  <c r="I928" i="2" s="1"/>
  <c r="J928" i="2" s="1"/>
  <c r="K928" i="2" s="1"/>
  <c r="L928" i="2" s="1"/>
  <c r="M928" i="2" s="1"/>
  <c r="N928" i="2" s="1"/>
  <c r="O928" i="2" s="1"/>
  <c r="P928" i="2" s="1"/>
  <c r="G929" i="2"/>
  <c r="H929" i="2" s="1"/>
  <c r="I929" i="2" s="1"/>
  <c r="J929" i="2" s="1"/>
  <c r="K929" i="2" s="1"/>
  <c r="L929" i="2" s="1"/>
  <c r="M929" i="2" s="1"/>
  <c r="N929" i="2" s="1"/>
  <c r="O929" i="2" s="1"/>
  <c r="P929" i="2" s="1"/>
  <c r="G930" i="2"/>
  <c r="G931" i="2"/>
  <c r="G932" i="2"/>
  <c r="G933" i="2"/>
  <c r="G934" i="2"/>
  <c r="H934" i="2" s="1"/>
  <c r="I934" i="2" s="1"/>
  <c r="J934" i="2" s="1"/>
  <c r="K934" i="2" s="1"/>
  <c r="L934" i="2" s="1"/>
  <c r="M934" i="2" s="1"/>
  <c r="N934" i="2" s="1"/>
  <c r="O934" i="2" s="1"/>
  <c r="P934" i="2" s="1"/>
  <c r="G935" i="2"/>
  <c r="G936" i="2"/>
  <c r="H936" i="2" s="1"/>
  <c r="I936" i="2" s="1"/>
  <c r="J936" i="2" s="1"/>
  <c r="K936" i="2" s="1"/>
  <c r="L936" i="2" s="1"/>
  <c r="M936" i="2" s="1"/>
  <c r="N936" i="2" s="1"/>
  <c r="O936" i="2" s="1"/>
  <c r="P936" i="2" s="1"/>
  <c r="G937" i="2"/>
  <c r="H937" i="2" s="1"/>
  <c r="I937" i="2" s="1"/>
  <c r="J937" i="2" s="1"/>
  <c r="K937" i="2" s="1"/>
  <c r="L937" i="2" s="1"/>
  <c r="M937" i="2" s="1"/>
  <c r="N937" i="2" s="1"/>
  <c r="O937" i="2" s="1"/>
  <c r="P937" i="2" s="1"/>
  <c r="G938" i="2"/>
  <c r="G939" i="2"/>
  <c r="G940" i="2"/>
  <c r="G941" i="2"/>
  <c r="G942" i="2"/>
  <c r="H942" i="2" s="1"/>
  <c r="I942" i="2" s="1"/>
  <c r="J942" i="2" s="1"/>
  <c r="K942" i="2" s="1"/>
  <c r="L942" i="2" s="1"/>
  <c r="M942" i="2" s="1"/>
  <c r="N942" i="2" s="1"/>
  <c r="O942" i="2" s="1"/>
  <c r="P942" i="2" s="1"/>
  <c r="G943" i="2"/>
  <c r="G944" i="2"/>
  <c r="H944" i="2" s="1"/>
  <c r="I944" i="2" s="1"/>
  <c r="J944" i="2" s="1"/>
  <c r="K944" i="2" s="1"/>
  <c r="L944" i="2" s="1"/>
  <c r="M944" i="2" s="1"/>
  <c r="N944" i="2" s="1"/>
  <c r="O944" i="2" s="1"/>
  <c r="P944" i="2" s="1"/>
  <c r="G945" i="2"/>
  <c r="H945" i="2" s="1"/>
  <c r="I945" i="2" s="1"/>
  <c r="J945" i="2" s="1"/>
  <c r="K945" i="2" s="1"/>
  <c r="L945" i="2" s="1"/>
  <c r="M945" i="2" s="1"/>
  <c r="N945" i="2" s="1"/>
  <c r="O945" i="2" s="1"/>
  <c r="P945" i="2" s="1"/>
  <c r="G946" i="2"/>
  <c r="G947" i="2"/>
  <c r="G948" i="2"/>
  <c r="G949" i="2"/>
  <c r="G950" i="2"/>
  <c r="H950" i="2" s="1"/>
  <c r="I950" i="2" s="1"/>
  <c r="J950" i="2" s="1"/>
  <c r="K950" i="2" s="1"/>
  <c r="L950" i="2" s="1"/>
  <c r="M950" i="2" s="1"/>
  <c r="N950" i="2" s="1"/>
  <c r="O950" i="2" s="1"/>
  <c r="P950" i="2" s="1"/>
  <c r="G951" i="2"/>
  <c r="G952" i="2"/>
  <c r="H952" i="2" s="1"/>
  <c r="I952" i="2" s="1"/>
  <c r="J952" i="2" s="1"/>
  <c r="K952" i="2" s="1"/>
  <c r="L952" i="2" s="1"/>
  <c r="M952" i="2" s="1"/>
  <c r="N952" i="2" s="1"/>
  <c r="O952" i="2" s="1"/>
  <c r="P952" i="2" s="1"/>
  <c r="G953" i="2"/>
  <c r="H953" i="2" s="1"/>
  <c r="I953" i="2" s="1"/>
  <c r="J953" i="2" s="1"/>
  <c r="K953" i="2" s="1"/>
  <c r="L953" i="2" s="1"/>
  <c r="M953" i="2" s="1"/>
  <c r="N953" i="2" s="1"/>
  <c r="O953" i="2" s="1"/>
  <c r="P953" i="2" s="1"/>
  <c r="G954" i="2"/>
  <c r="G955" i="2"/>
  <c r="G956" i="2"/>
  <c r="G957" i="2"/>
  <c r="G958" i="2"/>
  <c r="H958" i="2" s="1"/>
  <c r="I958" i="2" s="1"/>
  <c r="J958" i="2" s="1"/>
  <c r="K958" i="2" s="1"/>
  <c r="L958" i="2" s="1"/>
  <c r="M958" i="2" s="1"/>
  <c r="N958" i="2" s="1"/>
  <c r="O958" i="2" s="1"/>
  <c r="P958" i="2" s="1"/>
  <c r="G959" i="2"/>
  <c r="G960" i="2"/>
  <c r="H960" i="2" s="1"/>
  <c r="I960" i="2" s="1"/>
  <c r="J960" i="2" s="1"/>
  <c r="K960" i="2" s="1"/>
  <c r="L960" i="2" s="1"/>
  <c r="M960" i="2" s="1"/>
  <c r="N960" i="2" s="1"/>
  <c r="O960" i="2" s="1"/>
  <c r="P960" i="2" s="1"/>
  <c r="G961" i="2"/>
  <c r="H961" i="2" s="1"/>
  <c r="I961" i="2" s="1"/>
  <c r="J961" i="2" s="1"/>
  <c r="K961" i="2" s="1"/>
  <c r="L961" i="2" s="1"/>
  <c r="M961" i="2" s="1"/>
  <c r="N961" i="2" s="1"/>
  <c r="O961" i="2" s="1"/>
  <c r="P961" i="2" s="1"/>
  <c r="G962" i="2"/>
  <c r="G963" i="2"/>
  <c r="G964" i="2"/>
  <c r="G965" i="2"/>
  <c r="G966" i="2"/>
  <c r="H966" i="2" s="1"/>
  <c r="I966" i="2" s="1"/>
  <c r="J966" i="2" s="1"/>
  <c r="K966" i="2" s="1"/>
  <c r="L966" i="2" s="1"/>
  <c r="M966" i="2" s="1"/>
  <c r="N966" i="2" s="1"/>
  <c r="O966" i="2" s="1"/>
  <c r="P966" i="2" s="1"/>
  <c r="G967" i="2"/>
  <c r="G968" i="2"/>
  <c r="H968" i="2" s="1"/>
  <c r="I968" i="2" s="1"/>
  <c r="J968" i="2" s="1"/>
  <c r="K968" i="2" s="1"/>
  <c r="L968" i="2" s="1"/>
  <c r="M968" i="2" s="1"/>
  <c r="N968" i="2" s="1"/>
  <c r="O968" i="2" s="1"/>
  <c r="P968" i="2" s="1"/>
  <c r="G969" i="2"/>
  <c r="H969" i="2" s="1"/>
  <c r="I969" i="2" s="1"/>
  <c r="J969" i="2" s="1"/>
  <c r="K969" i="2" s="1"/>
  <c r="L969" i="2" s="1"/>
  <c r="M969" i="2" s="1"/>
  <c r="N969" i="2" s="1"/>
  <c r="O969" i="2" s="1"/>
  <c r="P969" i="2" s="1"/>
  <c r="G970" i="2"/>
  <c r="G971" i="2"/>
  <c r="G972" i="2"/>
  <c r="G973" i="2"/>
  <c r="G974" i="2"/>
  <c r="H974" i="2" s="1"/>
  <c r="I974" i="2" s="1"/>
  <c r="J974" i="2" s="1"/>
  <c r="K974" i="2" s="1"/>
  <c r="L974" i="2" s="1"/>
  <c r="M974" i="2" s="1"/>
  <c r="N974" i="2" s="1"/>
  <c r="O974" i="2" s="1"/>
  <c r="P974" i="2" s="1"/>
  <c r="G975" i="2"/>
  <c r="G976" i="2"/>
  <c r="H976" i="2" s="1"/>
  <c r="I976" i="2" s="1"/>
  <c r="J976" i="2" s="1"/>
  <c r="K976" i="2" s="1"/>
  <c r="L976" i="2" s="1"/>
  <c r="M976" i="2" s="1"/>
  <c r="N976" i="2" s="1"/>
  <c r="O976" i="2" s="1"/>
  <c r="P976" i="2" s="1"/>
  <c r="G977" i="2"/>
  <c r="H977" i="2" s="1"/>
  <c r="I977" i="2" s="1"/>
  <c r="J977" i="2" s="1"/>
  <c r="K977" i="2" s="1"/>
  <c r="L977" i="2" s="1"/>
  <c r="M977" i="2" s="1"/>
  <c r="N977" i="2" s="1"/>
  <c r="O977" i="2" s="1"/>
  <c r="P977" i="2" s="1"/>
  <c r="G978" i="2"/>
  <c r="G979" i="2"/>
  <c r="G980" i="2"/>
  <c r="G981" i="2"/>
  <c r="G982" i="2"/>
  <c r="H982" i="2" s="1"/>
  <c r="I982" i="2" s="1"/>
  <c r="J982" i="2" s="1"/>
  <c r="K982" i="2" s="1"/>
  <c r="L982" i="2" s="1"/>
  <c r="M982" i="2" s="1"/>
  <c r="N982" i="2" s="1"/>
  <c r="O982" i="2" s="1"/>
  <c r="P982" i="2" s="1"/>
  <c r="G983" i="2"/>
  <c r="G984" i="2"/>
  <c r="H984" i="2" s="1"/>
  <c r="I984" i="2" s="1"/>
  <c r="J984" i="2" s="1"/>
  <c r="K984" i="2" s="1"/>
  <c r="L984" i="2" s="1"/>
  <c r="M984" i="2" s="1"/>
  <c r="N984" i="2" s="1"/>
  <c r="O984" i="2" s="1"/>
  <c r="P984" i="2" s="1"/>
  <c r="G985" i="2"/>
  <c r="H985" i="2" s="1"/>
  <c r="I985" i="2" s="1"/>
  <c r="J985" i="2" s="1"/>
  <c r="K985" i="2" s="1"/>
  <c r="L985" i="2" s="1"/>
  <c r="M985" i="2" s="1"/>
  <c r="N985" i="2" s="1"/>
  <c r="O985" i="2" s="1"/>
  <c r="P985" i="2" s="1"/>
  <c r="G986" i="2"/>
  <c r="G987" i="2"/>
  <c r="G988" i="2"/>
  <c r="G989" i="2"/>
  <c r="G990" i="2"/>
  <c r="H990" i="2" s="1"/>
  <c r="I990" i="2" s="1"/>
  <c r="J990" i="2" s="1"/>
  <c r="K990" i="2" s="1"/>
  <c r="L990" i="2" s="1"/>
  <c r="M990" i="2" s="1"/>
  <c r="N990" i="2" s="1"/>
  <c r="O990" i="2" s="1"/>
  <c r="P990" i="2" s="1"/>
  <c r="G991" i="2"/>
  <c r="G992" i="2"/>
  <c r="H992" i="2" s="1"/>
  <c r="I992" i="2" s="1"/>
  <c r="J992" i="2" s="1"/>
  <c r="K992" i="2" s="1"/>
  <c r="L992" i="2" s="1"/>
  <c r="M992" i="2" s="1"/>
  <c r="N992" i="2" s="1"/>
  <c r="O992" i="2" s="1"/>
  <c r="P992" i="2" s="1"/>
  <c r="G993" i="2"/>
  <c r="H993" i="2" s="1"/>
  <c r="I993" i="2" s="1"/>
  <c r="J993" i="2" s="1"/>
  <c r="K993" i="2" s="1"/>
  <c r="L993" i="2" s="1"/>
  <c r="M993" i="2" s="1"/>
  <c r="N993" i="2" s="1"/>
  <c r="O993" i="2" s="1"/>
  <c r="P993" i="2" s="1"/>
  <c r="G994" i="2"/>
  <c r="G995" i="2"/>
  <c r="G996" i="2"/>
  <c r="G997" i="2"/>
  <c r="G998" i="2"/>
  <c r="H998" i="2" s="1"/>
  <c r="I998" i="2" s="1"/>
  <c r="J998" i="2" s="1"/>
  <c r="K998" i="2" s="1"/>
  <c r="L998" i="2" s="1"/>
  <c r="M998" i="2" s="1"/>
  <c r="N998" i="2" s="1"/>
  <c r="O998" i="2" s="1"/>
  <c r="P998" i="2" s="1"/>
  <c r="G999" i="2"/>
  <c r="G1000" i="2"/>
  <c r="H1000" i="2" s="1"/>
  <c r="I1000" i="2" s="1"/>
  <c r="J1000" i="2" s="1"/>
  <c r="K1000" i="2" s="1"/>
  <c r="L1000" i="2" s="1"/>
  <c r="M1000" i="2" s="1"/>
  <c r="N1000" i="2" s="1"/>
  <c r="O1000" i="2" s="1"/>
  <c r="P1000" i="2" s="1"/>
  <c r="G1001" i="2"/>
  <c r="H1001" i="2" s="1"/>
  <c r="I1001" i="2" s="1"/>
  <c r="J1001" i="2" s="1"/>
  <c r="K1001" i="2" s="1"/>
  <c r="L1001" i="2" s="1"/>
  <c r="M1001" i="2" s="1"/>
  <c r="N1001" i="2" s="1"/>
  <c r="O1001" i="2" s="1"/>
  <c r="P1001" i="2" s="1"/>
  <c r="G1002" i="2"/>
  <c r="G1003" i="2"/>
  <c r="G1004" i="2"/>
  <c r="G1005" i="2"/>
  <c r="G6" i="2"/>
  <c r="H6" i="2" s="1"/>
  <c r="I6" i="2" s="1"/>
  <c r="J6" i="2" s="1"/>
  <c r="K6" i="2" s="1"/>
  <c r="L6" i="2" s="1"/>
  <c r="M6" i="2" s="1"/>
  <c r="N6" i="2" s="1"/>
  <c r="O6" i="2" s="1"/>
  <c r="P6" i="2" s="1"/>
  <c r="P5" i="2"/>
  <c r="N5" i="2"/>
  <c r="O5" i="2"/>
  <c r="H5" i="2"/>
  <c r="I5" i="2"/>
  <c r="J5" i="2" s="1"/>
  <c r="K5" i="2" s="1"/>
  <c r="L5" i="2" s="1"/>
  <c r="M5" i="2" s="1"/>
  <c r="G5" i="2"/>
  <c r="C22" i="1"/>
  <c r="C24" i="1" s="1"/>
  <c r="F8" i="1"/>
  <c r="G8" i="1" s="1"/>
  <c r="H8" i="1" s="1"/>
  <c r="I8" i="1" s="1"/>
  <c r="F9" i="1"/>
  <c r="G9" i="1" s="1"/>
  <c r="H9" i="1" s="1"/>
  <c r="I9" i="1" s="1"/>
  <c r="F10" i="1"/>
  <c r="G10" i="1" s="1"/>
  <c r="H10" i="1" s="1"/>
  <c r="I10" i="1" s="1"/>
  <c r="F11" i="1"/>
  <c r="G11" i="1" s="1"/>
  <c r="H11" i="1" s="1"/>
  <c r="I11" i="1" s="1"/>
  <c r="F12" i="1"/>
  <c r="G12" i="1" s="1"/>
  <c r="H12" i="1" s="1"/>
  <c r="I12" i="1" s="1"/>
  <c r="F13" i="1"/>
  <c r="G13" i="1" s="1"/>
  <c r="H13" i="1" s="1"/>
  <c r="I13" i="1" s="1"/>
  <c r="F14" i="1"/>
  <c r="G14" i="1" s="1"/>
  <c r="H14" i="1" s="1"/>
  <c r="I14" i="1" s="1"/>
  <c r="F15" i="1"/>
  <c r="G15" i="1" s="1"/>
  <c r="H15" i="1" s="1"/>
  <c r="I15" i="1" s="1"/>
  <c r="F16" i="1"/>
  <c r="G16" i="1" s="1"/>
  <c r="H16" i="1" s="1"/>
  <c r="I16" i="1" s="1"/>
  <c r="F17" i="1"/>
  <c r="G17" i="1" s="1"/>
  <c r="H17" i="1" s="1"/>
  <c r="I17" i="1" s="1"/>
  <c r="F18" i="1"/>
  <c r="G18" i="1" s="1"/>
  <c r="H18" i="1" s="1"/>
  <c r="I18" i="1" s="1"/>
  <c r="F19" i="1"/>
  <c r="G19" i="1" s="1"/>
  <c r="H19" i="1" s="1"/>
  <c r="I19" i="1" s="1"/>
  <c r="F20" i="1"/>
  <c r="G20" i="1" s="1"/>
  <c r="H20" i="1" s="1"/>
  <c r="I20" i="1" s="1"/>
  <c r="F21" i="1"/>
  <c r="G21" i="1" s="1"/>
  <c r="H21" i="1" s="1"/>
  <c r="I21" i="1" s="1"/>
  <c r="F22" i="1"/>
  <c r="G22" i="1" s="1"/>
  <c r="H22" i="1" s="1"/>
  <c r="I22" i="1" s="1"/>
  <c r="F23" i="1"/>
  <c r="G23" i="1" s="1"/>
  <c r="H23" i="1" s="1"/>
  <c r="I23" i="1" s="1"/>
  <c r="F24" i="1"/>
  <c r="F25" i="1"/>
  <c r="G25" i="1" s="1"/>
  <c r="H25" i="1" s="1"/>
  <c r="I25" i="1" s="1"/>
  <c r="F26" i="1"/>
  <c r="G26" i="1" s="1"/>
  <c r="H26" i="1" s="1"/>
  <c r="I26" i="1" s="1"/>
  <c r="F27" i="1"/>
  <c r="G27" i="1" s="1"/>
  <c r="H27" i="1" s="1"/>
  <c r="I27" i="1" s="1"/>
  <c r="F28" i="1"/>
  <c r="G28" i="1" s="1"/>
  <c r="H28" i="1" s="1"/>
  <c r="I28" i="1" s="1"/>
  <c r="F29" i="1"/>
  <c r="G29" i="1" s="1"/>
  <c r="H29" i="1" s="1"/>
  <c r="I29" i="1" s="1"/>
  <c r="F30" i="1"/>
  <c r="G30" i="1" s="1"/>
  <c r="H30" i="1" s="1"/>
  <c r="I30" i="1" s="1"/>
  <c r="F31" i="1"/>
  <c r="G31" i="1" s="1"/>
  <c r="H31" i="1" s="1"/>
  <c r="I31" i="1" s="1"/>
  <c r="F32" i="1"/>
  <c r="G32" i="1" s="1"/>
  <c r="H32" i="1" s="1"/>
  <c r="I32" i="1" s="1"/>
  <c r="F33" i="1"/>
  <c r="G33" i="1" s="1"/>
  <c r="H33" i="1" s="1"/>
  <c r="I33" i="1" s="1"/>
  <c r="F34" i="1"/>
  <c r="G34" i="1" s="1"/>
  <c r="H34" i="1" s="1"/>
  <c r="I34" i="1" s="1"/>
  <c r="F35" i="1"/>
  <c r="G35" i="1" s="1"/>
  <c r="H35" i="1" s="1"/>
  <c r="I35" i="1" s="1"/>
  <c r="F36" i="1"/>
  <c r="G36" i="1" s="1"/>
  <c r="H36" i="1" s="1"/>
  <c r="I36" i="1" s="1"/>
  <c r="F37" i="1"/>
  <c r="G37" i="1" s="1"/>
  <c r="H37" i="1" s="1"/>
  <c r="I37" i="1" s="1"/>
  <c r="F38" i="1"/>
  <c r="G38" i="1" s="1"/>
  <c r="H38" i="1" s="1"/>
  <c r="I38" i="1" s="1"/>
  <c r="F39" i="1"/>
  <c r="G39" i="1" s="1"/>
  <c r="H39" i="1" s="1"/>
  <c r="I39" i="1" s="1"/>
  <c r="F40" i="1"/>
  <c r="G40" i="1" s="1"/>
  <c r="H40" i="1" s="1"/>
  <c r="I40" i="1" s="1"/>
  <c r="F41" i="1"/>
  <c r="G41" i="1" s="1"/>
  <c r="H41" i="1" s="1"/>
  <c r="I41" i="1" s="1"/>
  <c r="F42" i="1"/>
  <c r="G42" i="1" s="1"/>
  <c r="H42" i="1" s="1"/>
  <c r="I42" i="1" s="1"/>
  <c r="F43" i="1"/>
  <c r="G43" i="1" s="1"/>
  <c r="H43" i="1" s="1"/>
  <c r="I43" i="1" s="1"/>
  <c r="F44" i="1"/>
  <c r="G44" i="1" s="1"/>
  <c r="H44" i="1" s="1"/>
  <c r="I44" i="1" s="1"/>
  <c r="F45" i="1"/>
  <c r="G45" i="1" s="1"/>
  <c r="H45" i="1" s="1"/>
  <c r="I45" i="1" s="1"/>
  <c r="F46" i="1"/>
  <c r="G46" i="1" s="1"/>
  <c r="H46" i="1" s="1"/>
  <c r="I46" i="1" s="1"/>
  <c r="F47" i="1"/>
  <c r="G47" i="1" s="1"/>
  <c r="H47" i="1" s="1"/>
  <c r="I47" i="1" s="1"/>
  <c r="F48" i="1"/>
  <c r="G48" i="1" s="1"/>
  <c r="H48" i="1" s="1"/>
  <c r="I48" i="1" s="1"/>
  <c r="F49" i="1"/>
  <c r="G49" i="1" s="1"/>
  <c r="H49" i="1" s="1"/>
  <c r="I49" i="1" s="1"/>
  <c r="F50" i="1"/>
  <c r="G50" i="1" s="1"/>
  <c r="H50" i="1" s="1"/>
  <c r="I50" i="1" s="1"/>
  <c r="F51" i="1"/>
  <c r="G51" i="1" s="1"/>
  <c r="H51" i="1" s="1"/>
  <c r="I51" i="1" s="1"/>
  <c r="F52" i="1"/>
  <c r="G52" i="1" s="1"/>
  <c r="H52" i="1" s="1"/>
  <c r="I52" i="1" s="1"/>
  <c r="F53" i="1"/>
  <c r="G53" i="1" s="1"/>
  <c r="H53" i="1" s="1"/>
  <c r="I53" i="1" s="1"/>
  <c r="F54" i="1"/>
  <c r="G54" i="1" s="1"/>
  <c r="H54" i="1" s="1"/>
  <c r="I54" i="1" s="1"/>
  <c r="F55" i="1"/>
  <c r="G55" i="1" s="1"/>
  <c r="H55" i="1" s="1"/>
  <c r="I55" i="1" s="1"/>
  <c r="F56" i="1"/>
  <c r="G56" i="1" s="1"/>
  <c r="H56" i="1" s="1"/>
  <c r="I56" i="1" s="1"/>
  <c r="F57" i="1"/>
  <c r="G57" i="1" s="1"/>
  <c r="H57" i="1" s="1"/>
  <c r="I57" i="1" s="1"/>
  <c r="F58" i="1"/>
  <c r="G58" i="1" s="1"/>
  <c r="H58" i="1" s="1"/>
  <c r="I58" i="1" s="1"/>
  <c r="F59" i="1"/>
  <c r="G59" i="1" s="1"/>
  <c r="H59" i="1" s="1"/>
  <c r="I59" i="1" s="1"/>
  <c r="F60" i="1"/>
  <c r="G60" i="1" s="1"/>
  <c r="H60" i="1" s="1"/>
  <c r="I60" i="1" s="1"/>
  <c r="F61" i="1"/>
  <c r="G61" i="1" s="1"/>
  <c r="H61" i="1" s="1"/>
  <c r="I61" i="1" s="1"/>
  <c r="F62" i="1"/>
  <c r="G62" i="1" s="1"/>
  <c r="H62" i="1" s="1"/>
  <c r="I62" i="1" s="1"/>
  <c r="F63" i="1"/>
  <c r="G63" i="1" s="1"/>
  <c r="H63" i="1" s="1"/>
  <c r="I63" i="1" s="1"/>
  <c r="F64" i="1"/>
  <c r="G64" i="1" s="1"/>
  <c r="H64" i="1" s="1"/>
  <c r="I64" i="1" s="1"/>
  <c r="F65" i="1"/>
  <c r="G65" i="1" s="1"/>
  <c r="H65" i="1" s="1"/>
  <c r="I65" i="1" s="1"/>
  <c r="F66" i="1"/>
  <c r="G66" i="1" s="1"/>
  <c r="H66" i="1" s="1"/>
  <c r="I66" i="1" s="1"/>
  <c r="F67" i="1"/>
  <c r="G67" i="1" s="1"/>
  <c r="H67" i="1" s="1"/>
  <c r="I67" i="1" s="1"/>
  <c r="F68" i="1"/>
  <c r="G68" i="1" s="1"/>
  <c r="H68" i="1" s="1"/>
  <c r="I68" i="1" s="1"/>
  <c r="F69" i="1"/>
  <c r="G69" i="1" s="1"/>
  <c r="H69" i="1" s="1"/>
  <c r="I69" i="1" s="1"/>
  <c r="F70" i="1"/>
  <c r="G70" i="1" s="1"/>
  <c r="H70" i="1" s="1"/>
  <c r="I70" i="1" s="1"/>
  <c r="F71" i="1"/>
  <c r="G71" i="1" s="1"/>
  <c r="H71" i="1" s="1"/>
  <c r="I71" i="1" s="1"/>
  <c r="F72" i="1"/>
  <c r="G72" i="1" s="1"/>
  <c r="H72" i="1" s="1"/>
  <c r="I72" i="1" s="1"/>
  <c r="F73" i="1"/>
  <c r="G73" i="1" s="1"/>
  <c r="H73" i="1" s="1"/>
  <c r="I73" i="1" s="1"/>
  <c r="F74" i="1"/>
  <c r="G74" i="1" s="1"/>
  <c r="H74" i="1" s="1"/>
  <c r="I74" i="1" s="1"/>
  <c r="F75" i="1"/>
  <c r="G75" i="1" s="1"/>
  <c r="H75" i="1" s="1"/>
  <c r="I75" i="1" s="1"/>
  <c r="F76" i="1"/>
  <c r="G76" i="1" s="1"/>
  <c r="H76" i="1" s="1"/>
  <c r="I76" i="1" s="1"/>
  <c r="F77" i="1"/>
  <c r="G77" i="1" s="1"/>
  <c r="H77" i="1" s="1"/>
  <c r="I77" i="1" s="1"/>
  <c r="F78" i="1"/>
  <c r="G78" i="1" s="1"/>
  <c r="H78" i="1" s="1"/>
  <c r="I78" i="1" s="1"/>
  <c r="F79" i="1"/>
  <c r="G79" i="1" s="1"/>
  <c r="H79" i="1" s="1"/>
  <c r="I79" i="1" s="1"/>
  <c r="F80" i="1"/>
  <c r="G80" i="1" s="1"/>
  <c r="H80" i="1" s="1"/>
  <c r="I80" i="1" s="1"/>
  <c r="F81" i="1"/>
  <c r="G81" i="1" s="1"/>
  <c r="H81" i="1" s="1"/>
  <c r="I81" i="1" s="1"/>
  <c r="F82" i="1"/>
  <c r="G82" i="1" s="1"/>
  <c r="H82" i="1" s="1"/>
  <c r="I82" i="1" s="1"/>
  <c r="F83" i="1"/>
  <c r="G83" i="1" s="1"/>
  <c r="H83" i="1" s="1"/>
  <c r="I83" i="1" s="1"/>
  <c r="F84" i="1"/>
  <c r="G84" i="1" s="1"/>
  <c r="H84" i="1" s="1"/>
  <c r="I84" i="1" s="1"/>
  <c r="F85" i="1"/>
  <c r="G85" i="1" s="1"/>
  <c r="H85" i="1" s="1"/>
  <c r="I85" i="1" s="1"/>
  <c r="F86" i="1"/>
  <c r="G86" i="1" s="1"/>
  <c r="H86" i="1" s="1"/>
  <c r="I86" i="1" s="1"/>
  <c r="F87" i="1"/>
  <c r="G87" i="1" s="1"/>
  <c r="H87" i="1" s="1"/>
  <c r="I87" i="1" s="1"/>
  <c r="F88" i="1"/>
  <c r="G88" i="1" s="1"/>
  <c r="H88" i="1" s="1"/>
  <c r="I88" i="1" s="1"/>
  <c r="F89" i="1"/>
  <c r="G89" i="1" s="1"/>
  <c r="H89" i="1" s="1"/>
  <c r="I89" i="1" s="1"/>
  <c r="F90" i="1"/>
  <c r="G90" i="1" s="1"/>
  <c r="H90" i="1" s="1"/>
  <c r="I90" i="1" s="1"/>
  <c r="F91" i="1"/>
  <c r="G91" i="1" s="1"/>
  <c r="H91" i="1" s="1"/>
  <c r="I91" i="1" s="1"/>
  <c r="F92" i="1"/>
  <c r="G92" i="1" s="1"/>
  <c r="H92" i="1" s="1"/>
  <c r="I92" i="1" s="1"/>
  <c r="F93" i="1"/>
  <c r="G93" i="1" s="1"/>
  <c r="H93" i="1" s="1"/>
  <c r="I93" i="1" s="1"/>
  <c r="F94" i="1"/>
  <c r="G94" i="1" s="1"/>
  <c r="H94" i="1" s="1"/>
  <c r="I94" i="1" s="1"/>
  <c r="F95" i="1"/>
  <c r="G95" i="1" s="1"/>
  <c r="H95" i="1" s="1"/>
  <c r="I95" i="1" s="1"/>
  <c r="F96" i="1"/>
  <c r="G96" i="1" s="1"/>
  <c r="H96" i="1" s="1"/>
  <c r="I96" i="1" s="1"/>
  <c r="F97" i="1"/>
  <c r="G97" i="1" s="1"/>
  <c r="H97" i="1" s="1"/>
  <c r="I97" i="1" s="1"/>
  <c r="F98" i="1"/>
  <c r="G98" i="1" s="1"/>
  <c r="H98" i="1" s="1"/>
  <c r="I98" i="1" s="1"/>
  <c r="F99" i="1"/>
  <c r="G99" i="1" s="1"/>
  <c r="H99" i="1" s="1"/>
  <c r="I99" i="1" s="1"/>
  <c r="F100" i="1"/>
  <c r="G100" i="1" s="1"/>
  <c r="H100" i="1" s="1"/>
  <c r="I100" i="1" s="1"/>
  <c r="F101" i="1"/>
  <c r="G101" i="1" s="1"/>
  <c r="H101" i="1" s="1"/>
  <c r="I101" i="1" s="1"/>
  <c r="F102" i="1"/>
  <c r="G102" i="1" s="1"/>
  <c r="H102" i="1" s="1"/>
  <c r="I102" i="1" s="1"/>
  <c r="F103" i="1"/>
  <c r="G103" i="1" s="1"/>
  <c r="H103" i="1" s="1"/>
  <c r="I103" i="1" s="1"/>
  <c r="F104" i="1"/>
  <c r="G104" i="1" s="1"/>
  <c r="H104" i="1" s="1"/>
  <c r="I104" i="1" s="1"/>
  <c r="F105" i="1"/>
  <c r="G105" i="1" s="1"/>
  <c r="H105" i="1" s="1"/>
  <c r="I105" i="1" s="1"/>
  <c r="F106" i="1"/>
  <c r="G106" i="1" s="1"/>
  <c r="H106" i="1" s="1"/>
  <c r="I106" i="1" s="1"/>
  <c r="F107" i="1"/>
  <c r="G107" i="1" s="1"/>
  <c r="H107" i="1" s="1"/>
  <c r="I107" i="1" s="1"/>
  <c r="F108" i="1"/>
  <c r="G108" i="1" s="1"/>
  <c r="H108" i="1" s="1"/>
  <c r="I108" i="1" s="1"/>
  <c r="F109" i="1"/>
  <c r="G109" i="1" s="1"/>
  <c r="H109" i="1" s="1"/>
  <c r="I109" i="1" s="1"/>
  <c r="F110" i="1"/>
  <c r="G110" i="1" s="1"/>
  <c r="H110" i="1" s="1"/>
  <c r="I110" i="1" s="1"/>
  <c r="F111" i="1"/>
  <c r="G111" i="1" s="1"/>
  <c r="H111" i="1" s="1"/>
  <c r="I111" i="1" s="1"/>
  <c r="F112" i="1"/>
  <c r="G112" i="1" s="1"/>
  <c r="H112" i="1" s="1"/>
  <c r="I112" i="1" s="1"/>
  <c r="F113" i="1"/>
  <c r="G113" i="1" s="1"/>
  <c r="H113" i="1" s="1"/>
  <c r="I113" i="1" s="1"/>
  <c r="F114" i="1"/>
  <c r="G114" i="1" s="1"/>
  <c r="H114" i="1" s="1"/>
  <c r="I114" i="1" s="1"/>
  <c r="F115" i="1"/>
  <c r="G115" i="1" s="1"/>
  <c r="H115" i="1" s="1"/>
  <c r="I115" i="1" s="1"/>
  <c r="F116" i="1"/>
  <c r="G116" i="1" s="1"/>
  <c r="H116" i="1" s="1"/>
  <c r="I116" i="1" s="1"/>
  <c r="F117" i="1"/>
  <c r="G117" i="1" s="1"/>
  <c r="H117" i="1" s="1"/>
  <c r="I117" i="1" s="1"/>
  <c r="F118" i="1"/>
  <c r="G118" i="1" s="1"/>
  <c r="H118" i="1" s="1"/>
  <c r="I118" i="1" s="1"/>
  <c r="F119" i="1"/>
  <c r="G119" i="1" s="1"/>
  <c r="H119" i="1" s="1"/>
  <c r="I119" i="1" s="1"/>
  <c r="F120" i="1"/>
  <c r="G120" i="1" s="1"/>
  <c r="H120" i="1" s="1"/>
  <c r="I120" i="1" s="1"/>
  <c r="F121" i="1"/>
  <c r="G121" i="1" s="1"/>
  <c r="H121" i="1" s="1"/>
  <c r="I121" i="1" s="1"/>
  <c r="F122" i="1"/>
  <c r="G122" i="1" s="1"/>
  <c r="H122" i="1" s="1"/>
  <c r="I122" i="1" s="1"/>
  <c r="F123" i="1"/>
  <c r="G123" i="1" s="1"/>
  <c r="H123" i="1" s="1"/>
  <c r="I123" i="1" s="1"/>
  <c r="F124" i="1"/>
  <c r="G124" i="1" s="1"/>
  <c r="H124" i="1" s="1"/>
  <c r="I124" i="1" s="1"/>
  <c r="F125" i="1"/>
  <c r="G125" i="1" s="1"/>
  <c r="H125" i="1" s="1"/>
  <c r="I125" i="1" s="1"/>
  <c r="F126" i="1"/>
  <c r="G126" i="1" s="1"/>
  <c r="H126" i="1" s="1"/>
  <c r="I126" i="1" s="1"/>
  <c r="F127" i="1"/>
  <c r="G127" i="1" s="1"/>
  <c r="H127" i="1" s="1"/>
  <c r="I127" i="1" s="1"/>
  <c r="F128" i="1"/>
  <c r="G128" i="1" s="1"/>
  <c r="H128" i="1" s="1"/>
  <c r="I128" i="1" s="1"/>
  <c r="F129" i="1"/>
  <c r="G129" i="1" s="1"/>
  <c r="H129" i="1" s="1"/>
  <c r="I129" i="1" s="1"/>
  <c r="F130" i="1"/>
  <c r="G130" i="1" s="1"/>
  <c r="H130" i="1" s="1"/>
  <c r="I130" i="1" s="1"/>
  <c r="F131" i="1"/>
  <c r="G131" i="1" s="1"/>
  <c r="H131" i="1" s="1"/>
  <c r="I131" i="1" s="1"/>
  <c r="F132" i="1"/>
  <c r="G132" i="1" s="1"/>
  <c r="H132" i="1" s="1"/>
  <c r="I132" i="1" s="1"/>
  <c r="F133" i="1"/>
  <c r="G133" i="1" s="1"/>
  <c r="H133" i="1" s="1"/>
  <c r="I133" i="1" s="1"/>
  <c r="F134" i="1"/>
  <c r="G134" i="1" s="1"/>
  <c r="H134" i="1" s="1"/>
  <c r="I134" i="1" s="1"/>
  <c r="F135" i="1"/>
  <c r="G135" i="1" s="1"/>
  <c r="H135" i="1" s="1"/>
  <c r="I135" i="1" s="1"/>
  <c r="F136" i="1"/>
  <c r="G136" i="1" s="1"/>
  <c r="H136" i="1" s="1"/>
  <c r="I136" i="1" s="1"/>
  <c r="F137" i="1"/>
  <c r="G137" i="1" s="1"/>
  <c r="H137" i="1" s="1"/>
  <c r="I137" i="1" s="1"/>
  <c r="F138" i="1"/>
  <c r="G138" i="1" s="1"/>
  <c r="H138" i="1" s="1"/>
  <c r="I138" i="1" s="1"/>
  <c r="F139" i="1"/>
  <c r="G139" i="1" s="1"/>
  <c r="H139" i="1" s="1"/>
  <c r="I139" i="1" s="1"/>
  <c r="F140" i="1"/>
  <c r="G140" i="1" s="1"/>
  <c r="H140" i="1" s="1"/>
  <c r="I140" i="1" s="1"/>
  <c r="F141" i="1"/>
  <c r="G141" i="1" s="1"/>
  <c r="H141" i="1" s="1"/>
  <c r="I141" i="1" s="1"/>
  <c r="F142" i="1"/>
  <c r="G142" i="1" s="1"/>
  <c r="H142" i="1" s="1"/>
  <c r="I142" i="1" s="1"/>
  <c r="F143" i="1"/>
  <c r="G143" i="1" s="1"/>
  <c r="H143" i="1" s="1"/>
  <c r="I143" i="1" s="1"/>
  <c r="F144" i="1"/>
  <c r="G144" i="1" s="1"/>
  <c r="H144" i="1" s="1"/>
  <c r="I144" i="1" s="1"/>
  <c r="F145" i="1"/>
  <c r="G145" i="1" s="1"/>
  <c r="H145" i="1" s="1"/>
  <c r="I145" i="1" s="1"/>
  <c r="F146" i="1"/>
  <c r="G146" i="1" s="1"/>
  <c r="H146" i="1" s="1"/>
  <c r="I146" i="1" s="1"/>
  <c r="F147" i="1"/>
  <c r="G147" i="1" s="1"/>
  <c r="H147" i="1" s="1"/>
  <c r="I147" i="1" s="1"/>
  <c r="F148" i="1"/>
  <c r="G148" i="1" s="1"/>
  <c r="H148" i="1" s="1"/>
  <c r="I148" i="1" s="1"/>
  <c r="F149" i="1"/>
  <c r="G149" i="1" s="1"/>
  <c r="H149" i="1" s="1"/>
  <c r="I149" i="1" s="1"/>
  <c r="F150" i="1"/>
  <c r="G150" i="1" s="1"/>
  <c r="H150" i="1" s="1"/>
  <c r="I150" i="1" s="1"/>
  <c r="F151" i="1"/>
  <c r="G151" i="1" s="1"/>
  <c r="H151" i="1" s="1"/>
  <c r="I151" i="1" s="1"/>
  <c r="F152" i="1"/>
  <c r="G152" i="1" s="1"/>
  <c r="H152" i="1" s="1"/>
  <c r="I152" i="1" s="1"/>
  <c r="F153" i="1"/>
  <c r="G153" i="1" s="1"/>
  <c r="H153" i="1" s="1"/>
  <c r="I153" i="1" s="1"/>
  <c r="F154" i="1"/>
  <c r="G154" i="1" s="1"/>
  <c r="H154" i="1" s="1"/>
  <c r="I154" i="1" s="1"/>
  <c r="F155" i="1"/>
  <c r="G155" i="1" s="1"/>
  <c r="H155" i="1" s="1"/>
  <c r="I155" i="1" s="1"/>
  <c r="F156" i="1"/>
  <c r="G156" i="1" s="1"/>
  <c r="H156" i="1" s="1"/>
  <c r="I156" i="1" s="1"/>
  <c r="F157" i="1"/>
  <c r="G157" i="1" s="1"/>
  <c r="H157" i="1" s="1"/>
  <c r="I157" i="1" s="1"/>
  <c r="F158" i="1"/>
  <c r="G158" i="1" s="1"/>
  <c r="H158" i="1" s="1"/>
  <c r="I158" i="1" s="1"/>
  <c r="F159" i="1"/>
  <c r="G159" i="1" s="1"/>
  <c r="H159" i="1" s="1"/>
  <c r="I159" i="1" s="1"/>
  <c r="F160" i="1"/>
  <c r="G160" i="1" s="1"/>
  <c r="H160" i="1" s="1"/>
  <c r="I160" i="1" s="1"/>
  <c r="F161" i="1"/>
  <c r="G161" i="1" s="1"/>
  <c r="H161" i="1" s="1"/>
  <c r="I161" i="1" s="1"/>
  <c r="F162" i="1"/>
  <c r="G162" i="1" s="1"/>
  <c r="H162" i="1" s="1"/>
  <c r="I162" i="1" s="1"/>
  <c r="F163" i="1"/>
  <c r="G163" i="1" s="1"/>
  <c r="H163" i="1" s="1"/>
  <c r="I163" i="1" s="1"/>
  <c r="F164" i="1"/>
  <c r="G164" i="1" s="1"/>
  <c r="H164" i="1" s="1"/>
  <c r="I164" i="1" s="1"/>
  <c r="F165" i="1"/>
  <c r="G165" i="1" s="1"/>
  <c r="H165" i="1" s="1"/>
  <c r="I165" i="1" s="1"/>
  <c r="F166" i="1"/>
  <c r="G166" i="1" s="1"/>
  <c r="H166" i="1" s="1"/>
  <c r="I166" i="1" s="1"/>
  <c r="F167" i="1"/>
  <c r="G167" i="1" s="1"/>
  <c r="H167" i="1" s="1"/>
  <c r="I167" i="1" s="1"/>
  <c r="F168" i="1"/>
  <c r="G168" i="1" s="1"/>
  <c r="H168" i="1" s="1"/>
  <c r="I168" i="1" s="1"/>
  <c r="F169" i="1"/>
  <c r="G169" i="1" s="1"/>
  <c r="H169" i="1" s="1"/>
  <c r="I169" i="1" s="1"/>
  <c r="F170" i="1"/>
  <c r="G170" i="1" s="1"/>
  <c r="H170" i="1" s="1"/>
  <c r="I170" i="1" s="1"/>
  <c r="F171" i="1"/>
  <c r="G171" i="1" s="1"/>
  <c r="H171" i="1" s="1"/>
  <c r="I171" i="1" s="1"/>
  <c r="F172" i="1"/>
  <c r="G172" i="1" s="1"/>
  <c r="H172" i="1" s="1"/>
  <c r="I172" i="1" s="1"/>
  <c r="F173" i="1"/>
  <c r="G173" i="1" s="1"/>
  <c r="H173" i="1" s="1"/>
  <c r="I173" i="1" s="1"/>
  <c r="F174" i="1"/>
  <c r="G174" i="1" s="1"/>
  <c r="H174" i="1" s="1"/>
  <c r="I174" i="1" s="1"/>
  <c r="F175" i="1"/>
  <c r="G175" i="1" s="1"/>
  <c r="H175" i="1" s="1"/>
  <c r="I175" i="1" s="1"/>
  <c r="F176" i="1"/>
  <c r="G176" i="1" s="1"/>
  <c r="H176" i="1" s="1"/>
  <c r="I176" i="1" s="1"/>
  <c r="F177" i="1"/>
  <c r="G177" i="1" s="1"/>
  <c r="H177" i="1" s="1"/>
  <c r="I177" i="1" s="1"/>
  <c r="F178" i="1"/>
  <c r="G178" i="1" s="1"/>
  <c r="H178" i="1" s="1"/>
  <c r="I178" i="1" s="1"/>
  <c r="F179" i="1"/>
  <c r="G179" i="1" s="1"/>
  <c r="H179" i="1" s="1"/>
  <c r="I179" i="1" s="1"/>
  <c r="F180" i="1"/>
  <c r="G180" i="1" s="1"/>
  <c r="H180" i="1" s="1"/>
  <c r="I180" i="1" s="1"/>
  <c r="F181" i="1"/>
  <c r="G181" i="1" s="1"/>
  <c r="H181" i="1" s="1"/>
  <c r="I181" i="1" s="1"/>
  <c r="F182" i="1"/>
  <c r="G182" i="1" s="1"/>
  <c r="H182" i="1" s="1"/>
  <c r="I182" i="1" s="1"/>
  <c r="F183" i="1"/>
  <c r="G183" i="1" s="1"/>
  <c r="H183" i="1" s="1"/>
  <c r="I183" i="1" s="1"/>
  <c r="F184" i="1"/>
  <c r="G184" i="1" s="1"/>
  <c r="H184" i="1" s="1"/>
  <c r="I184" i="1" s="1"/>
  <c r="F185" i="1"/>
  <c r="G185" i="1" s="1"/>
  <c r="H185" i="1" s="1"/>
  <c r="I185" i="1" s="1"/>
  <c r="F186" i="1"/>
  <c r="G186" i="1" s="1"/>
  <c r="H186" i="1" s="1"/>
  <c r="I186" i="1" s="1"/>
  <c r="F187" i="1"/>
  <c r="G187" i="1" s="1"/>
  <c r="H187" i="1" s="1"/>
  <c r="I187" i="1" s="1"/>
  <c r="F188" i="1"/>
  <c r="G188" i="1" s="1"/>
  <c r="H188" i="1" s="1"/>
  <c r="I188" i="1" s="1"/>
  <c r="F189" i="1"/>
  <c r="G189" i="1" s="1"/>
  <c r="H189" i="1" s="1"/>
  <c r="I189" i="1" s="1"/>
  <c r="F190" i="1"/>
  <c r="G190" i="1" s="1"/>
  <c r="H190" i="1" s="1"/>
  <c r="I190" i="1" s="1"/>
  <c r="F191" i="1"/>
  <c r="G191" i="1" s="1"/>
  <c r="H191" i="1" s="1"/>
  <c r="I191" i="1" s="1"/>
  <c r="F192" i="1"/>
  <c r="G192" i="1" s="1"/>
  <c r="H192" i="1" s="1"/>
  <c r="I192" i="1" s="1"/>
  <c r="F193" i="1"/>
  <c r="G193" i="1" s="1"/>
  <c r="H193" i="1" s="1"/>
  <c r="I193" i="1" s="1"/>
  <c r="F194" i="1"/>
  <c r="G194" i="1" s="1"/>
  <c r="H194" i="1" s="1"/>
  <c r="I194" i="1" s="1"/>
  <c r="F195" i="1"/>
  <c r="G195" i="1" s="1"/>
  <c r="H195" i="1" s="1"/>
  <c r="I195" i="1" s="1"/>
  <c r="F196" i="1"/>
  <c r="G196" i="1" s="1"/>
  <c r="H196" i="1" s="1"/>
  <c r="I196" i="1" s="1"/>
  <c r="F197" i="1"/>
  <c r="G197" i="1" s="1"/>
  <c r="H197" i="1" s="1"/>
  <c r="I197" i="1" s="1"/>
  <c r="F198" i="1"/>
  <c r="G198" i="1" s="1"/>
  <c r="H198" i="1" s="1"/>
  <c r="I198" i="1" s="1"/>
  <c r="F199" i="1"/>
  <c r="G199" i="1" s="1"/>
  <c r="H199" i="1" s="1"/>
  <c r="I199" i="1" s="1"/>
  <c r="F200" i="1"/>
  <c r="G200" i="1" s="1"/>
  <c r="H200" i="1" s="1"/>
  <c r="I200" i="1" s="1"/>
  <c r="F201" i="1"/>
  <c r="G201" i="1" s="1"/>
  <c r="H201" i="1" s="1"/>
  <c r="I201" i="1" s="1"/>
  <c r="F202" i="1"/>
  <c r="G202" i="1" s="1"/>
  <c r="H202" i="1" s="1"/>
  <c r="I202" i="1" s="1"/>
  <c r="F203" i="1"/>
  <c r="G203" i="1" s="1"/>
  <c r="H203" i="1" s="1"/>
  <c r="I203" i="1" s="1"/>
  <c r="F204" i="1"/>
  <c r="G204" i="1" s="1"/>
  <c r="H204" i="1" s="1"/>
  <c r="I204" i="1" s="1"/>
  <c r="F205" i="1"/>
  <c r="G205" i="1" s="1"/>
  <c r="H205" i="1" s="1"/>
  <c r="I205" i="1" s="1"/>
  <c r="F206" i="1"/>
  <c r="G206" i="1" s="1"/>
  <c r="H206" i="1" s="1"/>
  <c r="I206" i="1" s="1"/>
  <c r="F207" i="1"/>
  <c r="G207" i="1" s="1"/>
  <c r="H207" i="1" s="1"/>
  <c r="I207" i="1" s="1"/>
  <c r="F208" i="1"/>
  <c r="G208" i="1" s="1"/>
  <c r="H208" i="1" s="1"/>
  <c r="I208" i="1" s="1"/>
  <c r="F209" i="1"/>
  <c r="G209" i="1" s="1"/>
  <c r="H209" i="1" s="1"/>
  <c r="I209" i="1" s="1"/>
  <c r="F210" i="1"/>
  <c r="G210" i="1" s="1"/>
  <c r="H210" i="1" s="1"/>
  <c r="I210" i="1" s="1"/>
  <c r="F211" i="1"/>
  <c r="G211" i="1" s="1"/>
  <c r="H211" i="1" s="1"/>
  <c r="I211" i="1" s="1"/>
  <c r="F212" i="1"/>
  <c r="G212" i="1" s="1"/>
  <c r="H212" i="1" s="1"/>
  <c r="I212" i="1" s="1"/>
  <c r="F213" i="1"/>
  <c r="G213" i="1" s="1"/>
  <c r="H213" i="1" s="1"/>
  <c r="I213" i="1" s="1"/>
  <c r="F214" i="1"/>
  <c r="G214" i="1" s="1"/>
  <c r="H214" i="1" s="1"/>
  <c r="I214" i="1" s="1"/>
  <c r="F215" i="1"/>
  <c r="G215" i="1" s="1"/>
  <c r="H215" i="1" s="1"/>
  <c r="I215" i="1" s="1"/>
  <c r="F216" i="1"/>
  <c r="G216" i="1" s="1"/>
  <c r="H216" i="1" s="1"/>
  <c r="I216" i="1" s="1"/>
  <c r="F217" i="1"/>
  <c r="G217" i="1" s="1"/>
  <c r="H217" i="1" s="1"/>
  <c r="I217" i="1" s="1"/>
  <c r="F218" i="1"/>
  <c r="G218" i="1" s="1"/>
  <c r="H218" i="1" s="1"/>
  <c r="I218" i="1" s="1"/>
  <c r="F219" i="1"/>
  <c r="G219" i="1" s="1"/>
  <c r="H219" i="1" s="1"/>
  <c r="I219" i="1" s="1"/>
  <c r="F220" i="1"/>
  <c r="G220" i="1" s="1"/>
  <c r="H220" i="1" s="1"/>
  <c r="I220" i="1" s="1"/>
  <c r="F221" i="1"/>
  <c r="G221" i="1" s="1"/>
  <c r="H221" i="1" s="1"/>
  <c r="I221" i="1" s="1"/>
  <c r="F222" i="1"/>
  <c r="G222" i="1" s="1"/>
  <c r="H222" i="1" s="1"/>
  <c r="I222" i="1" s="1"/>
  <c r="F223" i="1"/>
  <c r="G223" i="1" s="1"/>
  <c r="H223" i="1" s="1"/>
  <c r="I223" i="1" s="1"/>
  <c r="F224" i="1"/>
  <c r="G224" i="1" s="1"/>
  <c r="H224" i="1" s="1"/>
  <c r="I224" i="1" s="1"/>
  <c r="F225" i="1"/>
  <c r="G225" i="1" s="1"/>
  <c r="H225" i="1" s="1"/>
  <c r="I225" i="1" s="1"/>
  <c r="F226" i="1"/>
  <c r="G226" i="1" s="1"/>
  <c r="H226" i="1" s="1"/>
  <c r="I226" i="1" s="1"/>
  <c r="F227" i="1"/>
  <c r="G227" i="1" s="1"/>
  <c r="H227" i="1" s="1"/>
  <c r="I227" i="1" s="1"/>
  <c r="F228" i="1"/>
  <c r="G228" i="1" s="1"/>
  <c r="H228" i="1" s="1"/>
  <c r="I228" i="1" s="1"/>
  <c r="F229" i="1"/>
  <c r="G229" i="1" s="1"/>
  <c r="H229" i="1" s="1"/>
  <c r="I229" i="1" s="1"/>
  <c r="F230" i="1"/>
  <c r="G230" i="1" s="1"/>
  <c r="H230" i="1" s="1"/>
  <c r="I230" i="1" s="1"/>
  <c r="F231" i="1"/>
  <c r="G231" i="1" s="1"/>
  <c r="H231" i="1" s="1"/>
  <c r="I231" i="1" s="1"/>
  <c r="F232" i="1"/>
  <c r="G232" i="1" s="1"/>
  <c r="H232" i="1" s="1"/>
  <c r="I232" i="1" s="1"/>
  <c r="F233" i="1"/>
  <c r="G233" i="1" s="1"/>
  <c r="H233" i="1" s="1"/>
  <c r="I233" i="1" s="1"/>
  <c r="F234" i="1"/>
  <c r="G234" i="1" s="1"/>
  <c r="H234" i="1" s="1"/>
  <c r="I234" i="1" s="1"/>
  <c r="F235" i="1"/>
  <c r="G235" i="1" s="1"/>
  <c r="H235" i="1" s="1"/>
  <c r="I235" i="1" s="1"/>
  <c r="F236" i="1"/>
  <c r="G236" i="1" s="1"/>
  <c r="H236" i="1" s="1"/>
  <c r="I236" i="1" s="1"/>
  <c r="F237" i="1"/>
  <c r="G237" i="1" s="1"/>
  <c r="H237" i="1" s="1"/>
  <c r="I237" i="1" s="1"/>
  <c r="F238" i="1"/>
  <c r="G238" i="1" s="1"/>
  <c r="H238" i="1" s="1"/>
  <c r="I238" i="1" s="1"/>
  <c r="F239" i="1"/>
  <c r="G239" i="1" s="1"/>
  <c r="H239" i="1" s="1"/>
  <c r="I239" i="1" s="1"/>
  <c r="F240" i="1"/>
  <c r="G240" i="1" s="1"/>
  <c r="H240" i="1" s="1"/>
  <c r="I240" i="1" s="1"/>
  <c r="F241" i="1"/>
  <c r="G241" i="1" s="1"/>
  <c r="H241" i="1" s="1"/>
  <c r="I241" i="1" s="1"/>
  <c r="F242" i="1"/>
  <c r="G242" i="1" s="1"/>
  <c r="H242" i="1" s="1"/>
  <c r="I242" i="1" s="1"/>
  <c r="F243" i="1"/>
  <c r="G243" i="1" s="1"/>
  <c r="H243" i="1" s="1"/>
  <c r="I243" i="1" s="1"/>
  <c r="F244" i="1"/>
  <c r="G244" i="1" s="1"/>
  <c r="H244" i="1" s="1"/>
  <c r="I244" i="1" s="1"/>
  <c r="F245" i="1"/>
  <c r="G245" i="1" s="1"/>
  <c r="H245" i="1" s="1"/>
  <c r="I245" i="1" s="1"/>
  <c r="F246" i="1"/>
  <c r="G246" i="1" s="1"/>
  <c r="H246" i="1" s="1"/>
  <c r="I246" i="1" s="1"/>
  <c r="F247" i="1"/>
  <c r="G247" i="1" s="1"/>
  <c r="H247" i="1" s="1"/>
  <c r="I247" i="1" s="1"/>
  <c r="F248" i="1"/>
  <c r="G248" i="1" s="1"/>
  <c r="H248" i="1" s="1"/>
  <c r="I248" i="1" s="1"/>
  <c r="F249" i="1"/>
  <c r="G249" i="1" s="1"/>
  <c r="H249" i="1" s="1"/>
  <c r="I249" i="1" s="1"/>
  <c r="F250" i="1"/>
  <c r="G250" i="1" s="1"/>
  <c r="H250" i="1" s="1"/>
  <c r="I250" i="1" s="1"/>
  <c r="F251" i="1"/>
  <c r="G251" i="1" s="1"/>
  <c r="H251" i="1" s="1"/>
  <c r="I251" i="1" s="1"/>
  <c r="F252" i="1"/>
  <c r="G252" i="1" s="1"/>
  <c r="H252" i="1" s="1"/>
  <c r="I252" i="1" s="1"/>
  <c r="F253" i="1"/>
  <c r="G253" i="1" s="1"/>
  <c r="H253" i="1" s="1"/>
  <c r="I253" i="1" s="1"/>
  <c r="F254" i="1"/>
  <c r="G254" i="1" s="1"/>
  <c r="H254" i="1" s="1"/>
  <c r="I254" i="1" s="1"/>
  <c r="F255" i="1"/>
  <c r="G255" i="1" s="1"/>
  <c r="H255" i="1" s="1"/>
  <c r="I255" i="1" s="1"/>
  <c r="F256" i="1"/>
  <c r="G256" i="1" s="1"/>
  <c r="H256" i="1" s="1"/>
  <c r="I256" i="1" s="1"/>
  <c r="F257" i="1"/>
  <c r="G257" i="1" s="1"/>
  <c r="H257" i="1" s="1"/>
  <c r="I257" i="1" s="1"/>
  <c r="F258" i="1"/>
  <c r="G258" i="1" s="1"/>
  <c r="H258" i="1" s="1"/>
  <c r="I258" i="1" s="1"/>
  <c r="F259" i="1"/>
  <c r="G259" i="1" s="1"/>
  <c r="H259" i="1" s="1"/>
  <c r="I259" i="1" s="1"/>
  <c r="F260" i="1"/>
  <c r="G260" i="1" s="1"/>
  <c r="H260" i="1" s="1"/>
  <c r="I260" i="1" s="1"/>
  <c r="F261" i="1"/>
  <c r="G261" i="1" s="1"/>
  <c r="H261" i="1" s="1"/>
  <c r="I261" i="1" s="1"/>
  <c r="F262" i="1"/>
  <c r="G262" i="1" s="1"/>
  <c r="H262" i="1" s="1"/>
  <c r="I262" i="1" s="1"/>
  <c r="F263" i="1"/>
  <c r="G263" i="1" s="1"/>
  <c r="H263" i="1" s="1"/>
  <c r="I263" i="1" s="1"/>
  <c r="F264" i="1"/>
  <c r="G264" i="1" s="1"/>
  <c r="H264" i="1" s="1"/>
  <c r="I264" i="1" s="1"/>
  <c r="F265" i="1"/>
  <c r="G265" i="1" s="1"/>
  <c r="H265" i="1" s="1"/>
  <c r="I265" i="1" s="1"/>
  <c r="F266" i="1"/>
  <c r="G266" i="1" s="1"/>
  <c r="H266" i="1" s="1"/>
  <c r="I266" i="1" s="1"/>
  <c r="F267" i="1"/>
  <c r="G267" i="1" s="1"/>
  <c r="H267" i="1" s="1"/>
  <c r="I267" i="1" s="1"/>
  <c r="F268" i="1"/>
  <c r="G268" i="1" s="1"/>
  <c r="H268" i="1" s="1"/>
  <c r="I268" i="1" s="1"/>
  <c r="F269" i="1"/>
  <c r="G269" i="1" s="1"/>
  <c r="H269" i="1" s="1"/>
  <c r="I269" i="1" s="1"/>
  <c r="F270" i="1"/>
  <c r="G270" i="1" s="1"/>
  <c r="H270" i="1" s="1"/>
  <c r="I270" i="1" s="1"/>
  <c r="F271" i="1"/>
  <c r="G271" i="1" s="1"/>
  <c r="H271" i="1" s="1"/>
  <c r="I271" i="1" s="1"/>
  <c r="F272" i="1"/>
  <c r="G272" i="1" s="1"/>
  <c r="H272" i="1" s="1"/>
  <c r="I272" i="1" s="1"/>
  <c r="F273" i="1"/>
  <c r="G273" i="1" s="1"/>
  <c r="H273" i="1" s="1"/>
  <c r="I273" i="1" s="1"/>
  <c r="F274" i="1"/>
  <c r="G274" i="1" s="1"/>
  <c r="H274" i="1" s="1"/>
  <c r="I274" i="1" s="1"/>
  <c r="F275" i="1"/>
  <c r="G275" i="1" s="1"/>
  <c r="H275" i="1" s="1"/>
  <c r="I275" i="1" s="1"/>
  <c r="F276" i="1"/>
  <c r="G276" i="1" s="1"/>
  <c r="H276" i="1" s="1"/>
  <c r="I276" i="1" s="1"/>
  <c r="F277" i="1"/>
  <c r="G277" i="1" s="1"/>
  <c r="H277" i="1" s="1"/>
  <c r="I277" i="1" s="1"/>
  <c r="F278" i="1"/>
  <c r="G278" i="1" s="1"/>
  <c r="H278" i="1" s="1"/>
  <c r="I278" i="1" s="1"/>
  <c r="F279" i="1"/>
  <c r="G279" i="1" s="1"/>
  <c r="H279" i="1" s="1"/>
  <c r="I279" i="1" s="1"/>
  <c r="F280" i="1"/>
  <c r="G280" i="1" s="1"/>
  <c r="H280" i="1" s="1"/>
  <c r="I280" i="1" s="1"/>
  <c r="F281" i="1"/>
  <c r="G281" i="1" s="1"/>
  <c r="H281" i="1" s="1"/>
  <c r="I281" i="1" s="1"/>
  <c r="F282" i="1"/>
  <c r="G282" i="1" s="1"/>
  <c r="H282" i="1" s="1"/>
  <c r="I282" i="1" s="1"/>
  <c r="F283" i="1"/>
  <c r="G283" i="1" s="1"/>
  <c r="H283" i="1" s="1"/>
  <c r="I283" i="1" s="1"/>
  <c r="F284" i="1"/>
  <c r="G284" i="1" s="1"/>
  <c r="H284" i="1" s="1"/>
  <c r="I284" i="1" s="1"/>
  <c r="F285" i="1"/>
  <c r="G285" i="1" s="1"/>
  <c r="H285" i="1" s="1"/>
  <c r="I285" i="1" s="1"/>
  <c r="F286" i="1"/>
  <c r="G286" i="1" s="1"/>
  <c r="H286" i="1" s="1"/>
  <c r="I286" i="1" s="1"/>
  <c r="F287" i="1"/>
  <c r="G287" i="1" s="1"/>
  <c r="H287" i="1" s="1"/>
  <c r="I287" i="1" s="1"/>
  <c r="F288" i="1"/>
  <c r="G288" i="1" s="1"/>
  <c r="H288" i="1" s="1"/>
  <c r="I288" i="1" s="1"/>
  <c r="F289" i="1"/>
  <c r="G289" i="1" s="1"/>
  <c r="H289" i="1" s="1"/>
  <c r="I289" i="1" s="1"/>
  <c r="F290" i="1"/>
  <c r="G290" i="1" s="1"/>
  <c r="H290" i="1" s="1"/>
  <c r="I290" i="1" s="1"/>
  <c r="F291" i="1"/>
  <c r="G291" i="1" s="1"/>
  <c r="H291" i="1" s="1"/>
  <c r="I291" i="1" s="1"/>
  <c r="F292" i="1"/>
  <c r="G292" i="1" s="1"/>
  <c r="H292" i="1" s="1"/>
  <c r="I292" i="1" s="1"/>
  <c r="F293" i="1"/>
  <c r="G293" i="1" s="1"/>
  <c r="H293" i="1" s="1"/>
  <c r="I293" i="1" s="1"/>
  <c r="F294" i="1"/>
  <c r="G294" i="1" s="1"/>
  <c r="H294" i="1" s="1"/>
  <c r="I294" i="1" s="1"/>
  <c r="F295" i="1"/>
  <c r="G295" i="1" s="1"/>
  <c r="H295" i="1" s="1"/>
  <c r="I295" i="1" s="1"/>
  <c r="F296" i="1"/>
  <c r="G296" i="1" s="1"/>
  <c r="H296" i="1" s="1"/>
  <c r="I296" i="1" s="1"/>
  <c r="F297" i="1"/>
  <c r="G297" i="1" s="1"/>
  <c r="H297" i="1" s="1"/>
  <c r="I297" i="1" s="1"/>
  <c r="F298" i="1"/>
  <c r="G298" i="1" s="1"/>
  <c r="H298" i="1" s="1"/>
  <c r="I298" i="1" s="1"/>
  <c r="F299" i="1"/>
  <c r="G299" i="1" s="1"/>
  <c r="H299" i="1" s="1"/>
  <c r="I299" i="1" s="1"/>
  <c r="F300" i="1"/>
  <c r="G300" i="1" s="1"/>
  <c r="H300" i="1" s="1"/>
  <c r="I300" i="1" s="1"/>
  <c r="F301" i="1"/>
  <c r="G301" i="1" s="1"/>
  <c r="H301" i="1" s="1"/>
  <c r="I301" i="1" s="1"/>
  <c r="F302" i="1"/>
  <c r="G302" i="1" s="1"/>
  <c r="H302" i="1" s="1"/>
  <c r="I302" i="1" s="1"/>
  <c r="F303" i="1"/>
  <c r="G303" i="1" s="1"/>
  <c r="H303" i="1" s="1"/>
  <c r="I303" i="1" s="1"/>
  <c r="F304" i="1"/>
  <c r="G304" i="1" s="1"/>
  <c r="H304" i="1" s="1"/>
  <c r="I304" i="1" s="1"/>
  <c r="F305" i="1"/>
  <c r="G305" i="1" s="1"/>
  <c r="H305" i="1" s="1"/>
  <c r="I305" i="1" s="1"/>
  <c r="F306" i="1"/>
  <c r="G306" i="1" s="1"/>
  <c r="H306" i="1" s="1"/>
  <c r="I306" i="1" s="1"/>
  <c r="F307" i="1"/>
  <c r="G307" i="1" s="1"/>
  <c r="H307" i="1" s="1"/>
  <c r="I307" i="1" s="1"/>
  <c r="F308" i="1"/>
  <c r="G308" i="1" s="1"/>
  <c r="H308" i="1" s="1"/>
  <c r="I308" i="1" s="1"/>
  <c r="F309" i="1"/>
  <c r="G309" i="1" s="1"/>
  <c r="H309" i="1" s="1"/>
  <c r="I309" i="1" s="1"/>
  <c r="F310" i="1"/>
  <c r="G310" i="1" s="1"/>
  <c r="H310" i="1" s="1"/>
  <c r="I310" i="1" s="1"/>
  <c r="F311" i="1"/>
  <c r="G311" i="1" s="1"/>
  <c r="H311" i="1" s="1"/>
  <c r="I311" i="1" s="1"/>
  <c r="F312" i="1"/>
  <c r="G312" i="1" s="1"/>
  <c r="H312" i="1" s="1"/>
  <c r="I312" i="1" s="1"/>
  <c r="F313" i="1"/>
  <c r="G313" i="1" s="1"/>
  <c r="H313" i="1" s="1"/>
  <c r="I313" i="1" s="1"/>
  <c r="F314" i="1"/>
  <c r="G314" i="1" s="1"/>
  <c r="H314" i="1" s="1"/>
  <c r="I314" i="1" s="1"/>
  <c r="F315" i="1"/>
  <c r="G315" i="1" s="1"/>
  <c r="H315" i="1" s="1"/>
  <c r="I315" i="1" s="1"/>
  <c r="F316" i="1"/>
  <c r="G316" i="1" s="1"/>
  <c r="H316" i="1" s="1"/>
  <c r="I316" i="1" s="1"/>
  <c r="F317" i="1"/>
  <c r="G317" i="1" s="1"/>
  <c r="H317" i="1" s="1"/>
  <c r="I317" i="1" s="1"/>
  <c r="F318" i="1"/>
  <c r="G318" i="1" s="1"/>
  <c r="H318" i="1" s="1"/>
  <c r="I318" i="1" s="1"/>
  <c r="F319" i="1"/>
  <c r="G319" i="1" s="1"/>
  <c r="H319" i="1" s="1"/>
  <c r="I319" i="1" s="1"/>
  <c r="F320" i="1"/>
  <c r="G320" i="1" s="1"/>
  <c r="H320" i="1" s="1"/>
  <c r="I320" i="1" s="1"/>
  <c r="F321" i="1"/>
  <c r="G321" i="1" s="1"/>
  <c r="H321" i="1" s="1"/>
  <c r="I321" i="1" s="1"/>
  <c r="F322" i="1"/>
  <c r="G322" i="1" s="1"/>
  <c r="H322" i="1" s="1"/>
  <c r="I322" i="1" s="1"/>
  <c r="F323" i="1"/>
  <c r="G323" i="1" s="1"/>
  <c r="H323" i="1" s="1"/>
  <c r="I323" i="1" s="1"/>
  <c r="F324" i="1"/>
  <c r="G324" i="1" s="1"/>
  <c r="H324" i="1" s="1"/>
  <c r="I324" i="1" s="1"/>
  <c r="F325" i="1"/>
  <c r="G325" i="1" s="1"/>
  <c r="H325" i="1" s="1"/>
  <c r="I325" i="1" s="1"/>
  <c r="F326" i="1"/>
  <c r="G326" i="1" s="1"/>
  <c r="H326" i="1" s="1"/>
  <c r="I326" i="1" s="1"/>
  <c r="F327" i="1"/>
  <c r="G327" i="1" s="1"/>
  <c r="H327" i="1" s="1"/>
  <c r="I327" i="1" s="1"/>
  <c r="F328" i="1"/>
  <c r="G328" i="1" s="1"/>
  <c r="H328" i="1" s="1"/>
  <c r="I328" i="1" s="1"/>
  <c r="F329" i="1"/>
  <c r="G329" i="1" s="1"/>
  <c r="H329" i="1" s="1"/>
  <c r="I329" i="1" s="1"/>
  <c r="F330" i="1"/>
  <c r="G330" i="1" s="1"/>
  <c r="H330" i="1" s="1"/>
  <c r="I330" i="1" s="1"/>
  <c r="F331" i="1"/>
  <c r="G331" i="1" s="1"/>
  <c r="H331" i="1" s="1"/>
  <c r="I331" i="1" s="1"/>
  <c r="F332" i="1"/>
  <c r="G332" i="1" s="1"/>
  <c r="H332" i="1" s="1"/>
  <c r="I332" i="1" s="1"/>
  <c r="F333" i="1"/>
  <c r="G333" i="1" s="1"/>
  <c r="H333" i="1" s="1"/>
  <c r="I333" i="1" s="1"/>
  <c r="F334" i="1"/>
  <c r="G334" i="1" s="1"/>
  <c r="H334" i="1" s="1"/>
  <c r="I334" i="1" s="1"/>
  <c r="F335" i="1"/>
  <c r="G335" i="1" s="1"/>
  <c r="H335" i="1" s="1"/>
  <c r="I335" i="1" s="1"/>
  <c r="F336" i="1"/>
  <c r="G336" i="1" s="1"/>
  <c r="H336" i="1" s="1"/>
  <c r="I336" i="1" s="1"/>
  <c r="F337" i="1"/>
  <c r="G337" i="1" s="1"/>
  <c r="H337" i="1" s="1"/>
  <c r="I337" i="1" s="1"/>
  <c r="F338" i="1"/>
  <c r="G338" i="1" s="1"/>
  <c r="H338" i="1" s="1"/>
  <c r="I338" i="1" s="1"/>
  <c r="F339" i="1"/>
  <c r="G339" i="1" s="1"/>
  <c r="H339" i="1" s="1"/>
  <c r="I339" i="1" s="1"/>
  <c r="F340" i="1"/>
  <c r="G340" i="1" s="1"/>
  <c r="H340" i="1" s="1"/>
  <c r="I340" i="1" s="1"/>
  <c r="F341" i="1"/>
  <c r="G341" i="1" s="1"/>
  <c r="H341" i="1" s="1"/>
  <c r="I341" i="1" s="1"/>
  <c r="F342" i="1"/>
  <c r="G342" i="1" s="1"/>
  <c r="H342" i="1" s="1"/>
  <c r="I342" i="1" s="1"/>
  <c r="F343" i="1"/>
  <c r="G343" i="1" s="1"/>
  <c r="H343" i="1" s="1"/>
  <c r="I343" i="1" s="1"/>
  <c r="F344" i="1"/>
  <c r="G344" i="1" s="1"/>
  <c r="H344" i="1" s="1"/>
  <c r="I344" i="1" s="1"/>
  <c r="F345" i="1"/>
  <c r="G345" i="1" s="1"/>
  <c r="H345" i="1" s="1"/>
  <c r="I345" i="1" s="1"/>
  <c r="F346" i="1"/>
  <c r="G346" i="1" s="1"/>
  <c r="H346" i="1" s="1"/>
  <c r="I346" i="1" s="1"/>
  <c r="F347" i="1"/>
  <c r="G347" i="1" s="1"/>
  <c r="H347" i="1" s="1"/>
  <c r="I347" i="1" s="1"/>
  <c r="F348" i="1"/>
  <c r="G348" i="1" s="1"/>
  <c r="H348" i="1" s="1"/>
  <c r="I348" i="1" s="1"/>
  <c r="F349" i="1"/>
  <c r="G349" i="1" s="1"/>
  <c r="H349" i="1" s="1"/>
  <c r="I349" i="1" s="1"/>
  <c r="F350" i="1"/>
  <c r="G350" i="1" s="1"/>
  <c r="H350" i="1" s="1"/>
  <c r="I350" i="1" s="1"/>
  <c r="F351" i="1"/>
  <c r="G351" i="1" s="1"/>
  <c r="H351" i="1" s="1"/>
  <c r="I351" i="1" s="1"/>
  <c r="F352" i="1"/>
  <c r="G352" i="1" s="1"/>
  <c r="H352" i="1" s="1"/>
  <c r="I352" i="1" s="1"/>
  <c r="F353" i="1"/>
  <c r="G353" i="1" s="1"/>
  <c r="H353" i="1" s="1"/>
  <c r="I353" i="1" s="1"/>
  <c r="F354" i="1"/>
  <c r="G354" i="1" s="1"/>
  <c r="H354" i="1" s="1"/>
  <c r="I354" i="1" s="1"/>
  <c r="F355" i="1"/>
  <c r="G355" i="1" s="1"/>
  <c r="H355" i="1" s="1"/>
  <c r="I355" i="1" s="1"/>
  <c r="F356" i="1"/>
  <c r="G356" i="1" s="1"/>
  <c r="H356" i="1" s="1"/>
  <c r="I356" i="1" s="1"/>
  <c r="F357" i="1"/>
  <c r="G357" i="1" s="1"/>
  <c r="H357" i="1" s="1"/>
  <c r="I357" i="1" s="1"/>
  <c r="F358" i="1"/>
  <c r="G358" i="1" s="1"/>
  <c r="H358" i="1" s="1"/>
  <c r="I358" i="1" s="1"/>
  <c r="F359" i="1"/>
  <c r="G359" i="1" s="1"/>
  <c r="H359" i="1" s="1"/>
  <c r="I359" i="1" s="1"/>
  <c r="F360" i="1"/>
  <c r="G360" i="1" s="1"/>
  <c r="H360" i="1" s="1"/>
  <c r="I360" i="1" s="1"/>
  <c r="F361" i="1"/>
  <c r="G361" i="1" s="1"/>
  <c r="H361" i="1" s="1"/>
  <c r="I361" i="1" s="1"/>
  <c r="F362" i="1"/>
  <c r="G362" i="1" s="1"/>
  <c r="H362" i="1" s="1"/>
  <c r="I362" i="1" s="1"/>
  <c r="F363" i="1"/>
  <c r="G363" i="1" s="1"/>
  <c r="H363" i="1" s="1"/>
  <c r="I363" i="1" s="1"/>
  <c r="F364" i="1"/>
  <c r="G364" i="1" s="1"/>
  <c r="H364" i="1" s="1"/>
  <c r="I364" i="1" s="1"/>
  <c r="F365" i="1"/>
  <c r="G365" i="1" s="1"/>
  <c r="H365" i="1" s="1"/>
  <c r="I365" i="1" s="1"/>
  <c r="F366" i="1"/>
  <c r="G366" i="1" s="1"/>
  <c r="H366" i="1" s="1"/>
  <c r="I366" i="1" s="1"/>
  <c r="F367" i="1"/>
  <c r="G367" i="1" s="1"/>
  <c r="H367" i="1" s="1"/>
  <c r="I367" i="1" s="1"/>
  <c r="F368" i="1"/>
  <c r="G368" i="1" s="1"/>
  <c r="H368" i="1" s="1"/>
  <c r="I368" i="1" s="1"/>
  <c r="F369" i="1"/>
  <c r="G369" i="1" s="1"/>
  <c r="H369" i="1" s="1"/>
  <c r="I369" i="1" s="1"/>
  <c r="F370" i="1"/>
  <c r="G370" i="1" s="1"/>
  <c r="H370" i="1" s="1"/>
  <c r="I370" i="1" s="1"/>
  <c r="F371" i="1"/>
  <c r="G371" i="1" s="1"/>
  <c r="H371" i="1" s="1"/>
  <c r="I371" i="1" s="1"/>
  <c r="F372" i="1"/>
  <c r="G372" i="1" s="1"/>
  <c r="H372" i="1" s="1"/>
  <c r="I372" i="1" s="1"/>
  <c r="F373" i="1"/>
  <c r="G373" i="1" s="1"/>
  <c r="H373" i="1" s="1"/>
  <c r="I373" i="1" s="1"/>
  <c r="F374" i="1"/>
  <c r="G374" i="1" s="1"/>
  <c r="H374" i="1" s="1"/>
  <c r="I374" i="1" s="1"/>
  <c r="F375" i="1"/>
  <c r="G375" i="1" s="1"/>
  <c r="H375" i="1" s="1"/>
  <c r="I375" i="1" s="1"/>
  <c r="F376" i="1"/>
  <c r="G376" i="1" s="1"/>
  <c r="H376" i="1" s="1"/>
  <c r="I376" i="1" s="1"/>
  <c r="F377" i="1"/>
  <c r="G377" i="1" s="1"/>
  <c r="H377" i="1" s="1"/>
  <c r="I377" i="1" s="1"/>
  <c r="F378" i="1"/>
  <c r="G378" i="1" s="1"/>
  <c r="H378" i="1" s="1"/>
  <c r="I378" i="1" s="1"/>
  <c r="F379" i="1"/>
  <c r="G379" i="1" s="1"/>
  <c r="H379" i="1" s="1"/>
  <c r="I379" i="1" s="1"/>
  <c r="F380" i="1"/>
  <c r="G380" i="1" s="1"/>
  <c r="H380" i="1" s="1"/>
  <c r="I380" i="1" s="1"/>
  <c r="F381" i="1"/>
  <c r="G381" i="1" s="1"/>
  <c r="H381" i="1" s="1"/>
  <c r="I381" i="1" s="1"/>
  <c r="F382" i="1"/>
  <c r="G382" i="1" s="1"/>
  <c r="H382" i="1" s="1"/>
  <c r="I382" i="1" s="1"/>
  <c r="F383" i="1"/>
  <c r="G383" i="1" s="1"/>
  <c r="H383" i="1" s="1"/>
  <c r="I383" i="1" s="1"/>
  <c r="F384" i="1"/>
  <c r="G384" i="1" s="1"/>
  <c r="H384" i="1" s="1"/>
  <c r="I384" i="1" s="1"/>
  <c r="F385" i="1"/>
  <c r="G385" i="1" s="1"/>
  <c r="H385" i="1" s="1"/>
  <c r="I385" i="1" s="1"/>
  <c r="F386" i="1"/>
  <c r="G386" i="1" s="1"/>
  <c r="H386" i="1" s="1"/>
  <c r="I386" i="1" s="1"/>
  <c r="F387" i="1"/>
  <c r="G387" i="1" s="1"/>
  <c r="H387" i="1" s="1"/>
  <c r="I387" i="1" s="1"/>
  <c r="F388" i="1"/>
  <c r="G388" i="1" s="1"/>
  <c r="H388" i="1" s="1"/>
  <c r="I388" i="1" s="1"/>
  <c r="F389" i="1"/>
  <c r="G389" i="1" s="1"/>
  <c r="H389" i="1" s="1"/>
  <c r="I389" i="1" s="1"/>
  <c r="F390" i="1"/>
  <c r="G390" i="1" s="1"/>
  <c r="H390" i="1" s="1"/>
  <c r="I390" i="1" s="1"/>
  <c r="F391" i="1"/>
  <c r="G391" i="1" s="1"/>
  <c r="H391" i="1" s="1"/>
  <c r="I391" i="1" s="1"/>
  <c r="F392" i="1"/>
  <c r="G392" i="1" s="1"/>
  <c r="H392" i="1" s="1"/>
  <c r="I392" i="1" s="1"/>
  <c r="F393" i="1"/>
  <c r="G393" i="1" s="1"/>
  <c r="H393" i="1" s="1"/>
  <c r="I393" i="1" s="1"/>
  <c r="F394" i="1"/>
  <c r="G394" i="1" s="1"/>
  <c r="H394" i="1" s="1"/>
  <c r="I394" i="1" s="1"/>
  <c r="F395" i="1"/>
  <c r="G395" i="1" s="1"/>
  <c r="H395" i="1" s="1"/>
  <c r="I395" i="1" s="1"/>
  <c r="F396" i="1"/>
  <c r="G396" i="1" s="1"/>
  <c r="H396" i="1" s="1"/>
  <c r="I396" i="1" s="1"/>
  <c r="F397" i="1"/>
  <c r="G397" i="1" s="1"/>
  <c r="H397" i="1" s="1"/>
  <c r="I397" i="1" s="1"/>
  <c r="F398" i="1"/>
  <c r="G398" i="1" s="1"/>
  <c r="H398" i="1" s="1"/>
  <c r="I398" i="1" s="1"/>
  <c r="F399" i="1"/>
  <c r="G399" i="1" s="1"/>
  <c r="H399" i="1" s="1"/>
  <c r="I399" i="1" s="1"/>
  <c r="F400" i="1"/>
  <c r="G400" i="1" s="1"/>
  <c r="H400" i="1" s="1"/>
  <c r="I400" i="1" s="1"/>
  <c r="F401" i="1"/>
  <c r="G401" i="1" s="1"/>
  <c r="H401" i="1" s="1"/>
  <c r="I401" i="1" s="1"/>
  <c r="F402" i="1"/>
  <c r="G402" i="1" s="1"/>
  <c r="H402" i="1" s="1"/>
  <c r="I402" i="1" s="1"/>
  <c r="F403" i="1"/>
  <c r="G403" i="1" s="1"/>
  <c r="H403" i="1" s="1"/>
  <c r="I403" i="1" s="1"/>
  <c r="F404" i="1"/>
  <c r="G404" i="1" s="1"/>
  <c r="H404" i="1" s="1"/>
  <c r="I404" i="1" s="1"/>
  <c r="F405" i="1"/>
  <c r="G405" i="1" s="1"/>
  <c r="H405" i="1" s="1"/>
  <c r="I405" i="1" s="1"/>
  <c r="F406" i="1"/>
  <c r="G406" i="1" s="1"/>
  <c r="H406" i="1" s="1"/>
  <c r="I406" i="1" s="1"/>
  <c r="F407" i="1"/>
  <c r="G407" i="1" s="1"/>
  <c r="H407" i="1" s="1"/>
  <c r="I407" i="1" s="1"/>
  <c r="F408" i="1"/>
  <c r="G408" i="1" s="1"/>
  <c r="H408" i="1" s="1"/>
  <c r="I408" i="1" s="1"/>
  <c r="F409" i="1"/>
  <c r="G409" i="1" s="1"/>
  <c r="H409" i="1" s="1"/>
  <c r="I409" i="1" s="1"/>
  <c r="F410" i="1"/>
  <c r="G410" i="1" s="1"/>
  <c r="H410" i="1" s="1"/>
  <c r="I410" i="1" s="1"/>
  <c r="F411" i="1"/>
  <c r="G411" i="1" s="1"/>
  <c r="H411" i="1" s="1"/>
  <c r="I411" i="1" s="1"/>
  <c r="F412" i="1"/>
  <c r="G412" i="1" s="1"/>
  <c r="H412" i="1" s="1"/>
  <c r="I412" i="1" s="1"/>
  <c r="F413" i="1"/>
  <c r="G413" i="1" s="1"/>
  <c r="H413" i="1" s="1"/>
  <c r="I413" i="1" s="1"/>
  <c r="F414" i="1"/>
  <c r="G414" i="1" s="1"/>
  <c r="H414" i="1" s="1"/>
  <c r="I414" i="1" s="1"/>
  <c r="F415" i="1"/>
  <c r="G415" i="1" s="1"/>
  <c r="H415" i="1" s="1"/>
  <c r="I415" i="1" s="1"/>
  <c r="F416" i="1"/>
  <c r="G416" i="1" s="1"/>
  <c r="H416" i="1" s="1"/>
  <c r="I416" i="1" s="1"/>
  <c r="F417" i="1"/>
  <c r="G417" i="1" s="1"/>
  <c r="H417" i="1" s="1"/>
  <c r="I417" i="1" s="1"/>
  <c r="F418" i="1"/>
  <c r="G418" i="1" s="1"/>
  <c r="H418" i="1" s="1"/>
  <c r="I418" i="1" s="1"/>
  <c r="F419" i="1"/>
  <c r="G419" i="1" s="1"/>
  <c r="H419" i="1" s="1"/>
  <c r="I419" i="1" s="1"/>
  <c r="F420" i="1"/>
  <c r="G420" i="1" s="1"/>
  <c r="H420" i="1" s="1"/>
  <c r="I420" i="1" s="1"/>
  <c r="F421" i="1"/>
  <c r="G421" i="1" s="1"/>
  <c r="H421" i="1" s="1"/>
  <c r="I421" i="1" s="1"/>
  <c r="F422" i="1"/>
  <c r="G422" i="1" s="1"/>
  <c r="H422" i="1" s="1"/>
  <c r="I422" i="1" s="1"/>
  <c r="F423" i="1"/>
  <c r="G423" i="1" s="1"/>
  <c r="H423" i="1" s="1"/>
  <c r="I423" i="1" s="1"/>
  <c r="F424" i="1"/>
  <c r="G424" i="1" s="1"/>
  <c r="H424" i="1" s="1"/>
  <c r="I424" i="1" s="1"/>
  <c r="F425" i="1"/>
  <c r="G425" i="1" s="1"/>
  <c r="H425" i="1" s="1"/>
  <c r="I425" i="1" s="1"/>
  <c r="F426" i="1"/>
  <c r="G426" i="1" s="1"/>
  <c r="H426" i="1" s="1"/>
  <c r="I426" i="1" s="1"/>
  <c r="F427" i="1"/>
  <c r="G427" i="1" s="1"/>
  <c r="H427" i="1" s="1"/>
  <c r="I427" i="1" s="1"/>
  <c r="F428" i="1"/>
  <c r="G428" i="1" s="1"/>
  <c r="H428" i="1" s="1"/>
  <c r="I428" i="1" s="1"/>
  <c r="F429" i="1"/>
  <c r="G429" i="1" s="1"/>
  <c r="H429" i="1" s="1"/>
  <c r="I429" i="1" s="1"/>
  <c r="F430" i="1"/>
  <c r="G430" i="1" s="1"/>
  <c r="H430" i="1" s="1"/>
  <c r="I430" i="1" s="1"/>
  <c r="F431" i="1"/>
  <c r="G431" i="1" s="1"/>
  <c r="H431" i="1" s="1"/>
  <c r="I431" i="1" s="1"/>
  <c r="F432" i="1"/>
  <c r="G432" i="1" s="1"/>
  <c r="H432" i="1" s="1"/>
  <c r="I432" i="1" s="1"/>
  <c r="F433" i="1"/>
  <c r="G433" i="1" s="1"/>
  <c r="H433" i="1" s="1"/>
  <c r="I433" i="1" s="1"/>
  <c r="F434" i="1"/>
  <c r="G434" i="1" s="1"/>
  <c r="H434" i="1" s="1"/>
  <c r="I434" i="1" s="1"/>
  <c r="F435" i="1"/>
  <c r="G435" i="1" s="1"/>
  <c r="H435" i="1" s="1"/>
  <c r="I435" i="1" s="1"/>
  <c r="F436" i="1"/>
  <c r="G436" i="1" s="1"/>
  <c r="H436" i="1" s="1"/>
  <c r="I436" i="1" s="1"/>
  <c r="F437" i="1"/>
  <c r="G437" i="1" s="1"/>
  <c r="H437" i="1" s="1"/>
  <c r="I437" i="1" s="1"/>
  <c r="F438" i="1"/>
  <c r="G438" i="1" s="1"/>
  <c r="H438" i="1" s="1"/>
  <c r="I438" i="1" s="1"/>
  <c r="F439" i="1"/>
  <c r="G439" i="1" s="1"/>
  <c r="H439" i="1" s="1"/>
  <c r="I439" i="1" s="1"/>
  <c r="F440" i="1"/>
  <c r="G440" i="1" s="1"/>
  <c r="H440" i="1" s="1"/>
  <c r="I440" i="1" s="1"/>
  <c r="F441" i="1"/>
  <c r="G441" i="1" s="1"/>
  <c r="H441" i="1" s="1"/>
  <c r="I441" i="1" s="1"/>
  <c r="F442" i="1"/>
  <c r="G442" i="1" s="1"/>
  <c r="H442" i="1" s="1"/>
  <c r="I442" i="1" s="1"/>
  <c r="F443" i="1"/>
  <c r="G443" i="1" s="1"/>
  <c r="H443" i="1" s="1"/>
  <c r="I443" i="1" s="1"/>
  <c r="F444" i="1"/>
  <c r="G444" i="1" s="1"/>
  <c r="H444" i="1" s="1"/>
  <c r="I444" i="1" s="1"/>
  <c r="F445" i="1"/>
  <c r="G445" i="1" s="1"/>
  <c r="H445" i="1" s="1"/>
  <c r="I445" i="1" s="1"/>
  <c r="F446" i="1"/>
  <c r="G446" i="1" s="1"/>
  <c r="H446" i="1" s="1"/>
  <c r="I446" i="1" s="1"/>
  <c r="F447" i="1"/>
  <c r="G447" i="1" s="1"/>
  <c r="H447" i="1" s="1"/>
  <c r="I447" i="1" s="1"/>
  <c r="F448" i="1"/>
  <c r="G448" i="1" s="1"/>
  <c r="H448" i="1" s="1"/>
  <c r="I448" i="1" s="1"/>
  <c r="F449" i="1"/>
  <c r="G449" i="1" s="1"/>
  <c r="H449" i="1" s="1"/>
  <c r="I449" i="1" s="1"/>
  <c r="F450" i="1"/>
  <c r="G450" i="1" s="1"/>
  <c r="H450" i="1" s="1"/>
  <c r="I450" i="1" s="1"/>
  <c r="F451" i="1"/>
  <c r="G451" i="1" s="1"/>
  <c r="H451" i="1" s="1"/>
  <c r="I451" i="1" s="1"/>
  <c r="F452" i="1"/>
  <c r="G452" i="1" s="1"/>
  <c r="H452" i="1" s="1"/>
  <c r="I452" i="1" s="1"/>
  <c r="F453" i="1"/>
  <c r="G453" i="1" s="1"/>
  <c r="H453" i="1" s="1"/>
  <c r="I453" i="1" s="1"/>
  <c r="F454" i="1"/>
  <c r="G454" i="1" s="1"/>
  <c r="H454" i="1" s="1"/>
  <c r="I454" i="1" s="1"/>
  <c r="F455" i="1"/>
  <c r="G455" i="1" s="1"/>
  <c r="H455" i="1" s="1"/>
  <c r="I455" i="1" s="1"/>
  <c r="F456" i="1"/>
  <c r="G456" i="1" s="1"/>
  <c r="H456" i="1" s="1"/>
  <c r="I456" i="1" s="1"/>
  <c r="F457" i="1"/>
  <c r="G457" i="1" s="1"/>
  <c r="H457" i="1" s="1"/>
  <c r="I457" i="1" s="1"/>
  <c r="F458" i="1"/>
  <c r="G458" i="1" s="1"/>
  <c r="H458" i="1" s="1"/>
  <c r="I458" i="1" s="1"/>
  <c r="F459" i="1"/>
  <c r="G459" i="1" s="1"/>
  <c r="H459" i="1" s="1"/>
  <c r="I459" i="1" s="1"/>
  <c r="F460" i="1"/>
  <c r="G460" i="1" s="1"/>
  <c r="H460" i="1" s="1"/>
  <c r="I460" i="1" s="1"/>
  <c r="F461" i="1"/>
  <c r="G461" i="1" s="1"/>
  <c r="H461" i="1" s="1"/>
  <c r="I461" i="1" s="1"/>
  <c r="F462" i="1"/>
  <c r="G462" i="1" s="1"/>
  <c r="H462" i="1" s="1"/>
  <c r="I462" i="1" s="1"/>
  <c r="F463" i="1"/>
  <c r="G463" i="1" s="1"/>
  <c r="H463" i="1" s="1"/>
  <c r="I463" i="1" s="1"/>
  <c r="F464" i="1"/>
  <c r="G464" i="1" s="1"/>
  <c r="H464" i="1" s="1"/>
  <c r="I464" i="1" s="1"/>
  <c r="F465" i="1"/>
  <c r="G465" i="1" s="1"/>
  <c r="H465" i="1" s="1"/>
  <c r="I465" i="1" s="1"/>
  <c r="F466" i="1"/>
  <c r="G466" i="1" s="1"/>
  <c r="H466" i="1" s="1"/>
  <c r="I466" i="1" s="1"/>
  <c r="F467" i="1"/>
  <c r="G467" i="1" s="1"/>
  <c r="H467" i="1" s="1"/>
  <c r="I467" i="1" s="1"/>
  <c r="F468" i="1"/>
  <c r="G468" i="1" s="1"/>
  <c r="H468" i="1" s="1"/>
  <c r="I468" i="1" s="1"/>
  <c r="F469" i="1"/>
  <c r="G469" i="1" s="1"/>
  <c r="H469" i="1" s="1"/>
  <c r="I469" i="1" s="1"/>
  <c r="F470" i="1"/>
  <c r="G470" i="1" s="1"/>
  <c r="H470" i="1" s="1"/>
  <c r="I470" i="1" s="1"/>
  <c r="F471" i="1"/>
  <c r="G471" i="1" s="1"/>
  <c r="H471" i="1" s="1"/>
  <c r="I471" i="1" s="1"/>
  <c r="F472" i="1"/>
  <c r="G472" i="1" s="1"/>
  <c r="H472" i="1" s="1"/>
  <c r="I472" i="1" s="1"/>
  <c r="F473" i="1"/>
  <c r="G473" i="1" s="1"/>
  <c r="H473" i="1" s="1"/>
  <c r="I473" i="1" s="1"/>
  <c r="F474" i="1"/>
  <c r="G474" i="1" s="1"/>
  <c r="H474" i="1" s="1"/>
  <c r="I474" i="1" s="1"/>
  <c r="F475" i="1"/>
  <c r="G475" i="1" s="1"/>
  <c r="H475" i="1" s="1"/>
  <c r="I475" i="1" s="1"/>
  <c r="F476" i="1"/>
  <c r="G476" i="1" s="1"/>
  <c r="H476" i="1" s="1"/>
  <c r="I476" i="1" s="1"/>
  <c r="F477" i="1"/>
  <c r="G477" i="1" s="1"/>
  <c r="H477" i="1" s="1"/>
  <c r="I477" i="1" s="1"/>
  <c r="F478" i="1"/>
  <c r="G478" i="1" s="1"/>
  <c r="H478" i="1" s="1"/>
  <c r="I478" i="1" s="1"/>
  <c r="F479" i="1"/>
  <c r="G479" i="1" s="1"/>
  <c r="H479" i="1" s="1"/>
  <c r="I479" i="1" s="1"/>
  <c r="F480" i="1"/>
  <c r="G480" i="1" s="1"/>
  <c r="H480" i="1" s="1"/>
  <c r="I480" i="1" s="1"/>
  <c r="F481" i="1"/>
  <c r="G481" i="1" s="1"/>
  <c r="H481" i="1" s="1"/>
  <c r="I481" i="1" s="1"/>
  <c r="F482" i="1"/>
  <c r="G482" i="1" s="1"/>
  <c r="H482" i="1" s="1"/>
  <c r="I482" i="1" s="1"/>
  <c r="F483" i="1"/>
  <c r="G483" i="1" s="1"/>
  <c r="H483" i="1" s="1"/>
  <c r="I483" i="1" s="1"/>
  <c r="F484" i="1"/>
  <c r="G484" i="1" s="1"/>
  <c r="H484" i="1" s="1"/>
  <c r="I484" i="1" s="1"/>
  <c r="F485" i="1"/>
  <c r="G485" i="1" s="1"/>
  <c r="H485" i="1" s="1"/>
  <c r="I485" i="1" s="1"/>
  <c r="F486" i="1"/>
  <c r="G486" i="1" s="1"/>
  <c r="H486" i="1" s="1"/>
  <c r="I486" i="1" s="1"/>
  <c r="F487" i="1"/>
  <c r="G487" i="1" s="1"/>
  <c r="H487" i="1" s="1"/>
  <c r="I487" i="1" s="1"/>
  <c r="F488" i="1"/>
  <c r="G488" i="1" s="1"/>
  <c r="H488" i="1" s="1"/>
  <c r="I488" i="1" s="1"/>
  <c r="F489" i="1"/>
  <c r="G489" i="1" s="1"/>
  <c r="H489" i="1" s="1"/>
  <c r="I489" i="1" s="1"/>
  <c r="F490" i="1"/>
  <c r="G490" i="1" s="1"/>
  <c r="H490" i="1" s="1"/>
  <c r="I490" i="1" s="1"/>
  <c r="F491" i="1"/>
  <c r="G491" i="1" s="1"/>
  <c r="H491" i="1" s="1"/>
  <c r="I491" i="1" s="1"/>
  <c r="F492" i="1"/>
  <c r="G492" i="1" s="1"/>
  <c r="H492" i="1" s="1"/>
  <c r="I492" i="1" s="1"/>
  <c r="F493" i="1"/>
  <c r="G493" i="1" s="1"/>
  <c r="H493" i="1" s="1"/>
  <c r="I493" i="1" s="1"/>
  <c r="F494" i="1"/>
  <c r="G494" i="1" s="1"/>
  <c r="H494" i="1" s="1"/>
  <c r="I494" i="1" s="1"/>
  <c r="F495" i="1"/>
  <c r="G495" i="1" s="1"/>
  <c r="H495" i="1" s="1"/>
  <c r="I495" i="1" s="1"/>
  <c r="F496" i="1"/>
  <c r="G496" i="1" s="1"/>
  <c r="H496" i="1" s="1"/>
  <c r="I496" i="1" s="1"/>
  <c r="F497" i="1"/>
  <c r="G497" i="1" s="1"/>
  <c r="H497" i="1" s="1"/>
  <c r="I497" i="1" s="1"/>
  <c r="F498" i="1"/>
  <c r="G498" i="1" s="1"/>
  <c r="H498" i="1" s="1"/>
  <c r="I498" i="1" s="1"/>
  <c r="F499" i="1"/>
  <c r="G499" i="1" s="1"/>
  <c r="H499" i="1" s="1"/>
  <c r="I499" i="1" s="1"/>
  <c r="F500" i="1"/>
  <c r="G500" i="1" s="1"/>
  <c r="H500" i="1" s="1"/>
  <c r="I500" i="1" s="1"/>
  <c r="F501" i="1"/>
  <c r="G501" i="1" s="1"/>
  <c r="H501" i="1" s="1"/>
  <c r="I501" i="1" s="1"/>
  <c r="F502" i="1"/>
  <c r="G502" i="1" s="1"/>
  <c r="H502" i="1" s="1"/>
  <c r="I502" i="1" s="1"/>
  <c r="F503" i="1"/>
  <c r="G503" i="1" s="1"/>
  <c r="H503" i="1" s="1"/>
  <c r="I503" i="1" s="1"/>
  <c r="F504" i="1"/>
  <c r="G504" i="1" s="1"/>
  <c r="H504" i="1" s="1"/>
  <c r="I504" i="1" s="1"/>
  <c r="F505" i="1"/>
  <c r="G505" i="1" s="1"/>
  <c r="H505" i="1" s="1"/>
  <c r="I505" i="1" s="1"/>
  <c r="F506" i="1"/>
  <c r="G506" i="1" s="1"/>
  <c r="H506" i="1" s="1"/>
  <c r="I506" i="1" s="1"/>
  <c r="F507" i="1"/>
  <c r="G507" i="1" s="1"/>
  <c r="H507" i="1" s="1"/>
  <c r="I507" i="1" s="1"/>
  <c r="F508" i="1"/>
  <c r="G508" i="1" s="1"/>
  <c r="H508" i="1" s="1"/>
  <c r="I508" i="1" s="1"/>
  <c r="F509" i="1"/>
  <c r="G509" i="1" s="1"/>
  <c r="H509" i="1" s="1"/>
  <c r="I509" i="1" s="1"/>
  <c r="F510" i="1"/>
  <c r="G510" i="1" s="1"/>
  <c r="H510" i="1" s="1"/>
  <c r="I510" i="1" s="1"/>
  <c r="F511" i="1"/>
  <c r="G511" i="1" s="1"/>
  <c r="H511" i="1" s="1"/>
  <c r="I511" i="1" s="1"/>
  <c r="F512" i="1"/>
  <c r="G512" i="1" s="1"/>
  <c r="H512" i="1" s="1"/>
  <c r="I512" i="1" s="1"/>
  <c r="F513" i="1"/>
  <c r="G513" i="1" s="1"/>
  <c r="H513" i="1" s="1"/>
  <c r="I513" i="1" s="1"/>
  <c r="F514" i="1"/>
  <c r="G514" i="1" s="1"/>
  <c r="H514" i="1" s="1"/>
  <c r="I514" i="1" s="1"/>
  <c r="F515" i="1"/>
  <c r="G515" i="1" s="1"/>
  <c r="H515" i="1" s="1"/>
  <c r="I515" i="1" s="1"/>
  <c r="F516" i="1"/>
  <c r="G516" i="1" s="1"/>
  <c r="H516" i="1" s="1"/>
  <c r="I516" i="1" s="1"/>
  <c r="F517" i="1"/>
  <c r="G517" i="1" s="1"/>
  <c r="H517" i="1" s="1"/>
  <c r="I517" i="1" s="1"/>
  <c r="F518" i="1"/>
  <c r="G518" i="1" s="1"/>
  <c r="H518" i="1" s="1"/>
  <c r="I518" i="1" s="1"/>
  <c r="F519" i="1"/>
  <c r="G519" i="1" s="1"/>
  <c r="H519" i="1" s="1"/>
  <c r="I519" i="1" s="1"/>
  <c r="F520" i="1"/>
  <c r="G520" i="1" s="1"/>
  <c r="H520" i="1" s="1"/>
  <c r="I520" i="1" s="1"/>
  <c r="F521" i="1"/>
  <c r="G521" i="1" s="1"/>
  <c r="H521" i="1" s="1"/>
  <c r="I521" i="1" s="1"/>
  <c r="F522" i="1"/>
  <c r="G522" i="1" s="1"/>
  <c r="H522" i="1" s="1"/>
  <c r="I522" i="1" s="1"/>
  <c r="F523" i="1"/>
  <c r="G523" i="1" s="1"/>
  <c r="H523" i="1" s="1"/>
  <c r="I523" i="1" s="1"/>
  <c r="F524" i="1"/>
  <c r="G524" i="1" s="1"/>
  <c r="H524" i="1" s="1"/>
  <c r="I524" i="1" s="1"/>
  <c r="F525" i="1"/>
  <c r="G525" i="1" s="1"/>
  <c r="H525" i="1" s="1"/>
  <c r="I525" i="1" s="1"/>
  <c r="F526" i="1"/>
  <c r="G526" i="1" s="1"/>
  <c r="H526" i="1" s="1"/>
  <c r="I526" i="1" s="1"/>
  <c r="F527" i="1"/>
  <c r="G527" i="1" s="1"/>
  <c r="H527" i="1" s="1"/>
  <c r="I527" i="1" s="1"/>
  <c r="F528" i="1"/>
  <c r="G528" i="1" s="1"/>
  <c r="H528" i="1" s="1"/>
  <c r="I528" i="1" s="1"/>
  <c r="F529" i="1"/>
  <c r="G529" i="1" s="1"/>
  <c r="H529" i="1" s="1"/>
  <c r="I529" i="1" s="1"/>
  <c r="F530" i="1"/>
  <c r="G530" i="1" s="1"/>
  <c r="H530" i="1" s="1"/>
  <c r="I530" i="1" s="1"/>
  <c r="F531" i="1"/>
  <c r="G531" i="1" s="1"/>
  <c r="H531" i="1" s="1"/>
  <c r="I531" i="1" s="1"/>
  <c r="F532" i="1"/>
  <c r="G532" i="1" s="1"/>
  <c r="H532" i="1" s="1"/>
  <c r="I532" i="1" s="1"/>
  <c r="F533" i="1"/>
  <c r="G533" i="1" s="1"/>
  <c r="H533" i="1" s="1"/>
  <c r="I533" i="1" s="1"/>
  <c r="F534" i="1"/>
  <c r="G534" i="1" s="1"/>
  <c r="H534" i="1" s="1"/>
  <c r="I534" i="1" s="1"/>
  <c r="F535" i="1"/>
  <c r="G535" i="1" s="1"/>
  <c r="H535" i="1" s="1"/>
  <c r="I535" i="1" s="1"/>
  <c r="F536" i="1"/>
  <c r="G536" i="1" s="1"/>
  <c r="H536" i="1" s="1"/>
  <c r="I536" i="1" s="1"/>
  <c r="F537" i="1"/>
  <c r="G537" i="1" s="1"/>
  <c r="H537" i="1" s="1"/>
  <c r="I537" i="1" s="1"/>
  <c r="F538" i="1"/>
  <c r="G538" i="1" s="1"/>
  <c r="H538" i="1" s="1"/>
  <c r="I538" i="1" s="1"/>
  <c r="F539" i="1"/>
  <c r="G539" i="1" s="1"/>
  <c r="H539" i="1" s="1"/>
  <c r="I539" i="1" s="1"/>
  <c r="F540" i="1"/>
  <c r="G540" i="1" s="1"/>
  <c r="H540" i="1" s="1"/>
  <c r="I540" i="1" s="1"/>
  <c r="F541" i="1"/>
  <c r="G541" i="1" s="1"/>
  <c r="H541" i="1" s="1"/>
  <c r="I541" i="1" s="1"/>
  <c r="F542" i="1"/>
  <c r="G542" i="1" s="1"/>
  <c r="H542" i="1" s="1"/>
  <c r="I542" i="1" s="1"/>
  <c r="F543" i="1"/>
  <c r="G543" i="1" s="1"/>
  <c r="H543" i="1" s="1"/>
  <c r="I543" i="1" s="1"/>
  <c r="F544" i="1"/>
  <c r="G544" i="1" s="1"/>
  <c r="H544" i="1" s="1"/>
  <c r="I544" i="1" s="1"/>
  <c r="F545" i="1"/>
  <c r="G545" i="1" s="1"/>
  <c r="H545" i="1" s="1"/>
  <c r="I545" i="1" s="1"/>
  <c r="F546" i="1"/>
  <c r="G546" i="1" s="1"/>
  <c r="H546" i="1" s="1"/>
  <c r="I546" i="1" s="1"/>
  <c r="F547" i="1"/>
  <c r="G547" i="1" s="1"/>
  <c r="H547" i="1" s="1"/>
  <c r="I547" i="1" s="1"/>
  <c r="F548" i="1"/>
  <c r="G548" i="1" s="1"/>
  <c r="H548" i="1" s="1"/>
  <c r="I548" i="1" s="1"/>
  <c r="F549" i="1"/>
  <c r="G549" i="1" s="1"/>
  <c r="H549" i="1" s="1"/>
  <c r="I549" i="1" s="1"/>
  <c r="F550" i="1"/>
  <c r="G550" i="1" s="1"/>
  <c r="H550" i="1" s="1"/>
  <c r="I550" i="1" s="1"/>
  <c r="F551" i="1"/>
  <c r="G551" i="1" s="1"/>
  <c r="H551" i="1" s="1"/>
  <c r="I551" i="1" s="1"/>
  <c r="F552" i="1"/>
  <c r="G552" i="1" s="1"/>
  <c r="H552" i="1" s="1"/>
  <c r="I552" i="1" s="1"/>
  <c r="F553" i="1"/>
  <c r="G553" i="1" s="1"/>
  <c r="H553" i="1" s="1"/>
  <c r="I553" i="1" s="1"/>
  <c r="F554" i="1"/>
  <c r="G554" i="1" s="1"/>
  <c r="H554" i="1" s="1"/>
  <c r="I554" i="1" s="1"/>
  <c r="F555" i="1"/>
  <c r="G555" i="1" s="1"/>
  <c r="H555" i="1" s="1"/>
  <c r="I555" i="1" s="1"/>
  <c r="F556" i="1"/>
  <c r="G556" i="1" s="1"/>
  <c r="H556" i="1" s="1"/>
  <c r="I556" i="1" s="1"/>
  <c r="F557" i="1"/>
  <c r="G557" i="1" s="1"/>
  <c r="H557" i="1" s="1"/>
  <c r="I557" i="1" s="1"/>
  <c r="F558" i="1"/>
  <c r="G558" i="1" s="1"/>
  <c r="H558" i="1" s="1"/>
  <c r="I558" i="1" s="1"/>
  <c r="F559" i="1"/>
  <c r="G559" i="1" s="1"/>
  <c r="H559" i="1" s="1"/>
  <c r="I559" i="1" s="1"/>
  <c r="F560" i="1"/>
  <c r="G560" i="1" s="1"/>
  <c r="H560" i="1" s="1"/>
  <c r="I560" i="1" s="1"/>
  <c r="F561" i="1"/>
  <c r="G561" i="1" s="1"/>
  <c r="H561" i="1" s="1"/>
  <c r="I561" i="1" s="1"/>
  <c r="F562" i="1"/>
  <c r="G562" i="1" s="1"/>
  <c r="H562" i="1" s="1"/>
  <c r="I562" i="1" s="1"/>
  <c r="F563" i="1"/>
  <c r="G563" i="1" s="1"/>
  <c r="H563" i="1" s="1"/>
  <c r="I563" i="1" s="1"/>
  <c r="F564" i="1"/>
  <c r="G564" i="1" s="1"/>
  <c r="H564" i="1" s="1"/>
  <c r="I564" i="1" s="1"/>
  <c r="F565" i="1"/>
  <c r="G565" i="1" s="1"/>
  <c r="H565" i="1" s="1"/>
  <c r="I565" i="1" s="1"/>
  <c r="F566" i="1"/>
  <c r="G566" i="1" s="1"/>
  <c r="H566" i="1" s="1"/>
  <c r="I566" i="1" s="1"/>
  <c r="F567" i="1"/>
  <c r="G567" i="1" s="1"/>
  <c r="H567" i="1" s="1"/>
  <c r="I567" i="1" s="1"/>
  <c r="F568" i="1"/>
  <c r="G568" i="1" s="1"/>
  <c r="H568" i="1" s="1"/>
  <c r="I568" i="1" s="1"/>
  <c r="F569" i="1"/>
  <c r="G569" i="1" s="1"/>
  <c r="H569" i="1" s="1"/>
  <c r="I569" i="1" s="1"/>
  <c r="F570" i="1"/>
  <c r="G570" i="1" s="1"/>
  <c r="H570" i="1" s="1"/>
  <c r="I570" i="1" s="1"/>
  <c r="F571" i="1"/>
  <c r="G571" i="1" s="1"/>
  <c r="H571" i="1" s="1"/>
  <c r="I571" i="1" s="1"/>
  <c r="F572" i="1"/>
  <c r="G572" i="1" s="1"/>
  <c r="H572" i="1" s="1"/>
  <c r="I572" i="1" s="1"/>
  <c r="F573" i="1"/>
  <c r="G573" i="1" s="1"/>
  <c r="H573" i="1" s="1"/>
  <c r="I573" i="1" s="1"/>
  <c r="F574" i="1"/>
  <c r="G574" i="1" s="1"/>
  <c r="H574" i="1" s="1"/>
  <c r="I574" i="1" s="1"/>
  <c r="F575" i="1"/>
  <c r="G575" i="1" s="1"/>
  <c r="H575" i="1" s="1"/>
  <c r="I575" i="1" s="1"/>
  <c r="F576" i="1"/>
  <c r="G576" i="1" s="1"/>
  <c r="H576" i="1" s="1"/>
  <c r="I576" i="1" s="1"/>
  <c r="F577" i="1"/>
  <c r="G577" i="1" s="1"/>
  <c r="H577" i="1" s="1"/>
  <c r="I577" i="1" s="1"/>
  <c r="F578" i="1"/>
  <c r="G578" i="1" s="1"/>
  <c r="H578" i="1" s="1"/>
  <c r="I578" i="1" s="1"/>
  <c r="F579" i="1"/>
  <c r="G579" i="1" s="1"/>
  <c r="H579" i="1" s="1"/>
  <c r="I579" i="1" s="1"/>
  <c r="F580" i="1"/>
  <c r="G580" i="1" s="1"/>
  <c r="H580" i="1" s="1"/>
  <c r="I580" i="1" s="1"/>
  <c r="F581" i="1"/>
  <c r="G581" i="1" s="1"/>
  <c r="H581" i="1" s="1"/>
  <c r="I581" i="1" s="1"/>
  <c r="F582" i="1"/>
  <c r="G582" i="1" s="1"/>
  <c r="H582" i="1" s="1"/>
  <c r="I582" i="1" s="1"/>
  <c r="F583" i="1"/>
  <c r="G583" i="1" s="1"/>
  <c r="H583" i="1" s="1"/>
  <c r="I583" i="1" s="1"/>
  <c r="F584" i="1"/>
  <c r="G584" i="1" s="1"/>
  <c r="H584" i="1" s="1"/>
  <c r="I584" i="1" s="1"/>
  <c r="F585" i="1"/>
  <c r="G585" i="1" s="1"/>
  <c r="H585" i="1" s="1"/>
  <c r="I585" i="1" s="1"/>
  <c r="F586" i="1"/>
  <c r="G586" i="1" s="1"/>
  <c r="H586" i="1" s="1"/>
  <c r="I586" i="1" s="1"/>
  <c r="F587" i="1"/>
  <c r="G587" i="1" s="1"/>
  <c r="H587" i="1" s="1"/>
  <c r="I587" i="1" s="1"/>
  <c r="F588" i="1"/>
  <c r="G588" i="1" s="1"/>
  <c r="H588" i="1" s="1"/>
  <c r="I588" i="1" s="1"/>
  <c r="F589" i="1"/>
  <c r="G589" i="1" s="1"/>
  <c r="H589" i="1" s="1"/>
  <c r="I589" i="1" s="1"/>
  <c r="F590" i="1"/>
  <c r="G590" i="1" s="1"/>
  <c r="H590" i="1" s="1"/>
  <c r="I590" i="1" s="1"/>
  <c r="F591" i="1"/>
  <c r="G591" i="1" s="1"/>
  <c r="H591" i="1" s="1"/>
  <c r="I591" i="1" s="1"/>
  <c r="F592" i="1"/>
  <c r="G592" i="1" s="1"/>
  <c r="H592" i="1" s="1"/>
  <c r="I592" i="1" s="1"/>
  <c r="F593" i="1"/>
  <c r="G593" i="1" s="1"/>
  <c r="H593" i="1" s="1"/>
  <c r="I593" i="1" s="1"/>
  <c r="F594" i="1"/>
  <c r="G594" i="1" s="1"/>
  <c r="H594" i="1" s="1"/>
  <c r="I594" i="1" s="1"/>
  <c r="F595" i="1"/>
  <c r="G595" i="1" s="1"/>
  <c r="H595" i="1" s="1"/>
  <c r="I595" i="1" s="1"/>
  <c r="F596" i="1"/>
  <c r="G596" i="1" s="1"/>
  <c r="H596" i="1" s="1"/>
  <c r="I596" i="1" s="1"/>
  <c r="F597" i="1"/>
  <c r="G597" i="1" s="1"/>
  <c r="H597" i="1" s="1"/>
  <c r="I597" i="1" s="1"/>
  <c r="F598" i="1"/>
  <c r="G598" i="1" s="1"/>
  <c r="H598" i="1" s="1"/>
  <c r="I598" i="1" s="1"/>
  <c r="F599" i="1"/>
  <c r="G599" i="1" s="1"/>
  <c r="H599" i="1" s="1"/>
  <c r="I599" i="1" s="1"/>
  <c r="F600" i="1"/>
  <c r="G600" i="1" s="1"/>
  <c r="H600" i="1" s="1"/>
  <c r="I600" i="1" s="1"/>
  <c r="F601" i="1"/>
  <c r="G601" i="1" s="1"/>
  <c r="H601" i="1" s="1"/>
  <c r="I601" i="1" s="1"/>
  <c r="F602" i="1"/>
  <c r="G602" i="1" s="1"/>
  <c r="H602" i="1" s="1"/>
  <c r="I602" i="1" s="1"/>
  <c r="F603" i="1"/>
  <c r="G603" i="1" s="1"/>
  <c r="H603" i="1" s="1"/>
  <c r="I603" i="1" s="1"/>
  <c r="F604" i="1"/>
  <c r="G604" i="1" s="1"/>
  <c r="H604" i="1" s="1"/>
  <c r="I604" i="1" s="1"/>
  <c r="F605" i="1"/>
  <c r="G605" i="1" s="1"/>
  <c r="H605" i="1" s="1"/>
  <c r="I605" i="1" s="1"/>
  <c r="F606" i="1"/>
  <c r="G606" i="1" s="1"/>
  <c r="H606" i="1" s="1"/>
  <c r="I606" i="1" s="1"/>
  <c r="F607" i="1"/>
  <c r="G607" i="1" s="1"/>
  <c r="H607" i="1" s="1"/>
  <c r="I607" i="1" s="1"/>
  <c r="F608" i="1"/>
  <c r="G608" i="1" s="1"/>
  <c r="H608" i="1" s="1"/>
  <c r="I608" i="1" s="1"/>
  <c r="F609" i="1"/>
  <c r="G609" i="1" s="1"/>
  <c r="H609" i="1" s="1"/>
  <c r="I609" i="1" s="1"/>
  <c r="F610" i="1"/>
  <c r="G610" i="1" s="1"/>
  <c r="H610" i="1" s="1"/>
  <c r="I610" i="1" s="1"/>
  <c r="F611" i="1"/>
  <c r="G611" i="1" s="1"/>
  <c r="H611" i="1" s="1"/>
  <c r="I611" i="1" s="1"/>
  <c r="F612" i="1"/>
  <c r="G612" i="1" s="1"/>
  <c r="H612" i="1" s="1"/>
  <c r="I612" i="1" s="1"/>
  <c r="F613" i="1"/>
  <c r="G613" i="1" s="1"/>
  <c r="H613" i="1" s="1"/>
  <c r="I613" i="1" s="1"/>
  <c r="F614" i="1"/>
  <c r="G614" i="1" s="1"/>
  <c r="H614" i="1" s="1"/>
  <c r="I614" i="1" s="1"/>
  <c r="F615" i="1"/>
  <c r="G615" i="1" s="1"/>
  <c r="H615" i="1" s="1"/>
  <c r="I615" i="1" s="1"/>
  <c r="F616" i="1"/>
  <c r="G616" i="1" s="1"/>
  <c r="H616" i="1" s="1"/>
  <c r="I616" i="1" s="1"/>
  <c r="F617" i="1"/>
  <c r="G617" i="1" s="1"/>
  <c r="H617" i="1" s="1"/>
  <c r="I617" i="1" s="1"/>
  <c r="F618" i="1"/>
  <c r="G618" i="1" s="1"/>
  <c r="H618" i="1" s="1"/>
  <c r="I618" i="1" s="1"/>
  <c r="F619" i="1"/>
  <c r="G619" i="1" s="1"/>
  <c r="H619" i="1" s="1"/>
  <c r="I619" i="1" s="1"/>
  <c r="F620" i="1"/>
  <c r="G620" i="1" s="1"/>
  <c r="H620" i="1" s="1"/>
  <c r="I620" i="1" s="1"/>
  <c r="F621" i="1"/>
  <c r="G621" i="1" s="1"/>
  <c r="H621" i="1" s="1"/>
  <c r="I621" i="1" s="1"/>
  <c r="F622" i="1"/>
  <c r="G622" i="1" s="1"/>
  <c r="H622" i="1" s="1"/>
  <c r="I622" i="1" s="1"/>
  <c r="F623" i="1"/>
  <c r="G623" i="1" s="1"/>
  <c r="H623" i="1" s="1"/>
  <c r="I623" i="1" s="1"/>
  <c r="F624" i="1"/>
  <c r="G624" i="1" s="1"/>
  <c r="H624" i="1" s="1"/>
  <c r="I624" i="1" s="1"/>
  <c r="F625" i="1"/>
  <c r="G625" i="1" s="1"/>
  <c r="H625" i="1" s="1"/>
  <c r="I625" i="1" s="1"/>
  <c r="F626" i="1"/>
  <c r="G626" i="1" s="1"/>
  <c r="H626" i="1" s="1"/>
  <c r="I626" i="1" s="1"/>
  <c r="F627" i="1"/>
  <c r="G627" i="1" s="1"/>
  <c r="H627" i="1" s="1"/>
  <c r="I627" i="1" s="1"/>
  <c r="F628" i="1"/>
  <c r="G628" i="1" s="1"/>
  <c r="H628" i="1" s="1"/>
  <c r="I628" i="1" s="1"/>
  <c r="F629" i="1"/>
  <c r="G629" i="1" s="1"/>
  <c r="H629" i="1" s="1"/>
  <c r="I629" i="1" s="1"/>
  <c r="F630" i="1"/>
  <c r="G630" i="1" s="1"/>
  <c r="H630" i="1" s="1"/>
  <c r="I630" i="1" s="1"/>
  <c r="F631" i="1"/>
  <c r="G631" i="1" s="1"/>
  <c r="H631" i="1" s="1"/>
  <c r="I631" i="1" s="1"/>
  <c r="F632" i="1"/>
  <c r="G632" i="1" s="1"/>
  <c r="H632" i="1" s="1"/>
  <c r="I632" i="1" s="1"/>
  <c r="F633" i="1"/>
  <c r="G633" i="1" s="1"/>
  <c r="H633" i="1" s="1"/>
  <c r="I633" i="1" s="1"/>
  <c r="F634" i="1"/>
  <c r="G634" i="1" s="1"/>
  <c r="H634" i="1" s="1"/>
  <c r="I634" i="1" s="1"/>
  <c r="F635" i="1"/>
  <c r="G635" i="1" s="1"/>
  <c r="H635" i="1" s="1"/>
  <c r="I635" i="1" s="1"/>
  <c r="F636" i="1"/>
  <c r="G636" i="1" s="1"/>
  <c r="H636" i="1" s="1"/>
  <c r="I636" i="1" s="1"/>
  <c r="F637" i="1"/>
  <c r="G637" i="1" s="1"/>
  <c r="H637" i="1" s="1"/>
  <c r="I637" i="1" s="1"/>
  <c r="F638" i="1"/>
  <c r="G638" i="1" s="1"/>
  <c r="H638" i="1" s="1"/>
  <c r="I638" i="1" s="1"/>
  <c r="F639" i="1"/>
  <c r="G639" i="1" s="1"/>
  <c r="H639" i="1" s="1"/>
  <c r="I639" i="1" s="1"/>
  <c r="F640" i="1"/>
  <c r="G640" i="1" s="1"/>
  <c r="H640" i="1" s="1"/>
  <c r="I640" i="1" s="1"/>
  <c r="F641" i="1"/>
  <c r="G641" i="1" s="1"/>
  <c r="H641" i="1" s="1"/>
  <c r="I641" i="1" s="1"/>
  <c r="F642" i="1"/>
  <c r="G642" i="1" s="1"/>
  <c r="H642" i="1" s="1"/>
  <c r="I642" i="1" s="1"/>
  <c r="F643" i="1"/>
  <c r="G643" i="1" s="1"/>
  <c r="H643" i="1" s="1"/>
  <c r="I643" i="1" s="1"/>
  <c r="F644" i="1"/>
  <c r="G644" i="1" s="1"/>
  <c r="H644" i="1" s="1"/>
  <c r="I644" i="1" s="1"/>
  <c r="F645" i="1"/>
  <c r="G645" i="1" s="1"/>
  <c r="H645" i="1" s="1"/>
  <c r="I645" i="1" s="1"/>
  <c r="F646" i="1"/>
  <c r="G646" i="1" s="1"/>
  <c r="H646" i="1" s="1"/>
  <c r="I646" i="1" s="1"/>
  <c r="F647" i="1"/>
  <c r="G647" i="1" s="1"/>
  <c r="H647" i="1" s="1"/>
  <c r="I647" i="1" s="1"/>
  <c r="F648" i="1"/>
  <c r="G648" i="1" s="1"/>
  <c r="H648" i="1" s="1"/>
  <c r="I648" i="1" s="1"/>
  <c r="F649" i="1"/>
  <c r="G649" i="1" s="1"/>
  <c r="H649" i="1" s="1"/>
  <c r="I649" i="1" s="1"/>
  <c r="F650" i="1"/>
  <c r="G650" i="1" s="1"/>
  <c r="H650" i="1" s="1"/>
  <c r="I650" i="1" s="1"/>
  <c r="F651" i="1"/>
  <c r="G651" i="1" s="1"/>
  <c r="H651" i="1" s="1"/>
  <c r="I651" i="1" s="1"/>
  <c r="F652" i="1"/>
  <c r="G652" i="1" s="1"/>
  <c r="H652" i="1" s="1"/>
  <c r="I652" i="1" s="1"/>
  <c r="F653" i="1"/>
  <c r="G653" i="1" s="1"/>
  <c r="H653" i="1" s="1"/>
  <c r="I653" i="1" s="1"/>
  <c r="F654" i="1"/>
  <c r="G654" i="1" s="1"/>
  <c r="H654" i="1" s="1"/>
  <c r="I654" i="1" s="1"/>
  <c r="F655" i="1"/>
  <c r="G655" i="1" s="1"/>
  <c r="H655" i="1" s="1"/>
  <c r="I655" i="1" s="1"/>
  <c r="F656" i="1"/>
  <c r="G656" i="1" s="1"/>
  <c r="H656" i="1" s="1"/>
  <c r="I656" i="1" s="1"/>
  <c r="F657" i="1"/>
  <c r="G657" i="1" s="1"/>
  <c r="H657" i="1" s="1"/>
  <c r="I657" i="1" s="1"/>
  <c r="F658" i="1"/>
  <c r="G658" i="1" s="1"/>
  <c r="H658" i="1" s="1"/>
  <c r="I658" i="1" s="1"/>
  <c r="F659" i="1"/>
  <c r="G659" i="1" s="1"/>
  <c r="H659" i="1" s="1"/>
  <c r="I659" i="1" s="1"/>
  <c r="F660" i="1"/>
  <c r="G660" i="1" s="1"/>
  <c r="H660" i="1" s="1"/>
  <c r="I660" i="1" s="1"/>
  <c r="F661" i="1"/>
  <c r="G661" i="1" s="1"/>
  <c r="H661" i="1" s="1"/>
  <c r="I661" i="1" s="1"/>
  <c r="F662" i="1"/>
  <c r="G662" i="1" s="1"/>
  <c r="H662" i="1" s="1"/>
  <c r="I662" i="1" s="1"/>
  <c r="F663" i="1"/>
  <c r="G663" i="1" s="1"/>
  <c r="H663" i="1" s="1"/>
  <c r="I663" i="1" s="1"/>
  <c r="F664" i="1"/>
  <c r="G664" i="1" s="1"/>
  <c r="H664" i="1" s="1"/>
  <c r="I664" i="1" s="1"/>
  <c r="F665" i="1"/>
  <c r="G665" i="1" s="1"/>
  <c r="H665" i="1" s="1"/>
  <c r="I665" i="1" s="1"/>
  <c r="F666" i="1"/>
  <c r="G666" i="1" s="1"/>
  <c r="H666" i="1" s="1"/>
  <c r="I666" i="1" s="1"/>
  <c r="F667" i="1"/>
  <c r="G667" i="1" s="1"/>
  <c r="H667" i="1" s="1"/>
  <c r="I667" i="1" s="1"/>
  <c r="F668" i="1"/>
  <c r="G668" i="1" s="1"/>
  <c r="H668" i="1" s="1"/>
  <c r="I668" i="1" s="1"/>
  <c r="F669" i="1"/>
  <c r="G669" i="1" s="1"/>
  <c r="H669" i="1" s="1"/>
  <c r="I669" i="1" s="1"/>
  <c r="F670" i="1"/>
  <c r="G670" i="1" s="1"/>
  <c r="H670" i="1" s="1"/>
  <c r="I670" i="1" s="1"/>
  <c r="F671" i="1"/>
  <c r="G671" i="1" s="1"/>
  <c r="H671" i="1" s="1"/>
  <c r="I671" i="1" s="1"/>
  <c r="F672" i="1"/>
  <c r="G672" i="1" s="1"/>
  <c r="H672" i="1" s="1"/>
  <c r="I672" i="1" s="1"/>
  <c r="F673" i="1"/>
  <c r="G673" i="1" s="1"/>
  <c r="H673" i="1" s="1"/>
  <c r="I673" i="1" s="1"/>
  <c r="F674" i="1"/>
  <c r="G674" i="1" s="1"/>
  <c r="H674" i="1" s="1"/>
  <c r="I674" i="1" s="1"/>
  <c r="F675" i="1"/>
  <c r="G675" i="1" s="1"/>
  <c r="H675" i="1" s="1"/>
  <c r="I675" i="1" s="1"/>
  <c r="F676" i="1"/>
  <c r="G676" i="1" s="1"/>
  <c r="H676" i="1" s="1"/>
  <c r="I676" i="1" s="1"/>
  <c r="F677" i="1"/>
  <c r="G677" i="1" s="1"/>
  <c r="H677" i="1" s="1"/>
  <c r="I677" i="1" s="1"/>
  <c r="F678" i="1"/>
  <c r="G678" i="1" s="1"/>
  <c r="H678" i="1" s="1"/>
  <c r="I678" i="1" s="1"/>
  <c r="F679" i="1"/>
  <c r="G679" i="1" s="1"/>
  <c r="H679" i="1" s="1"/>
  <c r="I679" i="1" s="1"/>
  <c r="F680" i="1"/>
  <c r="G680" i="1" s="1"/>
  <c r="H680" i="1" s="1"/>
  <c r="I680" i="1" s="1"/>
  <c r="F681" i="1"/>
  <c r="G681" i="1" s="1"/>
  <c r="H681" i="1" s="1"/>
  <c r="I681" i="1" s="1"/>
  <c r="F682" i="1"/>
  <c r="G682" i="1" s="1"/>
  <c r="H682" i="1" s="1"/>
  <c r="I682" i="1" s="1"/>
  <c r="F683" i="1"/>
  <c r="G683" i="1" s="1"/>
  <c r="H683" i="1" s="1"/>
  <c r="I683" i="1" s="1"/>
  <c r="F684" i="1"/>
  <c r="G684" i="1" s="1"/>
  <c r="H684" i="1" s="1"/>
  <c r="I684" i="1" s="1"/>
  <c r="F685" i="1"/>
  <c r="G685" i="1" s="1"/>
  <c r="H685" i="1" s="1"/>
  <c r="I685" i="1" s="1"/>
  <c r="F686" i="1"/>
  <c r="G686" i="1" s="1"/>
  <c r="H686" i="1" s="1"/>
  <c r="I686" i="1" s="1"/>
  <c r="F687" i="1"/>
  <c r="G687" i="1" s="1"/>
  <c r="H687" i="1" s="1"/>
  <c r="I687" i="1" s="1"/>
  <c r="F688" i="1"/>
  <c r="G688" i="1" s="1"/>
  <c r="H688" i="1" s="1"/>
  <c r="I688" i="1" s="1"/>
  <c r="F689" i="1"/>
  <c r="G689" i="1" s="1"/>
  <c r="H689" i="1" s="1"/>
  <c r="I689" i="1" s="1"/>
  <c r="F690" i="1"/>
  <c r="G690" i="1" s="1"/>
  <c r="H690" i="1" s="1"/>
  <c r="I690" i="1" s="1"/>
  <c r="F691" i="1"/>
  <c r="G691" i="1" s="1"/>
  <c r="H691" i="1" s="1"/>
  <c r="I691" i="1" s="1"/>
  <c r="F692" i="1"/>
  <c r="G692" i="1" s="1"/>
  <c r="H692" i="1" s="1"/>
  <c r="I692" i="1" s="1"/>
  <c r="F693" i="1"/>
  <c r="G693" i="1" s="1"/>
  <c r="H693" i="1" s="1"/>
  <c r="I693" i="1" s="1"/>
  <c r="F694" i="1"/>
  <c r="G694" i="1" s="1"/>
  <c r="H694" i="1" s="1"/>
  <c r="I694" i="1" s="1"/>
  <c r="F695" i="1"/>
  <c r="G695" i="1" s="1"/>
  <c r="H695" i="1" s="1"/>
  <c r="I695" i="1" s="1"/>
  <c r="F696" i="1"/>
  <c r="G696" i="1" s="1"/>
  <c r="H696" i="1" s="1"/>
  <c r="I696" i="1" s="1"/>
  <c r="F697" i="1"/>
  <c r="G697" i="1" s="1"/>
  <c r="H697" i="1" s="1"/>
  <c r="I697" i="1" s="1"/>
  <c r="F698" i="1"/>
  <c r="G698" i="1" s="1"/>
  <c r="H698" i="1" s="1"/>
  <c r="I698" i="1" s="1"/>
  <c r="F699" i="1"/>
  <c r="G699" i="1" s="1"/>
  <c r="H699" i="1" s="1"/>
  <c r="I699" i="1" s="1"/>
  <c r="F700" i="1"/>
  <c r="G700" i="1" s="1"/>
  <c r="H700" i="1" s="1"/>
  <c r="I700" i="1" s="1"/>
  <c r="F701" i="1"/>
  <c r="G701" i="1" s="1"/>
  <c r="H701" i="1" s="1"/>
  <c r="I701" i="1" s="1"/>
  <c r="F702" i="1"/>
  <c r="G702" i="1" s="1"/>
  <c r="H702" i="1" s="1"/>
  <c r="I702" i="1" s="1"/>
  <c r="F703" i="1"/>
  <c r="G703" i="1" s="1"/>
  <c r="H703" i="1" s="1"/>
  <c r="I703" i="1" s="1"/>
  <c r="F704" i="1"/>
  <c r="G704" i="1" s="1"/>
  <c r="H704" i="1" s="1"/>
  <c r="I704" i="1" s="1"/>
  <c r="F705" i="1"/>
  <c r="G705" i="1" s="1"/>
  <c r="H705" i="1" s="1"/>
  <c r="I705" i="1" s="1"/>
  <c r="F706" i="1"/>
  <c r="G706" i="1" s="1"/>
  <c r="H706" i="1" s="1"/>
  <c r="I706" i="1" s="1"/>
  <c r="F707" i="1"/>
  <c r="G707" i="1" s="1"/>
  <c r="H707" i="1" s="1"/>
  <c r="I707" i="1" s="1"/>
  <c r="F708" i="1"/>
  <c r="G708" i="1" s="1"/>
  <c r="H708" i="1" s="1"/>
  <c r="I708" i="1" s="1"/>
  <c r="F709" i="1"/>
  <c r="G709" i="1" s="1"/>
  <c r="H709" i="1" s="1"/>
  <c r="I709" i="1" s="1"/>
  <c r="F710" i="1"/>
  <c r="G710" i="1" s="1"/>
  <c r="H710" i="1" s="1"/>
  <c r="I710" i="1" s="1"/>
  <c r="F711" i="1"/>
  <c r="G711" i="1" s="1"/>
  <c r="H711" i="1" s="1"/>
  <c r="I711" i="1" s="1"/>
  <c r="F712" i="1"/>
  <c r="G712" i="1" s="1"/>
  <c r="H712" i="1" s="1"/>
  <c r="I712" i="1" s="1"/>
  <c r="F713" i="1"/>
  <c r="G713" i="1" s="1"/>
  <c r="H713" i="1" s="1"/>
  <c r="I713" i="1" s="1"/>
  <c r="F714" i="1"/>
  <c r="G714" i="1" s="1"/>
  <c r="H714" i="1" s="1"/>
  <c r="I714" i="1" s="1"/>
  <c r="F715" i="1"/>
  <c r="G715" i="1" s="1"/>
  <c r="H715" i="1" s="1"/>
  <c r="I715" i="1" s="1"/>
  <c r="F716" i="1"/>
  <c r="G716" i="1" s="1"/>
  <c r="H716" i="1" s="1"/>
  <c r="I716" i="1" s="1"/>
  <c r="F717" i="1"/>
  <c r="G717" i="1" s="1"/>
  <c r="H717" i="1" s="1"/>
  <c r="I717" i="1" s="1"/>
  <c r="F718" i="1"/>
  <c r="G718" i="1" s="1"/>
  <c r="H718" i="1" s="1"/>
  <c r="I718" i="1" s="1"/>
  <c r="F719" i="1"/>
  <c r="G719" i="1" s="1"/>
  <c r="H719" i="1" s="1"/>
  <c r="I719" i="1" s="1"/>
  <c r="F720" i="1"/>
  <c r="G720" i="1" s="1"/>
  <c r="H720" i="1" s="1"/>
  <c r="I720" i="1" s="1"/>
  <c r="F721" i="1"/>
  <c r="G721" i="1" s="1"/>
  <c r="H721" i="1" s="1"/>
  <c r="I721" i="1" s="1"/>
  <c r="F722" i="1"/>
  <c r="G722" i="1" s="1"/>
  <c r="H722" i="1" s="1"/>
  <c r="I722" i="1" s="1"/>
  <c r="F723" i="1"/>
  <c r="G723" i="1" s="1"/>
  <c r="H723" i="1" s="1"/>
  <c r="I723" i="1" s="1"/>
  <c r="F724" i="1"/>
  <c r="G724" i="1" s="1"/>
  <c r="H724" i="1" s="1"/>
  <c r="I724" i="1" s="1"/>
  <c r="F725" i="1"/>
  <c r="G725" i="1" s="1"/>
  <c r="H725" i="1" s="1"/>
  <c r="I725" i="1" s="1"/>
  <c r="F726" i="1"/>
  <c r="G726" i="1" s="1"/>
  <c r="H726" i="1" s="1"/>
  <c r="I726" i="1" s="1"/>
  <c r="F727" i="1"/>
  <c r="G727" i="1" s="1"/>
  <c r="H727" i="1" s="1"/>
  <c r="I727" i="1" s="1"/>
  <c r="F728" i="1"/>
  <c r="G728" i="1" s="1"/>
  <c r="H728" i="1" s="1"/>
  <c r="I728" i="1" s="1"/>
  <c r="F729" i="1"/>
  <c r="G729" i="1" s="1"/>
  <c r="H729" i="1" s="1"/>
  <c r="I729" i="1" s="1"/>
  <c r="F730" i="1"/>
  <c r="G730" i="1" s="1"/>
  <c r="H730" i="1" s="1"/>
  <c r="I730" i="1" s="1"/>
  <c r="F731" i="1"/>
  <c r="G731" i="1" s="1"/>
  <c r="H731" i="1" s="1"/>
  <c r="I731" i="1" s="1"/>
  <c r="F732" i="1"/>
  <c r="G732" i="1" s="1"/>
  <c r="H732" i="1" s="1"/>
  <c r="I732" i="1" s="1"/>
  <c r="F733" i="1"/>
  <c r="G733" i="1" s="1"/>
  <c r="H733" i="1" s="1"/>
  <c r="I733" i="1" s="1"/>
  <c r="F734" i="1"/>
  <c r="G734" i="1" s="1"/>
  <c r="H734" i="1" s="1"/>
  <c r="I734" i="1" s="1"/>
  <c r="F735" i="1"/>
  <c r="G735" i="1" s="1"/>
  <c r="H735" i="1" s="1"/>
  <c r="I735" i="1" s="1"/>
  <c r="F736" i="1"/>
  <c r="G736" i="1" s="1"/>
  <c r="H736" i="1" s="1"/>
  <c r="I736" i="1" s="1"/>
  <c r="F737" i="1"/>
  <c r="G737" i="1" s="1"/>
  <c r="H737" i="1" s="1"/>
  <c r="I737" i="1" s="1"/>
  <c r="F738" i="1"/>
  <c r="G738" i="1" s="1"/>
  <c r="H738" i="1" s="1"/>
  <c r="I738" i="1" s="1"/>
  <c r="F739" i="1"/>
  <c r="G739" i="1" s="1"/>
  <c r="H739" i="1" s="1"/>
  <c r="I739" i="1" s="1"/>
  <c r="F740" i="1"/>
  <c r="G740" i="1" s="1"/>
  <c r="H740" i="1" s="1"/>
  <c r="I740" i="1" s="1"/>
  <c r="F741" i="1"/>
  <c r="G741" i="1" s="1"/>
  <c r="H741" i="1" s="1"/>
  <c r="I741" i="1" s="1"/>
  <c r="F742" i="1"/>
  <c r="G742" i="1" s="1"/>
  <c r="H742" i="1" s="1"/>
  <c r="I742" i="1" s="1"/>
  <c r="F743" i="1"/>
  <c r="G743" i="1" s="1"/>
  <c r="H743" i="1" s="1"/>
  <c r="I743" i="1" s="1"/>
  <c r="F744" i="1"/>
  <c r="G744" i="1" s="1"/>
  <c r="H744" i="1" s="1"/>
  <c r="I744" i="1" s="1"/>
  <c r="F745" i="1"/>
  <c r="G745" i="1" s="1"/>
  <c r="H745" i="1" s="1"/>
  <c r="I745" i="1" s="1"/>
  <c r="F746" i="1"/>
  <c r="G746" i="1" s="1"/>
  <c r="H746" i="1" s="1"/>
  <c r="I746" i="1" s="1"/>
  <c r="F747" i="1"/>
  <c r="G747" i="1" s="1"/>
  <c r="H747" i="1" s="1"/>
  <c r="I747" i="1" s="1"/>
  <c r="F748" i="1"/>
  <c r="G748" i="1" s="1"/>
  <c r="H748" i="1" s="1"/>
  <c r="I748" i="1" s="1"/>
  <c r="F749" i="1"/>
  <c r="G749" i="1" s="1"/>
  <c r="H749" i="1" s="1"/>
  <c r="I749" i="1" s="1"/>
  <c r="F750" i="1"/>
  <c r="G750" i="1" s="1"/>
  <c r="H750" i="1" s="1"/>
  <c r="I750" i="1" s="1"/>
  <c r="F751" i="1"/>
  <c r="G751" i="1" s="1"/>
  <c r="H751" i="1" s="1"/>
  <c r="I751" i="1" s="1"/>
  <c r="F752" i="1"/>
  <c r="G752" i="1" s="1"/>
  <c r="H752" i="1" s="1"/>
  <c r="I752" i="1" s="1"/>
  <c r="F753" i="1"/>
  <c r="G753" i="1" s="1"/>
  <c r="H753" i="1" s="1"/>
  <c r="I753" i="1" s="1"/>
  <c r="F754" i="1"/>
  <c r="G754" i="1" s="1"/>
  <c r="H754" i="1" s="1"/>
  <c r="I754" i="1" s="1"/>
  <c r="F755" i="1"/>
  <c r="G755" i="1" s="1"/>
  <c r="H755" i="1" s="1"/>
  <c r="I755" i="1" s="1"/>
  <c r="F756" i="1"/>
  <c r="G756" i="1" s="1"/>
  <c r="H756" i="1" s="1"/>
  <c r="I756" i="1" s="1"/>
  <c r="F757" i="1"/>
  <c r="G757" i="1" s="1"/>
  <c r="H757" i="1" s="1"/>
  <c r="I757" i="1" s="1"/>
  <c r="F758" i="1"/>
  <c r="G758" i="1" s="1"/>
  <c r="H758" i="1" s="1"/>
  <c r="I758" i="1" s="1"/>
  <c r="F759" i="1"/>
  <c r="G759" i="1" s="1"/>
  <c r="H759" i="1" s="1"/>
  <c r="I759" i="1" s="1"/>
  <c r="F760" i="1"/>
  <c r="G760" i="1" s="1"/>
  <c r="H760" i="1" s="1"/>
  <c r="I760" i="1" s="1"/>
  <c r="F761" i="1"/>
  <c r="G761" i="1" s="1"/>
  <c r="H761" i="1" s="1"/>
  <c r="I761" i="1" s="1"/>
  <c r="F762" i="1"/>
  <c r="G762" i="1" s="1"/>
  <c r="H762" i="1" s="1"/>
  <c r="I762" i="1" s="1"/>
  <c r="F763" i="1"/>
  <c r="G763" i="1" s="1"/>
  <c r="H763" i="1" s="1"/>
  <c r="I763" i="1" s="1"/>
  <c r="F764" i="1"/>
  <c r="G764" i="1" s="1"/>
  <c r="H764" i="1" s="1"/>
  <c r="I764" i="1" s="1"/>
  <c r="F765" i="1"/>
  <c r="G765" i="1" s="1"/>
  <c r="H765" i="1" s="1"/>
  <c r="I765" i="1" s="1"/>
  <c r="F766" i="1"/>
  <c r="G766" i="1" s="1"/>
  <c r="H766" i="1" s="1"/>
  <c r="I766" i="1" s="1"/>
  <c r="F767" i="1"/>
  <c r="G767" i="1" s="1"/>
  <c r="H767" i="1" s="1"/>
  <c r="I767" i="1" s="1"/>
  <c r="F768" i="1"/>
  <c r="G768" i="1" s="1"/>
  <c r="H768" i="1" s="1"/>
  <c r="I768" i="1" s="1"/>
  <c r="F769" i="1"/>
  <c r="G769" i="1" s="1"/>
  <c r="H769" i="1" s="1"/>
  <c r="I769" i="1" s="1"/>
  <c r="F770" i="1"/>
  <c r="G770" i="1" s="1"/>
  <c r="H770" i="1" s="1"/>
  <c r="I770" i="1" s="1"/>
  <c r="F771" i="1"/>
  <c r="G771" i="1" s="1"/>
  <c r="H771" i="1" s="1"/>
  <c r="I771" i="1" s="1"/>
  <c r="F772" i="1"/>
  <c r="G772" i="1" s="1"/>
  <c r="H772" i="1" s="1"/>
  <c r="I772" i="1" s="1"/>
  <c r="F773" i="1"/>
  <c r="G773" i="1" s="1"/>
  <c r="H773" i="1" s="1"/>
  <c r="I773" i="1" s="1"/>
  <c r="F774" i="1"/>
  <c r="G774" i="1" s="1"/>
  <c r="H774" i="1" s="1"/>
  <c r="I774" i="1" s="1"/>
  <c r="F775" i="1"/>
  <c r="G775" i="1" s="1"/>
  <c r="H775" i="1" s="1"/>
  <c r="I775" i="1" s="1"/>
  <c r="F776" i="1"/>
  <c r="G776" i="1" s="1"/>
  <c r="H776" i="1" s="1"/>
  <c r="I776" i="1" s="1"/>
  <c r="F777" i="1"/>
  <c r="G777" i="1" s="1"/>
  <c r="H777" i="1" s="1"/>
  <c r="I777" i="1" s="1"/>
  <c r="F778" i="1"/>
  <c r="G778" i="1" s="1"/>
  <c r="H778" i="1" s="1"/>
  <c r="I778" i="1" s="1"/>
  <c r="F779" i="1"/>
  <c r="G779" i="1" s="1"/>
  <c r="H779" i="1" s="1"/>
  <c r="I779" i="1" s="1"/>
  <c r="F780" i="1"/>
  <c r="G780" i="1" s="1"/>
  <c r="H780" i="1" s="1"/>
  <c r="I780" i="1" s="1"/>
  <c r="F781" i="1"/>
  <c r="G781" i="1" s="1"/>
  <c r="H781" i="1" s="1"/>
  <c r="I781" i="1" s="1"/>
  <c r="F782" i="1"/>
  <c r="G782" i="1" s="1"/>
  <c r="H782" i="1" s="1"/>
  <c r="I782" i="1" s="1"/>
  <c r="F783" i="1"/>
  <c r="G783" i="1" s="1"/>
  <c r="H783" i="1" s="1"/>
  <c r="I783" i="1" s="1"/>
  <c r="F784" i="1"/>
  <c r="G784" i="1" s="1"/>
  <c r="H784" i="1" s="1"/>
  <c r="I784" i="1" s="1"/>
  <c r="F785" i="1"/>
  <c r="G785" i="1" s="1"/>
  <c r="H785" i="1" s="1"/>
  <c r="I785" i="1" s="1"/>
  <c r="F786" i="1"/>
  <c r="G786" i="1" s="1"/>
  <c r="H786" i="1" s="1"/>
  <c r="I786" i="1" s="1"/>
  <c r="F787" i="1"/>
  <c r="G787" i="1" s="1"/>
  <c r="H787" i="1" s="1"/>
  <c r="I787" i="1" s="1"/>
  <c r="F788" i="1"/>
  <c r="G788" i="1" s="1"/>
  <c r="H788" i="1" s="1"/>
  <c r="I788" i="1" s="1"/>
  <c r="F789" i="1"/>
  <c r="G789" i="1" s="1"/>
  <c r="H789" i="1" s="1"/>
  <c r="I789" i="1" s="1"/>
  <c r="F790" i="1"/>
  <c r="G790" i="1" s="1"/>
  <c r="H790" i="1" s="1"/>
  <c r="I790" i="1" s="1"/>
  <c r="F791" i="1"/>
  <c r="G791" i="1" s="1"/>
  <c r="H791" i="1" s="1"/>
  <c r="I791" i="1" s="1"/>
  <c r="F792" i="1"/>
  <c r="G792" i="1" s="1"/>
  <c r="H792" i="1" s="1"/>
  <c r="I792" i="1" s="1"/>
  <c r="F793" i="1"/>
  <c r="G793" i="1" s="1"/>
  <c r="H793" i="1" s="1"/>
  <c r="I793" i="1" s="1"/>
  <c r="F794" i="1"/>
  <c r="G794" i="1" s="1"/>
  <c r="H794" i="1" s="1"/>
  <c r="I794" i="1" s="1"/>
  <c r="F795" i="1"/>
  <c r="G795" i="1" s="1"/>
  <c r="H795" i="1" s="1"/>
  <c r="I795" i="1" s="1"/>
  <c r="F796" i="1"/>
  <c r="G796" i="1" s="1"/>
  <c r="H796" i="1" s="1"/>
  <c r="I796" i="1" s="1"/>
  <c r="F797" i="1"/>
  <c r="G797" i="1" s="1"/>
  <c r="H797" i="1" s="1"/>
  <c r="I797" i="1" s="1"/>
  <c r="F798" i="1"/>
  <c r="G798" i="1" s="1"/>
  <c r="H798" i="1" s="1"/>
  <c r="I798" i="1" s="1"/>
  <c r="F799" i="1"/>
  <c r="G799" i="1" s="1"/>
  <c r="H799" i="1" s="1"/>
  <c r="I799" i="1" s="1"/>
  <c r="F800" i="1"/>
  <c r="G800" i="1" s="1"/>
  <c r="H800" i="1" s="1"/>
  <c r="I800" i="1" s="1"/>
  <c r="F801" i="1"/>
  <c r="G801" i="1" s="1"/>
  <c r="H801" i="1" s="1"/>
  <c r="I801" i="1" s="1"/>
  <c r="F802" i="1"/>
  <c r="G802" i="1" s="1"/>
  <c r="H802" i="1" s="1"/>
  <c r="I802" i="1" s="1"/>
  <c r="F803" i="1"/>
  <c r="G803" i="1" s="1"/>
  <c r="H803" i="1" s="1"/>
  <c r="I803" i="1" s="1"/>
  <c r="F804" i="1"/>
  <c r="G804" i="1" s="1"/>
  <c r="H804" i="1" s="1"/>
  <c r="I804" i="1" s="1"/>
  <c r="F805" i="1"/>
  <c r="G805" i="1" s="1"/>
  <c r="H805" i="1" s="1"/>
  <c r="I805" i="1" s="1"/>
  <c r="F806" i="1"/>
  <c r="G806" i="1" s="1"/>
  <c r="H806" i="1" s="1"/>
  <c r="I806" i="1" s="1"/>
  <c r="F807" i="1"/>
  <c r="G807" i="1" s="1"/>
  <c r="H807" i="1" s="1"/>
  <c r="I807" i="1" s="1"/>
  <c r="F808" i="1"/>
  <c r="G808" i="1" s="1"/>
  <c r="H808" i="1" s="1"/>
  <c r="I808" i="1" s="1"/>
  <c r="F809" i="1"/>
  <c r="G809" i="1" s="1"/>
  <c r="H809" i="1" s="1"/>
  <c r="I809" i="1" s="1"/>
  <c r="F810" i="1"/>
  <c r="G810" i="1" s="1"/>
  <c r="H810" i="1" s="1"/>
  <c r="I810" i="1" s="1"/>
  <c r="F811" i="1"/>
  <c r="G811" i="1" s="1"/>
  <c r="H811" i="1" s="1"/>
  <c r="I811" i="1" s="1"/>
  <c r="F812" i="1"/>
  <c r="G812" i="1" s="1"/>
  <c r="H812" i="1" s="1"/>
  <c r="I812" i="1" s="1"/>
  <c r="F813" i="1"/>
  <c r="G813" i="1" s="1"/>
  <c r="H813" i="1" s="1"/>
  <c r="I813" i="1" s="1"/>
  <c r="F814" i="1"/>
  <c r="G814" i="1" s="1"/>
  <c r="H814" i="1" s="1"/>
  <c r="I814" i="1" s="1"/>
  <c r="F815" i="1"/>
  <c r="G815" i="1" s="1"/>
  <c r="H815" i="1" s="1"/>
  <c r="I815" i="1" s="1"/>
  <c r="F816" i="1"/>
  <c r="G816" i="1" s="1"/>
  <c r="H816" i="1" s="1"/>
  <c r="I816" i="1" s="1"/>
  <c r="F817" i="1"/>
  <c r="G817" i="1" s="1"/>
  <c r="H817" i="1" s="1"/>
  <c r="I817" i="1" s="1"/>
  <c r="F818" i="1"/>
  <c r="G818" i="1" s="1"/>
  <c r="H818" i="1" s="1"/>
  <c r="I818" i="1" s="1"/>
  <c r="F819" i="1"/>
  <c r="G819" i="1" s="1"/>
  <c r="H819" i="1" s="1"/>
  <c r="I819" i="1" s="1"/>
  <c r="F820" i="1"/>
  <c r="G820" i="1" s="1"/>
  <c r="H820" i="1" s="1"/>
  <c r="I820" i="1" s="1"/>
  <c r="F821" i="1"/>
  <c r="G821" i="1" s="1"/>
  <c r="H821" i="1" s="1"/>
  <c r="I821" i="1" s="1"/>
  <c r="F822" i="1"/>
  <c r="G822" i="1" s="1"/>
  <c r="H822" i="1" s="1"/>
  <c r="I822" i="1" s="1"/>
  <c r="F823" i="1"/>
  <c r="G823" i="1" s="1"/>
  <c r="H823" i="1" s="1"/>
  <c r="I823" i="1" s="1"/>
  <c r="F824" i="1"/>
  <c r="G824" i="1" s="1"/>
  <c r="H824" i="1" s="1"/>
  <c r="I824" i="1" s="1"/>
  <c r="F825" i="1"/>
  <c r="G825" i="1" s="1"/>
  <c r="H825" i="1" s="1"/>
  <c r="I825" i="1" s="1"/>
  <c r="F826" i="1"/>
  <c r="G826" i="1" s="1"/>
  <c r="H826" i="1" s="1"/>
  <c r="I826" i="1" s="1"/>
  <c r="F827" i="1"/>
  <c r="G827" i="1" s="1"/>
  <c r="H827" i="1" s="1"/>
  <c r="I827" i="1" s="1"/>
  <c r="F828" i="1"/>
  <c r="G828" i="1" s="1"/>
  <c r="H828" i="1" s="1"/>
  <c r="I828" i="1" s="1"/>
  <c r="F829" i="1"/>
  <c r="G829" i="1" s="1"/>
  <c r="H829" i="1" s="1"/>
  <c r="I829" i="1" s="1"/>
  <c r="F830" i="1"/>
  <c r="G830" i="1" s="1"/>
  <c r="H830" i="1" s="1"/>
  <c r="I830" i="1" s="1"/>
  <c r="F831" i="1"/>
  <c r="G831" i="1" s="1"/>
  <c r="H831" i="1" s="1"/>
  <c r="I831" i="1" s="1"/>
  <c r="F832" i="1"/>
  <c r="G832" i="1" s="1"/>
  <c r="H832" i="1" s="1"/>
  <c r="I832" i="1" s="1"/>
  <c r="F833" i="1"/>
  <c r="G833" i="1" s="1"/>
  <c r="H833" i="1" s="1"/>
  <c r="I833" i="1" s="1"/>
  <c r="F834" i="1"/>
  <c r="G834" i="1" s="1"/>
  <c r="H834" i="1" s="1"/>
  <c r="I834" i="1" s="1"/>
  <c r="F835" i="1"/>
  <c r="G835" i="1" s="1"/>
  <c r="H835" i="1" s="1"/>
  <c r="I835" i="1" s="1"/>
  <c r="F836" i="1"/>
  <c r="G836" i="1" s="1"/>
  <c r="H836" i="1" s="1"/>
  <c r="I836" i="1" s="1"/>
  <c r="F837" i="1"/>
  <c r="G837" i="1" s="1"/>
  <c r="H837" i="1" s="1"/>
  <c r="I837" i="1" s="1"/>
  <c r="F838" i="1"/>
  <c r="G838" i="1" s="1"/>
  <c r="H838" i="1" s="1"/>
  <c r="I838" i="1" s="1"/>
  <c r="F839" i="1"/>
  <c r="G839" i="1" s="1"/>
  <c r="H839" i="1" s="1"/>
  <c r="I839" i="1" s="1"/>
  <c r="F840" i="1"/>
  <c r="G840" i="1" s="1"/>
  <c r="H840" i="1" s="1"/>
  <c r="I840" i="1" s="1"/>
  <c r="F841" i="1"/>
  <c r="G841" i="1" s="1"/>
  <c r="H841" i="1" s="1"/>
  <c r="I841" i="1" s="1"/>
  <c r="F842" i="1"/>
  <c r="G842" i="1" s="1"/>
  <c r="H842" i="1" s="1"/>
  <c r="I842" i="1" s="1"/>
  <c r="F843" i="1"/>
  <c r="G843" i="1" s="1"/>
  <c r="H843" i="1" s="1"/>
  <c r="I843" i="1" s="1"/>
  <c r="F844" i="1"/>
  <c r="G844" i="1" s="1"/>
  <c r="H844" i="1" s="1"/>
  <c r="I844" i="1" s="1"/>
  <c r="F845" i="1"/>
  <c r="G845" i="1" s="1"/>
  <c r="H845" i="1" s="1"/>
  <c r="I845" i="1" s="1"/>
  <c r="F846" i="1"/>
  <c r="G846" i="1" s="1"/>
  <c r="H846" i="1" s="1"/>
  <c r="I846" i="1" s="1"/>
  <c r="F847" i="1"/>
  <c r="G847" i="1" s="1"/>
  <c r="H847" i="1" s="1"/>
  <c r="I847" i="1" s="1"/>
  <c r="F848" i="1"/>
  <c r="G848" i="1" s="1"/>
  <c r="H848" i="1" s="1"/>
  <c r="I848" i="1" s="1"/>
  <c r="F849" i="1"/>
  <c r="G849" i="1" s="1"/>
  <c r="H849" i="1" s="1"/>
  <c r="I849" i="1" s="1"/>
  <c r="F850" i="1"/>
  <c r="G850" i="1" s="1"/>
  <c r="H850" i="1" s="1"/>
  <c r="I850" i="1" s="1"/>
  <c r="F851" i="1"/>
  <c r="G851" i="1" s="1"/>
  <c r="H851" i="1" s="1"/>
  <c r="I851" i="1" s="1"/>
  <c r="F852" i="1"/>
  <c r="G852" i="1" s="1"/>
  <c r="H852" i="1" s="1"/>
  <c r="I852" i="1" s="1"/>
  <c r="F853" i="1"/>
  <c r="G853" i="1" s="1"/>
  <c r="H853" i="1" s="1"/>
  <c r="I853" i="1" s="1"/>
  <c r="F854" i="1"/>
  <c r="G854" i="1" s="1"/>
  <c r="H854" i="1" s="1"/>
  <c r="I854" i="1" s="1"/>
  <c r="F855" i="1"/>
  <c r="G855" i="1" s="1"/>
  <c r="H855" i="1" s="1"/>
  <c r="I855" i="1" s="1"/>
  <c r="F856" i="1"/>
  <c r="G856" i="1" s="1"/>
  <c r="H856" i="1" s="1"/>
  <c r="I856" i="1" s="1"/>
  <c r="F857" i="1"/>
  <c r="G857" i="1" s="1"/>
  <c r="H857" i="1" s="1"/>
  <c r="I857" i="1" s="1"/>
  <c r="F858" i="1"/>
  <c r="G858" i="1" s="1"/>
  <c r="H858" i="1" s="1"/>
  <c r="I858" i="1" s="1"/>
  <c r="F859" i="1"/>
  <c r="G859" i="1" s="1"/>
  <c r="H859" i="1" s="1"/>
  <c r="I859" i="1" s="1"/>
  <c r="F860" i="1"/>
  <c r="G860" i="1" s="1"/>
  <c r="H860" i="1" s="1"/>
  <c r="I860" i="1" s="1"/>
  <c r="F861" i="1"/>
  <c r="G861" i="1" s="1"/>
  <c r="H861" i="1" s="1"/>
  <c r="I861" i="1" s="1"/>
  <c r="F862" i="1"/>
  <c r="G862" i="1" s="1"/>
  <c r="H862" i="1" s="1"/>
  <c r="I862" i="1" s="1"/>
  <c r="F863" i="1"/>
  <c r="G863" i="1" s="1"/>
  <c r="H863" i="1" s="1"/>
  <c r="I863" i="1" s="1"/>
  <c r="F864" i="1"/>
  <c r="G864" i="1" s="1"/>
  <c r="H864" i="1" s="1"/>
  <c r="I864" i="1" s="1"/>
  <c r="F865" i="1"/>
  <c r="G865" i="1" s="1"/>
  <c r="H865" i="1" s="1"/>
  <c r="I865" i="1" s="1"/>
  <c r="F866" i="1"/>
  <c r="G866" i="1" s="1"/>
  <c r="H866" i="1" s="1"/>
  <c r="I866" i="1" s="1"/>
  <c r="F867" i="1"/>
  <c r="G867" i="1" s="1"/>
  <c r="H867" i="1" s="1"/>
  <c r="I867" i="1" s="1"/>
  <c r="F868" i="1"/>
  <c r="G868" i="1" s="1"/>
  <c r="H868" i="1" s="1"/>
  <c r="I868" i="1" s="1"/>
  <c r="F869" i="1"/>
  <c r="G869" i="1" s="1"/>
  <c r="H869" i="1" s="1"/>
  <c r="I869" i="1" s="1"/>
  <c r="F870" i="1"/>
  <c r="G870" i="1" s="1"/>
  <c r="H870" i="1" s="1"/>
  <c r="I870" i="1" s="1"/>
  <c r="F871" i="1"/>
  <c r="G871" i="1" s="1"/>
  <c r="H871" i="1" s="1"/>
  <c r="I871" i="1" s="1"/>
  <c r="F872" i="1"/>
  <c r="G872" i="1" s="1"/>
  <c r="H872" i="1" s="1"/>
  <c r="I872" i="1" s="1"/>
  <c r="F873" i="1"/>
  <c r="G873" i="1" s="1"/>
  <c r="H873" i="1" s="1"/>
  <c r="I873" i="1" s="1"/>
  <c r="F874" i="1"/>
  <c r="G874" i="1" s="1"/>
  <c r="H874" i="1" s="1"/>
  <c r="I874" i="1" s="1"/>
  <c r="F875" i="1"/>
  <c r="G875" i="1" s="1"/>
  <c r="H875" i="1" s="1"/>
  <c r="I875" i="1" s="1"/>
  <c r="F876" i="1"/>
  <c r="G876" i="1" s="1"/>
  <c r="H876" i="1" s="1"/>
  <c r="I876" i="1" s="1"/>
  <c r="F877" i="1"/>
  <c r="G877" i="1" s="1"/>
  <c r="H877" i="1" s="1"/>
  <c r="I877" i="1" s="1"/>
  <c r="F878" i="1"/>
  <c r="G878" i="1" s="1"/>
  <c r="H878" i="1" s="1"/>
  <c r="I878" i="1" s="1"/>
  <c r="F879" i="1"/>
  <c r="G879" i="1" s="1"/>
  <c r="H879" i="1" s="1"/>
  <c r="I879" i="1" s="1"/>
  <c r="F880" i="1"/>
  <c r="G880" i="1" s="1"/>
  <c r="H880" i="1" s="1"/>
  <c r="I880" i="1" s="1"/>
  <c r="F881" i="1"/>
  <c r="G881" i="1" s="1"/>
  <c r="H881" i="1" s="1"/>
  <c r="I881" i="1" s="1"/>
  <c r="F882" i="1"/>
  <c r="G882" i="1" s="1"/>
  <c r="H882" i="1" s="1"/>
  <c r="I882" i="1" s="1"/>
  <c r="F883" i="1"/>
  <c r="G883" i="1" s="1"/>
  <c r="H883" i="1" s="1"/>
  <c r="I883" i="1" s="1"/>
  <c r="F884" i="1"/>
  <c r="G884" i="1" s="1"/>
  <c r="H884" i="1" s="1"/>
  <c r="I884" i="1" s="1"/>
  <c r="F885" i="1"/>
  <c r="G885" i="1" s="1"/>
  <c r="H885" i="1" s="1"/>
  <c r="I885" i="1" s="1"/>
  <c r="F886" i="1"/>
  <c r="G886" i="1" s="1"/>
  <c r="H886" i="1" s="1"/>
  <c r="I886" i="1" s="1"/>
  <c r="F887" i="1"/>
  <c r="G887" i="1" s="1"/>
  <c r="H887" i="1" s="1"/>
  <c r="I887" i="1" s="1"/>
  <c r="F888" i="1"/>
  <c r="G888" i="1" s="1"/>
  <c r="H888" i="1" s="1"/>
  <c r="I888" i="1" s="1"/>
  <c r="F889" i="1"/>
  <c r="G889" i="1" s="1"/>
  <c r="H889" i="1" s="1"/>
  <c r="I889" i="1" s="1"/>
  <c r="F890" i="1"/>
  <c r="G890" i="1" s="1"/>
  <c r="H890" i="1" s="1"/>
  <c r="I890" i="1" s="1"/>
  <c r="F891" i="1"/>
  <c r="G891" i="1" s="1"/>
  <c r="H891" i="1" s="1"/>
  <c r="I891" i="1" s="1"/>
  <c r="F892" i="1"/>
  <c r="G892" i="1" s="1"/>
  <c r="H892" i="1" s="1"/>
  <c r="I892" i="1" s="1"/>
  <c r="F893" i="1"/>
  <c r="G893" i="1" s="1"/>
  <c r="H893" i="1" s="1"/>
  <c r="I893" i="1" s="1"/>
  <c r="F894" i="1"/>
  <c r="G894" i="1" s="1"/>
  <c r="H894" i="1" s="1"/>
  <c r="I894" i="1" s="1"/>
  <c r="F895" i="1"/>
  <c r="G895" i="1" s="1"/>
  <c r="H895" i="1" s="1"/>
  <c r="I895" i="1" s="1"/>
  <c r="F896" i="1"/>
  <c r="G896" i="1" s="1"/>
  <c r="H896" i="1" s="1"/>
  <c r="I896" i="1" s="1"/>
  <c r="F897" i="1"/>
  <c r="G897" i="1" s="1"/>
  <c r="H897" i="1" s="1"/>
  <c r="I897" i="1" s="1"/>
  <c r="F898" i="1"/>
  <c r="G898" i="1" s="1"/>
  <c r="H898" i="1" s="1"/>
  <c r="I898" i="1" s="1"/>
  <c r="F899" i="1"/>
  <c r="G899" i="1" s="1"/>
  <c r="H899" i="1" s="1"/>
  <c r="I899" i="1" s="1"/>
  <c r="F900" i="1"/>
  <c r="G900" i="1" s="1"/>
  <c r="H900" i="1" s="1"/>
  <c r="I900" i="1" s="1"/>
  <c r="F901" i="1"/>
  <c r="G901" i="1" s="1"/>
  <c r="H901" i="1" s="1"/>
  <c r="I901" i="1" s="1"/>
  <c r="F902" i="1"/>
  <c r="G902" i="1" s="1"/>
  <c r="H902" i="1" s="1"/>
  <c r="I902" i="1" s="1"/>
  <c r="F903" i="1"/>
  <c r="G903" i="1" s="1"/>
  <c r="H903" i="1" s="1"/>
  <c r="I903" i="1" s="1"/>
  <c r="F904" i="1"/>
  <c r="G904" i="1" s="1"/>
  <c r="H904" i="1" s="1"/>
  <c r="I904" i="1" s="1"/>
  <c r="F905" i="1"/>
  <c r="G905" i="1" s="1"/>
  <c r="H905" i="1" s="1"/>
  <c r="I905" i="1" s="1"/>
  <c r="F906" i="1"/>
  <c r="G906" i="1" s="1"/>
  <c r="H906" i="1" s="1"/>
  <c r="I906" i="1" s="1"/>
  <c r="F907" i="1"/>
  <c r="G907" i="1" s="1"/>
  <c r="H907" i="1" s="1"/>
  <c r="I907" i="1" s="1"/>
  <c r="F908" i="1"/>
  <c r="G908" i="1" s="1"/>
  <c r="H908" i="1" s="1"/>
  <c r="I908" i="1" s="1"/>
  <c r="F909" i="1"/>
  <c r="G909" i="1" s="1"/>
  <c r="H909" i="1" s="1"/>
  <c r="I909" i="1" s="1"/>
  <c r="F910" i="1"/>
  <c r="G910" i="1" s="1"/>
  <c r="H910" i="1" s="1"/>
  <c r="I910" i="1" s="1"/>
  <c r="F911" i="1"/>
  <c r="G911" i="1" s="1"/>
  <c r="H911" i="1" s="1"/>
  <c r="I911" i="1" s="1"/>
  <c r="F912" i="1"/>
  <c r="G912" i="1" s="1"/>
  <c r="H912" i="1" s="1"/>
  <c r="I912" i="1" s="1"/>
  <c r="F913" i="1"/>
  <c r="G913" i="1" s="1"/>
  <c r="H913" i="1" s="1"/>
  <c r="I913" i="1" s="1"/>
  <c r="F914" i="1"/>
  <c r="G914" i="1" s="1"/>
  <c r="H914" i="1" s="1"/>
  <c r="I914" i="1" s="1"/>
  <c r="F915" i="1"/>
  <c r="G915" i="1" s="1"/>
  <c r="H915" i="1" s="1"/>
  <c r="I915" i="1" s="1"/>
  <c r="F916" i="1"/>
  <c r="G916" i="1" s="1"/>
  <c r="H916" i="1" s="1"/>
  <c r="I916" i="1" s="1"/>
  <c r="F917" i="1"/>
  <c r="G917" i="1" s="1"/>
  <c r="H917" i="1" s="1"/>
  <c r="I917" i="1" s="1"/>
  <c r="F918" i="1"/>
  <c r="G918" i="1" s="1"/>
  <c r="H918" i="1" s="1"/>
  <c r="I918" i="1" s="1"/>
  <c r="F919" i="1"/>
  <c r="G919" i="1" s="1"/>
  <c r="H919" i="1" s="1"/>
  <c r="I919" i="1" s="1"/>
  <c r="F920" i="1"/>
  <c r="G920" i="1" s="1"/>
  <c r="H920" i="1" s="1"/>
  <c r="I920" i="1" s="1"/>
  <c r="F921" i="1"/>
  <c r="G921" i="1" s="1"/>
  <c r="H921" i="1" s="1"/>
  <c r="I921" i="1" s="1"/>
  <c r="F922" i="1"/>
  <c r="G922" i="1" s="1"/>
  <c r="H922" i="1" s="1"/>
  <c r="I922" i="1" s="1"/>
  <c r="F923" i="1"/>
  <c r="G923" i="1" s="1"/>
  <c r="H923" i="1" s="1"/>
  <c r="I923" i="1" s="1"/>
  <c r="F924" i="1"/>
  <c r="G924" i="1" s="1"/>
  <c r="H924" i="1" s="1"/>
  <c r="I924" i="1" s="1"/>
  <c r="F925" i="1"/>
  <c r="G925" i="1" s="1"/>
  <c r="H925" i="1" s="1"/>
  <c r="I925" i="1" s="1"/>
  <c r="F926" i="1"/>
  <c r="G926" i="1" s="1"/>
  <c r="H926" i="1" s="1"/>
  <c r="I926" i="1" s="1"/>
  <c r="F927" i="1"/>
  <c r="G927" i="1" s="1"/>
  <c r="H927" i="1" s="1"/>
  <c r="I927" i="1" s="1"/>
  <c r="F928" i="1"/>
  <c r="G928" i="1" s="1"/>
  <c r="H928" i="1" s="1"/>
  <c r="I928" i="1" s="1"/>
  <c r="F929" i="1"/>
  <c r="G929" i="1" s="1"/>
  <c r="H929" i="1" s="1"/>
  <c r="I929" i="1" s="1"/>
  <c r="F930" i="1"/>
  <c r="G930" i="1" s="1"/>
  <c r="H930" i="1" s="1"/>
  <c r="I930" i="1" s="1"/>
  <c r="F931" i="1"/>
  <c r="G931" i="1" s="1"/>
  <c r="H931" i="1" s="1"/>
  <c r="I931" i="1" s="1"/>
  <c r="F932" i="1"/>
  <c r="G932" i="1" s="1"/>
  <c r="H932" i="1" s="1"/>
  <c r="I932" i="1" s="1"/>
  <c r="F933" i="1"/>
  <c r="G933" i="1" s="1"/>
  <c r="H933" i="1" s="1"/>
  <c r="I933" i="1" s="1"/>
  <c r="F934" i="1"/>
  <c r="G934" i="1" s="1"/>
  <c r="H934" i="1" s="1"/>
  <c r="I934" i="1" s="1"/>
  <c r="F935" i="1"/>
  <c r="G935" i="1" s="1"/>
  <c r="H935" i="1" s="1"/>
  <c r="I935" i="1" s="1"/>
  <c r="F936" i="1"/>
  <c r="G936" i="1" s="1"/>
  <c r="H936" i="1" s="1"/>
  <c r="I936" i="1" s="1"/>
  <c r="F937" i="1"/>
  <c r="G937" i="1" s="1"/>
  <c r="H937" i="1" s="1"/>
  <c r="I937" i="1" s="1"/>
  <c r="F938" i="1"/>
  <c r="G938" i="1" s="1"/>
  <c r="H938" i="1" s="1"/>
  <c r="I938" i="1" s="1"/>
  <c r="F939" i="1"/>
  <c r="G939" i="1" s="1"/>
  <c r="H939" i="1" s="1"/>
  <c r="I939" i="1" s="1"/>
  <c r="F940" i="1"/>
  <c r="G940" i="1" s="1"/>
  <c r="H940" i="1" s="1"/>
  <c r="I940" i="1" s="1"/>
  <c r="F941" i="1"/>
  <c r="G941" i="1" s="1"/>
  <c r="H941" i="1" s="1"/>
  <c r="I941" i="1" s="1"/>
  <c r="F942" i="1"/>
  <c r="G942" i="1" s="1"/>
  <c r="H942" i="1" s="1"/>
  <c r="I942" i="1" s="1"/>
  <c r="F943" i="1"/>
  <c r="G943" i="1" s="1"/>
  <c r="H943" i="1" s="1"/>
  <c r="I943" i="1" s="1"/>
  <c r="F944" i="1"/>
  <c r="G944" i="1" s="1"/>
  <c r="H944" i="1" s="1"/>
  <c r="I944" i="1" s="1"/>
  <c r="F945" i="1"/>
  <c r="G945" i="1" s="1"/>
  <c r="H945" i="1" s="1"/>
  <c r="I945" i="1" s="1"/>
  <c r="F946" i="1"/>
  <c r="G946" i="1" s="1"/>
  <c r="H946" i="1" s="1"/>
  <c r="I946" i="1" s="1"/>
  <c r="F947" i="1"/>
  <c r="G947" i="1" s="1"/>
  <c r="H947" i="1" s="1"/>
  <c r="I947" i="1" s="1"/>
  <c r="F948" i="1"/>
  <c r="G948" i="1" s="1"/>
  <c r="H948" i="1" s="1"/>
  <c r="I948" i="1" s="1"/>
  <c r="F949" i="1"/>
  <c r="G949" i="1" s="1"/>
  <c r="H949" i="1" s="1"/>
  <c r="I949" i="1" s="1"/>
  <c r="F950" i="1"/>
  <c r="G950" i="1" s="1"/>
  <c r="H950" i="1" s="1"/>
  <c r="I950" i="1" s="1"/>
  <c r="F951" i="1"/>
  <c r="G951" i="1" s="1"/>
  <c r="H951" i="1" s="1"/>
  <c r="I951" i="1" s="1"/>
  <c r="F952" i="1"/>
  <c r="G952" i="1" s="1"/>
  <c r="H952" i="1" s="1"/>
  <c r="I952" i="1" s="1"/>
  <c r="F953" i="1"/>
  <c r="G953" i="1" s="1"/>
  <c r="H953" i="1" s="1"/>
  <c r="I953" i="1" s="1"/>
  <c r="F954" i="1"/>
  <c r="G954" i="1" s="1"/>
  <c r="H954" i="1" s="1"/>
  <c r="I954" i="1" s="1"/>
  <c r="F955" i="1"/>
  <c r="G955" i="1" s="1"/>
  <c r="H955" i="1" s="1"/>
  <c r="I955" i="1" s="1"/>
  <c r="F956" i="1"/>
  <c r="G956" i="1" s="1"/>
  <c r="H956" i="1" s="1"/>
  <c r="I956" i="1" s="1"/>
  <c r="F957" i="1"/>
  <c r="G957" i="1" s="1"/>
  <c r="H957" i="1" s="1"/>
  <c r="I957" i="1" s="1"/>
  <c r="F958" i="1"/>
  <c r="G958" i="1" s="1"/>
  <c r="H958" i="1" s="1"/>
  <c r="I958" i="1" s="1"/>
  <c r="F959" i="1"/>
  <c r="G959" i="1" s="1"/>
  <c r="H959" i="1" s="1"/>
  <c r="I959" i="1" s="1"/>
  <c r="F960" i="1"/>
  <c r="G960" i="1" s="1"/>
  <c r="H960" i="1" s="1"/>
  <c r="I960" i="1" s="1"/>
  <c r="F961" i="1"/>
  <c r="G961" i="1" s="1"/>
  <c r="H961" i="1" s="1"/>
  <c r="I961" i="1" s="1"/>
  <c r="F962" i="1"/>
  <c r="G962" i="1" s="1"/>
  <c r="H962" i="1" s="1"/>
  <c r="I962" i="1" s="1"/>
  <c r="F963" i="1"/>
  <c r="G963" i="1" s="1"/>
  <c r="H963" i="1" s="1"/>
  <c r="I963" i="1" s="1"/>
  <c r="F964" i="1"/>
  <c r="G964" i="1" s="1"/>
  <c r="H964" i="1" s="1"/>
  <c r="I964" i="1" s="1"/>
  <c r="F965" i="1"/>
  <c r="G965" i="1" s="1"/>
  <c r="H965" i="1" s="1"/>
  <c r="I965" i="1" s="1"/>
  <c r="F966" i="1"/>
  <c r="G966" i="1" s="1"/>
  <c r="H966" i="1" s="1"/>
  <c r="I966" i="1" s="1"/>
  <c r="F967" i="1"/>
  <c r="G967" i="1" s="1"/>
  <c r="H967" i="1" s="1"/>
  <c r="I967" i="1" s="1"/>
  <c r="F968" i="1"/>
  <c r="G968" i="1" s="1"/>
  <c r="H968" i="1" s="1"/>
  <c r="I968" i="1" s="1"/>
  <c r="F969" i="1"/>
  <c r="G969" i="1" s="1"/>
  <c r="H969" i="1" s="1"/>
  <c r="I969" i="1" s="1"/>
  <c r="F970" i="1"/>
  <c r="G970" i="1" s="1"/>
  <c r="H970" i="1" s="1"/>
  <c r="I970" i="1" s="1"/>
  <c r="F971" i="1"/>
  <c r="G971" i="1" s="1"/>
  <c r="H971" i="1" s="1"/>
  <c r="I971" i="1" s="1"/>
  <c r="F972" i="1"/>
  <c r="G972" i="1" s="1"/>
  <c r="H972" i="1" s="1"/>
  <c r="I972" i="1" s="1"/>
  <c r="F973" i="1"/>
  <c r="G973" i="1" s="1"/>
  <c r="H973" i="1" s="1"/>
  <c r="I973" i="1" s="1"/>
  <c r="F974" i="1"/>
  <c r="G974" i="1" s="1"/>
  <c r="H974" i="1" s="1"/>
  <c r="I974" i="1" s="1"/>
  <c r="F975" i="1"/>
  <c r="G975" i="1" s="1"/>
  <c r="H975" i="1" s="1"/>
  <c r="I975" i="1" s="1"/>
  <c r="F976" i="1"/>
  <c r="G976" i="1" s="1"/>
  <c r="H976" i="1" s="1"/>
  <c r="I976" i="1" s="1"/>
  <c r="F977" i="1"/>
  <c r="G977" i="1" s="1"/>
  <c r="H977" i="1" s="1"/>
  <c r="I977" i="1" s="1"/>
  <c r="F978" i="1"/>
  <c r="G978" i="1" s="1"/>
  <c r="H978" i="1" s="1"/>
  <c r="I978" i="1" s="1"/>
  <c r="F979" i="1"/>
  <c r="G979" i="1" s="1"/>
  <c r="H979" i="1" s="1"/>
  <c r="I979" i="1" s="1"/>
  <c r="F980" i="1"/>
  <c r="G980" i="1" s="1"/>
  <c r="H980" i="1" s="1"/>
  <c r="I980" i="1" s="1"/>
  <c r="F981" i="1"/>
  <c r="G981" i="1" s="1"/>
  <c r="H981" i="1" s="1"/>
  <c r="I981" i="1" s="1"/>
  <c r="F982" i="1"/>
  <c r="G982" i="1" s="1"/>
  <c r="H982" i="1" s="1"/>
  <c r="I982" i="1" s="1"/>
  <c r="F983" i="1"/>
  <c r="G983" i="1" s="1"/>
  <c r="H983" i="1" s="1"/>
  <c r="I983" i="1" s="1"/>
  <c r="F984" i="1"/>
  <c r="G984" i="1" s="1"/>
  <c r="H984" i="1" s="1"/>
  <c r="I984" i="1" s="1"/>
  <c r="F985" i="1"/>
  <c r="G985" i="1" s="1"/>
  <c r="H985" i="1" s="1"/>
  <c r="I985" i="1" s="1"/>
  <c r="F986" i="1"/>
  <c r="G986" i="1" s="1"/>
  <c r="H986" i="1" s="1"/>
  <c r="I986" i="1" s="1"/>
  <c r="F987" i="1"/>
  <c r="G987" i="1" s="1"/>
  <c r="H987" i="1" s="1"/>
  <c r="I987" i="1" s="1"/>
  <c r="F988" i="1"/>
  <c r="G988" i="1" s="1"/>
  <c r="H988" i="1" s="1"/>
  <c r="I988" i="1" s="1"/>
  <c r="F989" i="1"/>
  <c r="G989" i="1" s="1"/>
  <c r="H989" i="1" s="1"/>
  <c r="I989" i="1" s="1"/>
  <c r="F990" i="1"/>
  <c r="G990" i="1" s="1"/>
  <c r="H990" i="1" s="1"/>
  <c r="I990" i="1" s="1"/>
  <c r="F991" i="1"/>
  <c r="G991" i="1" s="1"/>
  <c r="H991" i="1" s="1"/>
  <c r="I991" i="1" s="1"/>
  <c r="F992" i="1"/>
  <c r="G992" i="1" s="1"/>
  <c r="H992" i="1" s="1"/>
  <c r="I992" i="1" s="1"/>
  <c r="F993" i="1"/>
  <c r="G993" i="1" s="1"/>
  <c r="H993" i="1" s="1"/>
  <c r="I993" i="1" s="1"/>
  <c r="F994" i="1"/>
  <c r="G994" i="1" s="1"/>
  <c r="H994" i="1" s="1"/>
  <c r="I994" i="1" s="1"/>
  <c r="F995" i="1"/>
  <c r="G995" i="1" s="1"/>
  <c r="H995" i="1" s="1"/>
  <c r="I995" i="1" s="1"/>
  <c r="F996" i="1"/>
  <c r="G996" i="1" s="1"/>
  <c r="H996" i="1" s="1"/>
  <c r="I996" i="1" s="1"/>
  <c r="F997" i="1"/>
  <c r="G997" i="1" s="1"/>
  <c r="H997" i="1" s="1"/>
  <c r="I997" i="1" s="1"/>
  <c r="F998" i="1"/>
  <c r="G998" i="1" s="1"/>
  <c r="H998" i="1" s="1"/>
  <c r="I998" i="1" s="1"/>
  <c r="F999" i="1"/>
  <c r="G999" i="1" s="1"/>
  <c r="H999" i="1" s="1"/>
  <c r="I999" i="1" s="1"/>
  <c r="F1000" i="1"/>
  <c r="G1000" i="1" s="1"/>
  <c r="H1000" i="1" s="1"/>
  <c r="I1000" i="1" s="1"/>
  <c r="F1001" i="1"/>
  <c r="G1001" i="1" s="1"/>
  <c r="H1001" i="1" s="1"/>
  <c r="I1001" i="1" s="1"/>
  <c r="F1002" i="1"/>
  <c r="G1002" i="1" s="1"/>
  <c r="H1002" i="1" s="1"/>
  <c r="I1002" i="1" s="1"/>
  <c r="F1003" i="1"/>
  <c r="G1003" i="1" s="1"/>
  <c r="H1003" i="1" s="1"/>
  <c r="I1003" i="1" s="1"/>
  <c r="F1004" i="1"/>
  <c r="G1004" i="1" s="1"/>
  <c r="H1004" i="1" s="1"/>
  <c r="I1004" i="1" s="1"/>
  <c r="F1005" i="1"/>
  <c r="G1005" i="1" s="1"/>
  <c r="H1005" i="1" s="1"/>
  <c r="I1005" i="1" s="1"/>
  <c r="F1006" i="1"/>
  <c r="G1006" i="1" s="1"/>
  <c r="H1006" i="1" s="1"/>
  <c r="I1006" i="1" s="1"/>
  <c r="F4" i="1"/>
  <c r="F7" i="1"/>
  <c r="G7" i="1" s="1"/>
  <c r="H7" i="1" s="1"/>
  <c r="I7" i="1" s="1"/>
  <c r="C16" i="1"/>
  <c r="C12" i="1"/>
  <c r="G15" i="5" a="1"/>
  <c r="G9" i="5" a="1"/>
  <c r="G12" i="5" a="1"/>
  <c r="L9" i="5" a="1"/>
  <c r="G15" i="5" l="1"/>
  <c r="G9" i="5"/>
  <c r="G12" i="5"/>
  <c r="L9" i="5"/>
  <c r="J299" i="4"/>
  <c r="L299" i="4" s="1"/>
  <c r="M299" i="4" s="1"/>
  <c r="J275" i="4"/>
  <c r="L275" i="4" s="1"/>
  <c r="M275" i="4" s="1"/>
  <c r="J259" i="4"/>
  <c r="L259" i="4" s="1"/>
  <c r="M259" i="4" s="1"/>
  <c r="J171" i="4"/>
  <c r="L171" i="4" s="1"/>
  <c r="M171" i="4" s="1"/>
  <c r="J131" i="4"/>
  <c r="L131" i="4" s="1"/>
  <c r="J83" i="4"/>
  <c r="L83" i="4" s="1"/>
  <c r="J67" i="4"/>
  <c r="L67" i="4" s="1"/>
  <c r="J59" i="4"/>
  <c r="L59" i="4" s="1"/>
  <c r="M59" i="4" s="1"/>
  <c r="J43" i="4"/>
  <c r="L43" i="4" s="1"/>
  <c r="M43" i="4" s="1"/>
  <c r="J659" i="4"/>
  <c r="L659" i="4" s="1"/>
  <c r="M659" i="4" s="1"/>
  <c r="J251" i="4"/>
  <c r="L251" i="4" s="1"/>
  <c r="M251" i="4" s="1"/>
  <c r="J107" i="4"/>
  <c r="L107" i="4" s="1"/>
  <c r="M107" i="4" s="1"/>
  <c r="J19" i="4"/>
  <c r="L19" i="4" s="1"/>
  <c r="J716" i="4"/>
  <c r="L716" i="4" s="1"/>
  <c r="J972" i="4"/>
  <c r="L972" i="4" s="1"/>
  <c r="J955" i="4"/>
  <c r="L955" i="4" s="1"/>
  <c r="M955" i="4" s="1"/>
  <c r="J237" i="4"/>
  <c r="L237" i="4" s="1"/>
  <c r="M237" i="4" s="1"/>
  <c r="J780" i="4"/>
  <c r="L780" i="4" s="1"/>
  <c r="M780" i="4" s="1"/>
  <c r="J196" i="4"/>
  <c r="L196" i="4" s="1"/>
  <c r="M196" i="4" s="1"/>
  <c r="J660" i="4"/>
  <c r="L660" i="4" s="1"/>
  <c r="M660" i="4" s="1"/>
  <c r="J492" i="4"/>
  <c r="L492" i="4" s="1"/>
  <c r="J451" i="4"/>
  <c r="L451" i="4" s="1"/>
  <c r="J443" i="4"/>
  <c r="L443" i="4" s="1"/>
  <c r="M443" i="4" s="1"/>
  <c r="J763" i="4"/>
  <c r="L763" i="4" s="1"/>
  <c r="M763" i="4" s="1"/>
  <c r="J890" i="4"/>
  <c r="L890" i="4" s="1"/>
  <c r="M890" i="4" s="1"/>
  <c r="J530" i="4"/>
  <c r="L530" i="4" s="1"/>
  <c r="M530" i="4" s="1"/>
  <c r="J134" i="4"/>
  <c r="L134" i="4" s="1"/>
  <c r="M134" i="4" s="1"/>
  <c r="J106" i="4"/>
  <c r="L106" i="4" s="1"/>
  <c r="M106" i="4" s="1"/>
  <c r="J245" i="4"/>
  <c r="L245" i="4" s="1"/>
  <c r="J946" i="4"/>
  <c r="L946" i="4" s="1"/>
  <c r="J882" i="4"/>
  <c r="L882" i="4" s="1"/>
  <c r="J818" i="4"/>
  <c r="L818" i="4" s="1"/>
  <c r="M818" i="4" s="1"/>
  <c r="J754" i="4"/>
  <c r="L754" i="4" s="1"/>
  <c r="M754" i="4" s="1"/>
  <c r="J690" i="4"/>
  <c r="L690" i="4" s="1"/>
  <c r="M690" i="4" s="1"/>
  <c r="J670" i="4"/>
  <c r="L670" i="4" s="1"/>
  <c r="M670" i="4" s="1"/>
  <c r="J618" i="4"/>
  <c r="L618" i="4" s="1"/>
  <c r="M618" i="4" s="1"/>
  <c r="J614" i="4"/>
  <c r="L614" i="4" s="1"/>
  <c r="J582" i="4"/>
  <c r="L582" i="4" s="1"/>
  <c r="J518" i="4"/>
  <c r="L518" i="4" s="1"/>
  <c r="J502" i="4"/>
  <c r="L502" i="4" s="1"/>
  <c r="M502" i="4" s="1"/>
  <c r="J418" i="4"/>
  <c r="L418" i="4" s="1"/>
  <c r="J414" i="4"/>
  <c r="L414" i="4" s="1"/>
  <c r="M414" i="4" s="1"/>
  <c r="J390" i="4"/>
  <c r="L390" i="4" s="1"/>
  <c r="M390" i="4" s="1"/>
  <c r="J326" i="4"/>
  <c r="L326" i="4" s="1"/>
  <c r="M326" i="4" s="1"/>
  <c r="J246" i="4"/>
  <c r="L246" i="4" s="1"/>
  <c r="M246" i="4" s="1"/>
  <c r="J206" i="4"/>
  <c r="L206" i="4" s="1"/>
  <c r="J146" i="4"/>
  <c r="L146" i="4" s="1"/>
  <c r="J82" i="4"/>
  <c r="L82" i="4" s="1"/>
  <c r="M82" i="4" s="1"/>
  <c r="J54" i="4"/>
  <c r="L54" i="4" s="1"/>
  <c r="M54" i="4" s="1"/>
  <c r="J38" i="4"/>
  <c r="L38" i="4" s="1"/>
  <c r="M38" i="4" s="1"/>
  <c r="J986" i="4"/>
  <c r="L986" i="4" s="1"/>
  <c r="M986" i="4" s="1"/>
  <c r="J891" i="4"/>
  <c r="L891" i="4" s="1"/>
  <c r="M891" i="4" s="1"/>
  <c r="J786" i="4"/>
  <c r="L786" i="4" s="1"/>
  <c r="J698" i="4"/>
  <c r="L698" i="4" s="1"/>
  <c r="J566" i="4"/>
  <c r="L566" i="4" s="1"/>
  <c r="J477" i="4"/>
  <c r="L477" i="4" s="1"/>
  <c r="M477" i="4" s="1"/>
  <c r="J378" i="4"/>
  <c r="L378" i="4" s="1"/>
  <c r="M378" i="4" s="1"/>
  <c r="J221" i="4"/>
  <c r="L221" i="4" s="1"/>
  <c r="M221" i="4" s="1"/>
  <c r="J142" i="4"/>
  <c r="L142" i="4" s="1"/>
  <c r="M142" i="4" s="1"/>
  <c r="J978" i="4"/>
  <c r="L978" i="4" s="1"/>
  <c r="M978" i="4" s="1"/>
  <c r="J258" i="4"/>
  <c r="L258" i="4" s="1"/>
  <c r="J338" i="4"/>
  <c r="L338" i="4" s="1"/>
  <c r="J850" i="4"/>
  <c r="L850" i="4" s="1"/>
  <c r="J517" i="4"/>
  <c r="L517" i="4" s="1"/>
  <c r="M517" i="4" s="1"/>
  <c r="J954" i="4"/>
  <c r="L954" i="4" s="1"/>
  <c r="M954" i="4" s="1"/>
  <c r="J844" i="4"/>
  <c r="L844" i="4" s="1"/>
  <c r="M844" i="4" s="1"/>
  <c r="J730" i="4"/>
  <c r="L730" i="4" s="1"/>
  <c r="M730" i="4" s="1"/>
  <c r="J634" i="4"/>
  <c r="L634" i="4" s="1"/>
  <c r="M634" i="4" s="1"/>
  <c r="J501" i="4"/>
  <c r="L501" i="4" s="1"/>
  <c r="J426" i="4"/>
  <c r="L426" i="4" s="1"/>
  <c r="J294" i="4"/>
  <c r="L294" i="4" s="1"/>
  <c r="J234" i="4"/>
  <c r="L234" i="4" s="1"/>
  <c r="M234" i="4" s="1"/>
  <c r="J182" i="4"/>
  <c r="L182" i="4" s="1"/>
  <c r="M182" i="4" s="1"/>
  <c r="J98" i="4"/>
  <c r="L98" i="4" s="1"/>
  <c r="N98" i="4" s="1"/>
  <c r="J210" i="4"/>
  <c r="L210" i="4" s="1"/>
  <c r="M210" i="4" s="1"/>
  <c r="J450" i="4"/>
  <c r="L450" i="4" s="1"/>
  <c r="J198" i="4"/>
  <c r="L198" i="4" s="1"/>
  <c r="J102" i="4"/>
  <c r="L102" i="4" s="1"/>
  <c r="J922" i="4"/>
  <c r="L922" i="4" s="1"/>
  <c r="M922" i="4" s="1"/>
  <c r="J827" i="4"/>
  <c r="L827" i="4" s="1"/>
  <c r="M827" i="4" s="1"/>
  <c r="J722" i="4"/>
  <c r="L722" i="4" s="1"/>
  <c r="M722" i="4" s="1"/>
  <c r="J630" i="4"/>
  <c r="L630" i="4" s="1"/>
  <c r="M630" i="4" s="1"/>
  <c r="J493" i="4"/>
  <c r="L493" i="4" s="1"/>
  <c r="M493" i="4" s="1"/>
  <c r="J422" i="4"/>
  <c r="L422" i="4" s="1"/>
  <c r="M422" i="4" s="1"/>
  <c r="J290" i="4"/>
  <c r="L290" i="4" s="1"/>
  <c r="J230" i="4"/>
  <c r="L230" i="4" s="1"/>
  <c r="J172" i="4"/>
  <c r="L172" i="4" s="1"/>
  <c r="J94" i="4"/>
  <c r="L94" i="4" s="1"/>
  <c r="M94" i="4" s="1"/>
  <c r="J350" i="4"/>
  <c r="L350" i="4" s="1"/>
  <c r="M350" i="4" s="1"/>
  <c r="J858" i="4"/>
  <c r="L858" i="4" s="1"/>
  <c r="M858" i="4" s="1"/>
  <c r="J526" i="4"/>
  <c r="L526" i="4" s="1"/>
  <c r="M526" i="4" s="1"/>
  <c r="J250" i="4"/>
  <c r="L250" i="4" s="1"/>
  <c r="J658" i="4"/>
  <c r="L658" i="4" s="1"/>
  <c r="J334" i="4"/>
  <c r="L334" i="4" s="1"/>
  <c r="J914" i="4"/>
  <c r="L914" i="4" s="1"/>
  <c r="M914" i="4" s="1"/>
  <c r="J826" i="4"/>
  <c r="L826" i="4" s="1"/>
  <c r="M826" i="4" s="1"/>
  <c r="J578" i="4"/>
  <c r="L578" i="4" s="1"/>
  <c r="M578" i="4" s="1"/>
  <c r="J386" i="4"/>
  <c r="L386" i="4" s="1"/>
  <c r="M386" i="4" s="1"/>
  <c r="J286" i="4"/>
  <c r="L286" i="4" s="1"/>
  <c r="M286" i="4" s="1"/>
  <c r="J226" i="4"/>
  <c r="L226" i="4" s="1"/>
  <c r="M226" i="4" s="1"/>
  <c r="J58" i="4"/>
  <c r="L58" i="4" s="1"/>
  <c r="J762" i="4"/>
  <c r="L762" i="4" s="1"/>
  <c r="J908" i="4"/>
  <c r="L908" i="4" s="1"/>
  <c r="J794" i="4"/>
  <c r="L794" i="4" s="1"/>
  <c r="M794" i="4" s="1"/>
  <c r="J699" i="4"/>
  <c r="L699" i="4" s="1"/>
  <c r="M699" i="4" s="1"/>
  <c r="J570" i="4"/>
  <c r="L570" i="4" s="1"/>
  <c r="M570" i="4" s="1"/>
  <c r="J478" i="4"/>
  <c r="L478" i="4" s="1"/>
  <c r="M478" i="4" s="1"/>
  <c r="J379" i="4"/>
  <c r="L379" i="4" s="1"/>
  <c r="M379" i="4" s="1"/>
  <c r="J274" i="4"/>
  <c r="L274" i="4" s="1"/>
  <c r="J222" i="4"/>
  <c r="L222" i="4" s="1"/>
  <c r="J170" i="4"/>
  <c r="L170" i="4" s="1"/>
  <c r="J42" i="4"/>
  <c r="L42" i="4" s="1"/>
  <c r="M42" i="4" s="1"/>
  <c r="I700" i="4"/>
  <c r="K700" i="4" s="1"/>
  <c r="J700" i="4"/>
  <c r="L700" i="4" s="1"/>
  <c r="I428" i="4"/>
  <c r="K428" i="4" s="1"/>
  <c r="J428" i="4"/>
  <c r="L428" i="4" s="1"/>
  <c r="I236" i="4"/>
  <c r="K236" i="4" s="1"/>
  <c r="J236" i="4"/>
  <c r="L236" i="4" s="1"/>
  <c r="I1003" i="4"/>
  <c r="K1003" i="4" s="1"/>
  <c r="J1003" i="4"/>
  <c r="L1003" i="4" s="1"/>
  <c r="I971" i="4"/>
  <c r="K971" i="4" s="1"/>
  <c r="J971" i="4"/>
  <c r="L971" i="4" s="1"/>
  <c r="I939" i="4"/>
  <c r="K939" i="4" s="1"/>
  <c r="J939" i="4"/>
  <c r="L939" i="4" s="1"/>
  <c r="I907" i="4"/>
  <c r="K907" i="4" s="1"/>
  <c r="J907" i="4"/>
  <c r="L907" i="4" s="1"/>
  <c r="I875" i="4"/>
  <c r="K875" i="4" s="1"/>
  <c r="J875" i="4"/>
  <c r="L875" i="4" s="1"/>
  <c r="I843" i="4"/>
  <c r="K843" i="4" s="1"/>
  <c r="J843" i="4"/>
  <c r="L843" i="4" s="1"/>
  <c r="I811" i="4"/>
  <c r="K811" i="4" s="1"/>
  <c r="J811" i="4"/>
  <c r="L811" i="4" s="1"/>
  <c r="I779" i="4"/>
  <c r="K779" i="4" s="1"/>
  <c r="J779" i="4"/>
  <c r="L779" i="4" s="1"/>
  <c r="I747" i="4"/>
  <c r="K747" i="4" s="1"/>
  <c r="J747" i="4"/>
  <c r="L747" i="4" s="1"/>
  <c r="I715" i="4"/>
  <c r="K715" i="4" s="1"/>
  <c r="J715" i="4"/>
  <c r="L715" i="4" s="1"/>
  <c r="I683" i="4"/>
  <c r="K683" i="4" s="1"/>
  <c r="J683" i="4"/>
  <c r="L683" i="4" s="1"/>
  <c r="I635" i="4"/>
  <c r="K635" i="4" s="1"/>
  <c r="J635" i="4"/>
  <c r="L635" i="4" s="1"/>
  <c r="I515" i="4"/>
  <c r="K515" i="4" s="1"/>
  <c r="J515" i="4"/>
  <c r="L515" i="4" s="1"/>
  <c r="I491" i="4"/>
  <c r="K491" i="4" s="1"/>
  <c r="J491" i="4"/>
  <c r="L491" i="4" s="1"/>
  <c r="I467" i="4"/>
  <c r="K467" i="4" s="1"/>
  <c r="J467" i="4"/>
  <c r="L467" i="4" s="1"/>
  <c r="I427" i="4"/>
  <c r="K427" i="4" s="1"/>
  <c r="J427" i="4"/>
  <c r="L427" i="4" s="1"/>
  <c r="I403" i="4"/>
  <c r="K403" i="4" s="1"/>
  <c r="J403" i="4"/>
  <c r="L403" i="4" s="1"/>
  <c r="I235" i="4"/>
  <c r="K235" i="4" s="1"/>
  <c r="J235" i="4"/>
  <c r="L235" i="4" s="1"/>
  <c r="I211" i="4"/>
  <c r="K211" i="4" s="1"/>
  <c r="J211" i="4"/>
  <c r="L211" i="4" s="1"/>
  <c r="I195" i="4"/>
  <c r="K195" i="4" s="1"/>
  <c r="J195" i="4"/>
  <c r="L195" i="4" s="1"/>
  <c r="I187" i="4"/>
  <c r="K187" i="4" s="1"/>
  <c r="J187" i="4"/>
  <c r="L187" i="4" s="1"/>
  <c r="I123" i="4"/>
  <c r="K123" i="4" s="1"/>
  <c r="J123" i="4"/>
  <c r="L123" i="4" s="1"/>
  <c r="J476" i="4"/>
  <c r="L476" i="4" s="1"/>
  <c r="M476" i="4" s="1"/>
  <c r="J147" i="4"/>
  <c r="L147" i="4" s="1"/>
  <c r="M147" i="4" s="1"/>
  <c r="I924" i="4"/>
  <c r="K924" i="4" s="1"/>
  <c r="J924" i="4"/>
  <c r="L924" i="4" s="1"/>
  <c r="I796" i="4"/>
  <c r="K796" i="4" s="1"/>
  <c r="J796" i="4"/>
  <c r="L796" i="4" s="1"/>
  <c r="I764" i="4"/>
  <c r="K764" i="4" s="1"/>
  <c r="J764" i="4"/>
  <c r="L764" i="4" s="1"/>
  <c r="I732" i="4"/>
  <c r="K732" i="4" s="1"/>
  <c r="J732" i="4"/>
  <c r="L732" i="4" s="1"/>
  <c r="J1004" i="4"/>
  <c r="L1004" i="4" s="1"/>
  <c r="J940" i="4"/>
  <c r="L940" i="4" s="1"/>
  <c r="J876" i="4"/>
  <c r="L876" i="4" s="1"/>
  <c r="J812" i="4"/>
  <c r="L812" i="4" s="1"/>
  <c r="M812" i="4" s="1"/>
  <c r="J748" i="4"/>
  <c r="L748" i="4" s="1"/>
  <c r="M748" i="4" s="1"/>
  <c r="J684" i="4"/>
  <c r="L684" i="4" s="1"/>
  <c r="M684" i="4" s="1"/>
  <c r="J468" i="4"/>
  <c r="L468" i="4" s="1"/>
  <c r="M468" i="4" s="1"/>
  <c r="I988" i="4"/>
  <c r="K988" i="4" s="1"/>
  <c r="J988" i="4"/>
  <c r="L988" i="4" s="1"/>
  <c r="I956" i="4"/>
  <c r="K956" i="4" s="1"/>
  <c r="J956" i="4"/>
  <c r="L956" i="4" s="1"/>
  <c r="I892" i="4"/>
  <c r="K892" i="4" s="1"/>
  <c r="J892" i="4"/>
  <c r="L892" i="4" s="1"/>
  <c r="I860" i="4"/>
  <c r="K860" i="4" s="1"/>
  <c r="J860" i="4"/>
  <c r="L860" i="4" s="1"/>
  <c r="I828" i="4"/>
  <c r="K828" i="4" s="1"/>
  <c r="J828" i="4"/>
  <c r="L828" i="4" s="1"/>
  <c r="I516" i="4"/>
  <c r="K516" i="4" s="1"/>
  <c r="J516" i="4"/>
  <c r="L516" i="4" s="1"/>
  <c r="I404" i="4"/>
  <c r="K404" i="4" s="1"/>
  <c r="J404" i="4"/>
  <c r="L404" i="4" s="1"/>
  <c r="I260" i="4"/>
  <c r="K260" i="4" s="1"/>
  <c r="J260" i="4"/>
  <c r="L260" i="4" s="1"/>
  <c r="I220" i="4"/>
  <c r="K220" i="4" s="1"/>
  <c r="J220" i="4"/>
  <c r="L220" i="4" s="1"/>
  <c r="I212" i="4"/>
  <c r="K212" i="4" s="1"/>
  <c r="J212" i="4"/>
  <c r="L212" i="4" s="1"/>
  <c r="I148" i="4"/>
  <c r="K148" i="4" s="1"/>
  <c r="J148" i="4"/>
  <c r="L148" i="4" s="1"/>
  <c r="J987" i="4"/>
  <c r="L987" i="4" s="1"/>
  <c r="M987" i="4" s="1"/>
  <c r="J923" i="4"/>
  <c r="L923" i="4" s="1"/>
  <c r="M923" i="4" s="1"/>
  <c r="J859" i="4"/>
  <c r="L859" i="4" s="1"/>
  <c r="M859" i="4" s="1"/>
  <c r="J795" i="4"/>
  <c r="L795" i="4" s="1"/>
  <c r="J731" i="4"/>
  <c r="L731" i="4" s="1"/>
  <c r="J452" i="4"/>
  <c r="L452" i="4" s="1"/>
  <c r="J654" i="4"/>
  <c r="L654" i="4" s="1"/>
  <c r="M654" i="4" s="1"/>
  <c r="J610" i="4"/>
  <c r="L610" i="4" s="1"/>
  <c r="J554" i="4"/>
  <c r="L554" i="4" s="1"/>
  <c r="M554" i="4" s="1"/>
  <c r="J442" i="4"/>
  <c r="L442" i="4" s="1"/>
  <c r="M442" i="4" s="1"/>
  <c r="J374" i="4"/>
  <c r="L374" i="4" s="1"/>
  <c r="M374" i="4" s="1"/>
  <c r="J322" i="4"/>
  <c r="L322" i="4" s="1"/>
  <c r="J270" i="4"/>
  <c r="L270" i="4" s="1"/>
  <c r="J166" i="4"/>
  <c r="L166" i="4" s="1"/>
  <c r="J130" i="4"/>
  <c r="L130" i="4" s="1"/>
  <c r="J34" i="4"/>
  <c r="L34" i="4" s="1"/>
  <c r="M34" i="4" s="1"/>
  <c r="J1002" i="4"/>
  <c r="L1002" i="4" s="1"/>
  <c r="M1002" i="4" s="1"/>
  <c r="J970" i="4"/>
  <c r="L970" i="4" s="1"/>
  <c r="M970" i="4" s="1"/>
  <c r="J938" i="4"/>
  <c r="L938" i="4" s="1"/>
  <c r="M938" i="4" s="1"/>
  <c r="J906" i="4"/>
  <c r="L906" i="4" s="1"/>
  <c r="J874" i="4"/>
  <c r="L874" i="4" s="1"/>
  <c r="J842" i="4"/>
  <c r="L842" i="4" s="1"/>
  <c r="J810" i="4"/>
  <c r="L810" i="4" s="1"/>
  <c r="M810" i="4" s="1"/>
  <c r="J778" i="4"/>
  <c r="L778" i="4" s="1"/>
  <c r="M778" i="4" s="1"/>
  <c r="J746" i="4"/>
  <c r="L746" i="4" s="1"/>
  <c r="M746" i="4" s="1"/>
  <c r="J714" i="4"/>
  <c r="L714" i="4" s="1"/>
  <c r="M714" i="4" s="1"/>
  <c r="J682" i="4"/>
  <c r="L682" i="4" s="1"/>
  <c r="M682" i="4" s="1"/>
  <c r="J646" i="4"/>
  <c r="L646" i="4" s="1"/>
  <c r="J606" i="4"/>
  <c r="L606" i="4" s="1"/>
  <c r="J550" i="4"/>
  <c r="L550" i="4" s="1"/>
  <c r="J490" i="4"/>
  <c r="L490" i="4" s="1"/>
  <c r="M490" i="4" s="1"/>
  <c r="J466" i="4"/>
  <c r="L466" i="4" s="1"/>
  <c r="M466" i="4" s="1"/>
  <c r="J438" i="4"/>
  <c r="L438" i="4" s="1"/>
  <c r="M438" i="4" s="1"/>
  <c r="J362" i="4"/>
  <c r="L362" i="4" s="1"/>
  <c r="M362" i="4" s="1"/>
  <c r="J314" i="4"/>
  <c r="L314" i="4" s="1"/>
  <c r="M314" i="4" s="1"/>
  <c r="J262" i="4"/>
  <c r="L262" i="4" s="1"/>
  <c r="J194" i="4"/>
  <c r="L194" i="4" s="1"/>
  <c r="J162" i="4"/>
  <c r="L162" i="4" s="1"/>
  <c r="J78" i="4"/>
  <c r="L78" i="4" s="1"/>
  <c r="M78" i="4" s="1"/>
  <c r="J30" i="4"/>
  <c r="L30" i="4" s="1"/>
  <c r="M30" i="4" s="1"/>
  <c r="J994" i="4"/>
  <c r="L994" i="4" s="1"/>
  <c r="M994" i="4" s="1"/>
  <c r="J962" i="4"/>
  <c r="L962" i="4" s="1"/>
  <c r="M962" i="4" s="1"/>
  <c r="J930" i="4"/>
  <c r="L930" i="4" s="1"/>
  <c r="M930" i="4" s="1"/>
  <c r="J898" i="4"/>
  <c r="L898" i="4" s="1"/>
  <c r="J866" i="4"/>
  <c r="L866" i="4" s="1"/>
  <c r="M866" i="4" s="1"/>
  <c r="J834" i="4"/>
  <c r="L834" i="4" s="1"/>
  <c r="J802" i="4"/>
  <c r="L802" i="4" s="1"/>
  <c r="M802" i="4" s="1"/>
  <c r="J770" i="4"/>
  <c r="L770" i="4" s="1"/>
  <c r="M770" i="4" s="1"/>
  <c r="J738" i="4"/>
  <c r="L738" i="4" s="1"/>
  <c r="J706" i="4"/>
  <c r="L706" i="4" s="1"/>
  <c r="M706" i="4" s="1"/>
  <c r="J678" i="4"/>
  <c r="L678" i="4" s="1"/>
  <c r="M678" i="4" s="1"/>
  <c r="J642" i="4"/>
  <c r="L642" i="4" s="1"/>
  <c r="J594" i="4"/>
  <c r="L594" i="4" s="1"/>
  <c r="J546" i="4"/>
  <c r="L546" i="4" s="1"/>
  <c r="J514" i="4"/>
  <c r="L514" i="4" s="1"/>
  <c r="M514" i="4" s="1"/>
  <c r="J486" i="4"/>
  <c r="L486" i="4" s="1"/>
  <c r="M486" i="4" s="1"/>
  <c r="J462" i="4"/>
  <c r="L462" i="4" s="1"/>
  <c r="M462" i="4" s="1"/>
  <c r="J402" i="4"/>
  <c r="L402" i="4" s="1"/>
  <c r="M402" i="4" s="1"/>
  <c r="J358" i="4"/>
  <c r="L358" i="4" s="1"/>
  <c r="M358" i="4" s="1"/>
  <c r="J310" i="4"/>
  <c r="L310" i="4" s="1"/>
  <c r="J261" i="4"/>
  <c r="L261" i="4" s="1"/>
  <c r="J158" i="4"/>
  <c r="L158" i="4" s="1"/>
  <c r="J122" i="4"/>
  <c r="L122" i="4" s="1"/>
  <c r="M122" i="4" s="1"/>
  <c r="J70" i="4"/>
  <c r="L70" i="4" s="1"/>
  <c r="M70" i="4" s="1"/>
  <c r="J18" i="4"/>
  <c r="L18" i="4" s="1"/>
  <c r="M18" i="4" s="1"/>
  <c r="J540" i="4"/>
  <c r="L540" i="4" s="1"/>
  <c r="M540" i="4" s="1"/>
  <c r="J284" i="4"/>
  <c r="L284" i="4" s="1"/>
  <c r="M284" i="4" s="1"/>
  <c r="J28" i="4"/>
  <c r="L28" i="4" s="1"/>
  <c r="J674" i="4"/>
  <c r="L674" i="4" s="1"/>
  <c r="J590" i="4"/>
  <c r="L590" i="4" s="1"/>
  <c r="J542" i="4"/>
  <c r="L542" i="4" s="1"/>
  <c r="M542" i="4" s="1"/>
  <c r="J506" i="4"/>
  <c r="L506" i="4" s="1"/>
  <c r="M506" i="4" s="1"/>
  <c r="J482" i="4"/>
  <c r="L482" i="4" s="1"/>
  <c r="M482" i="4" s="1"/>
  <c r="J454" i="4"/>
  <c r="L454" i="4" s="1"/>
  <c r="M454" i="4" s="1"/>
  <c r="J398" i="4"/>
  <c r="L398" i="4" s="1"/>
  <c r="M398" i="4" s="1"/>
  <c r="J354" i="4"/>
  <c r="L354" i="4" s="1"/>
  <c r="J298" i="4"/>
  <c r="L298" i="4" s="1"/>
  <c r="J186" i="4"/>
  <c r="L186" i="4" s="1"/>
  <c r="J118" i="4"/>
  <c r="L118" i="4" s="1"/>
  <c r="M118" i="4" s="1"/>
  <c r="J66" i="4"/>
  <c r="L66" i="4" s="1"/>
  <c r="M66" i="4" s="1"/>
  <c r="J14" i="4"/>
  <c r="L14" i="4" s="1"/>
  <c r="N14" i="4" s="1"/>
  <c r="I993" i="4"/>
  <c r="K993" i="4" s="1"/>
  <c r="J993" i="4"/>
  <c r="L993" i="4" s="1"/>
  <c r="I929" i="4"/>
  <c r="K929" i="4" s="1"/>
  <c r="J929" i="4"/>
  <c r="L929" i="4" s="1"/>
  <c r="I849" i="4"/>
  <c r="K849" i="4" s="1"/>
  <c r="J849" i="4"/>
  <c r="L849" i="4" s="1"/>
  <c r="I833" i="4"/>
  <c r="K833" i="4" s="1"/>
  <c r="J833" i="4"/>
  <c r="L833" i="4" s="1"/>
  <c r="I721" i="4"/>
  <c r="K721" i="4" s="1"/>
  <c r="J721" i="4"/>
  <c r="L721" i="4" s="1"/>
  <c r="I705" i="4"/>
  <c r="K705" i="4" s="1"/>
  <c r="J705" i="4"/>
  <c r="L705" i="4" s="1"/>
  <c r="I689" i="4"/>
  <c r="K689" i="4" s="1"/>
  <c r="J689" i="4"/>
  <c r="L689" i="4" s="1"/>
  <c r="I673" i="4"/>
  <c r="K673" i="4" s="1"/>
  <c r="J673" i="4"/>
  <c r="L673" i="4" s="1"/>
  <c r="I653" i="4"/>
  <c r="K653" i="4" s="1"/>
  <c r="J653" i="4"/>
  <c r="L653" i="4" s="1"/>
  <c r="I585" i="4"/>
  <c r="K585" i="4" s="1"/>
  <c r="J585" i="4"/>
  <c r="L585" i="4" s="1"/>
  <c r="I569" i="4"/>
  <c r="K569" i="4" s="1"/>
  <c r="J569" i="4"/>
  <c r="L569" i="4" s="1"/>
  <c r="I549" i="4"/>
  <c r="K549" i="4" s="1"/>
  <c r="J549" i="4"/>
  <c r="L549" i="4" s="1"/>
  <c r="I529" i="4"/>
  <c r="K529" i="4" s="1"/>
  <c r="J529" i="4"/>
  <c r="L529" i="4" s="1"/>
  <c r="I513" i="4"/>
  <c r="K513" i="4" s="1"/>
  <c r="J513" i="4"/>
  <c r="L513" i="4" s="1"/>
  <c r="I497" i="4"/>
  <c r="K497" i="4" s="1"/>
  <c r="J497" i="4"/>
  <c r="L497" i="4" s="1"/>
  <c r="I481" i="4"/>
  <c r="K481" i="4" s="1"/>
  <c r="J481" i="4"/>
  <c r="L481" i="4" s="1"/>
  <c r="I421" i="4"/>
  <c r="K421" i="4" s="1"/>
  <c r="J421" i="4"/>
  <c r="L421" i="4" s="1"/>
  <c r="I401" i="4"/>
  <c r="K401" i="4" s="1"/>
  <c r="J401" i="4"/>
  <c r="L401" i="4" s="1"/>
  <c r="I385" i="4"/>
  <c r="K385" i="4" s="1"/>
  <c r="J385" i="4"/>
  <c r="L385" i="4" s="1"/>
  <c r="I369" i="4"/>
  <c r="K369" i="4" s="1"/>
  <c r="J369" i="4"/>
  <c r="L369" i="4" s="1"/>
  <c r="I353" i="4"/>
  <c r="K353" i="4" s="1"/>
  <c r="J353" i="4"/>
  <c r="L353" i="4" s="1"/>
  <c r="I337" i="4"/>
  <c r="K337" i="4" s="1"/>
  <c r="J337" i="4"/>
  <c r="L337" i="4" s="1"/>
  <c r="I321" i="4"/>
  <c r="K321" i="4" s="1"/>
  <c r="J321" i="4"/>
  <c r="L321" i="4" s="1"/>
  <c r="I305" i="4"/>
  <c r="K305" i="4" s="1"/>
  <c r="J305" i="4"/>
  <c r="L305" i="4" s="1"/>
  <c r="I269" i="4"/>
  <c r="K269" i="4" s="1"/>
  <c r="J269" i="4"/>
  <c r="L269" i="4" s="1"/>
  <c r="I229" i="4"/>
  <c r="K229" i="4" s="1"/>
  <c r="J229" i="4"/>
  <c r="L229" i="4" s="1"/>
  <c r="I209" i="4"/>
  <c r="K209" i="4" s="1"/>
  <c r="J209" i="4"/>
  <c r="L209" i="4" s="1"/>
  <c r="I189" i="4"/>
  <c r="K189" i="4" s="1"/>
  <c r="J189" i="4"/>
  <c r="L189" i="4" s="1"/>
  <c r="I177" i="4"/>
  <c r="K177" i="4" s="1"/>
  <c r="J177" i="4"/>
  <c r="L177" i="4" s="1"/>
  <c r="I141" i="4"/>
  <c r="K141" i="4" s="1"/>
  <c r="J141" i="4"/>
  <c r="L141" i="4" s="1"/>
  <c r="I77" i="4"/>
  <c r="K77" i="4" s="1"/>
  <c r="J77" i="4"/>
  <c r="L77" i="4" s="1"/>
  <c r="I37" i="4"/>
  <c r="K37" i="4" s="1"/>
  <c r="J37" i="4"/>
  <c r="L37" i="4" s="1"/>
  <c r="I13" i="4"/>
  <c r="K13" i="4" s="1"/>
  <c r="J13" i="4"/>
  <c r="L13" i="4" s="1"/>
  <c r="J789" i="4"/>
  <c r="L789" i="4" s="1"/>
  <c r="I1000" i="4"/>
  <c r="K1000" i="4" s="1"/>
  <c r="J1000" i="4"/>
  <c r="L1000" i="4" s="1"/>
  <c r="I992" i="4"/>
  <c r="K992" i="4" s="1"/>
  <c r="J992" i="4"/>
  <c r="L992" i="4" s="1"/>
  <c r="I984" i="4"/>
  <c r="K984" i="4" s="1"/>
  <c r="J984" i="4"/>
  <c r="L984" i="4" s="1"/>
  <c r="I976" i="4"/>
  <c r="K976" i="4" s="1"/>
  <c r="J976" i="4"/>
  <c r="L976" i="4" s="1"/>
  <c r="I968" i="4"/>
  <c r="K968" i="4" s="1"/>
  <c r="J968" i="4"/>
  <c r="L968" i="4" s="1"/>
  <c r="I960" i="4"/>
  <c r="K960" i="4" s="1"/>
  <c r="J960" i="4"/>
  <c r="L960" i="4" s="1"/>
  <c r="I952" i="4"/>
  <c r="K952" i="4" s="1"/>
  <c r="J952" i="4"/>
  <c r="L952" i="4" s="1"/>
  <c r="I944" i="4"/>
  <c r="K944" i="4" s="1"/>
  <c r="J944" i="4"/>
  <c r="L944" i="4" s="1"/>
  <c r="I936" i="4"/>
  <c r="K936" i="4" s="1"/>
  <c r="J936" i="4"/>
  <c r="L936" i="4" s="1"/>
  <c r="I928" i="4"/>
  <c r="K928" i="4" s="1"/>
  <c r="J928" i="4"/>
  <c r="L928" i="4" s="1"/>
  <c r="I920" i="4"/>
  <c r="K920" i="4" s="1"/>
  <c r="J920" i="4"/>
  <c r="L920" i="4" s="1"/>
  <c r="I912" i="4"/>
  <c r="K912" i="4" s="1"/>
  <c r="J912" i="4"/>
  <c r="L912" i="4" s="1"/>
  <c r="I904" i="4"/>
  <c r="K904" i="4" s="1"/>
  <c r="J904" i="4"/>
  <c r="L904" i="4" s="1"/>
  <c r="I896" i="4"/>
  <c r="K896" i="4" s="1"/>
  <c r="J896" i="4"/>
  <c r="L896" i="4" s="1"/>
  <c r="I888" i="4"/>
  <c r="K888" i="4" s="1"/>
  <c r="J888" i="4"/>
  <c r="L888" i="4" s="1"/>
  <c r="I880" i="4"/>
  <c r="K880" i="4" s="1"/>
  <c r="J880" i="4"/>
  <c r="L880" i="4" s="1"/>
  <c r="I872" i="4"/>
  <c r="K872" i="4" s="1"/>
  <c r="J872" i="4"/>
  <c r="L872" i="4" s="1"/>
  <c r="I864" i="4"/>
  <c r="K864" i="4" s="1"/>
  <c r="J864" i="4"/>
  <c r="L864" i="4" s="1"/>
  <c r="I856" i="4"/>
  <c r="K856" i="4" s="1"/>
  <c r="J856" i="4"/>
  <c r="L856" i="4" s="1"/>
  <c r="I848" i="4"/>
  <c r="K848" i="4" s="1"/>
  <c r="J848" i="4"/>
  <c r="L848" i="4" s="1"/>
  <c r="I840" i="4"/>
  <c r="K840" i="4" s="1"/>
  <c r="J840" i="4"/>
  <c r="L840" i="4" s="1"/>
  <c r="I832" i="4"/>
  <c r="K832" i="4" s="1"/>
  <c r="J832" i="4"/>
  <c r="L832" i="4" s="1"/>
  <c r="I824" i="4"/>
  <c r="K824" i="4" s="1"/>
  <c r="J824" i="4"/>
  <c r="L824" i="4" s="1"/>
  <c r="I816" i="4"/>
  <c r="K816" i="4" s="1"/>
  <c r="J816" i="4"/>
  <c r="L816" i="4" s="1"/>
  <c r="I808" i="4"/>
  <c r="K808" i="4" s="1"/>
  <c r="J808" i="4"/>
  <c r="L808" i="4" s="1"/>
  <c r="I800" i="4"/>
  <c r="K800" i="4" s="1"/>
  <c r="J800" i="4"/>
  <c r="L800" i="4" s="1"/>
  <c r="I792" i="4"/>
  <c r="K792" i="4" s="1"/>
  <c r="J792" i="4"/>
  <c r="L792" i="4" s="1"/>
  <c r="I784" i="4"/>
  <c r="K784" i="4" s="1"/>
  <c r="J784" i="4"/>
  <c r="L784" i="4" s="1"/>
  <c r="I776" i="4"/>
  <c r="K776" i="4" s="1"/>
  <c r="J776" i="4"/>
  <c r="L776" i="4" s="1"/>
  <c r="I768" i="4"/>
  <c r="K768" i="4" s="1"/>
  <c r="J768" i="4"/>
  <c r="L768" i="4" s="1"/>
  <c r="I760" i="4"/>
  <c r="K760" i="4" s="1"/>
  <c r="J760" i="4"/>
  <c r="L760" i="4" s="1"/>
  <c r="I752" i="4"/>
  <c r="K752" i="4" s="1"/>
  <c r="J752" i="4"/>
  <c r="L752" i="4" s="1"/>
  <c r="I744" i="4"/>
  <c r="K744" i="4" s="1"/>
  <c r="J744" i="4"/>
  <c r="L744" i="4" s="1"/>
  <c r="I736" i="4"/>
  <c r="K736" i="4" s="1"/>
  <c r="J736" i="4"/>
  <c r="L736" i="4" s="1"/>
  <c r="I728" i="4"/>
  <c r="K728" i="4" s="1"/>
  <c r="J728" i="4"/>
  <c r="L728" i="4" s="1"/>
  <c r="I720" i="4"/>
  <c r="K720" i="4" s="1"/>
  <c r="J720" i="4"/>
  <c r="L720" i="4" s="1"/>
  <c r="I712" i="4"/>
  <c r="K712" i="4" s="1"/>
  <c r="J712" i="4"/>
  <c r="L712" i="4" s="1"/>
  <c r="I704" i="4"/>
  <c r="K704" i="4" s="1"/>
  <c r="J704" i="4"/>
  <c r="L704" i="4" s="1"/>
  <c r="I696" i="4"/>
  <c r="K696" i="4" s="1"/>
  <c r="J696" i="4"/>
  <c r="L696" i="4" s="1"/>
  <c r="I688" i="4"/>
  <c r="K688" i="4" s="1"/>
  <c r="J688" i="4"/>
  <c r="L688" i="4" s="1"/>
  <c r="I680" i="4"/>
  <c r="K680" i="4" s="1"/>
  <c r="J680" i="4"/>
  <c r="L680" i="4" s="1"/>
  <c r="I676" i="4"/>
  <c r="K676" i="4" s="1"/>
  <c r="J676" i="4"/>
  <c r="L676" i="4" s="1"/>
  <c r="I672" i="4"/>
  <c r="K672" i="4" s="1"/>
  <c r="J672" i="4"/>
  <c r="L672" i="4" s="1"/>
  <c r="I664" i="4"/>
  <c r="K664" i="4" s="1"/>
  <c r="J664" i="4"/>
  <c r="L664" i="4" s="1"/>
  <c r="I656" i="4"/>
  <c r="K656" i="4" s="1"/>
  <c r="J656" i="4"/>
  <c r="L656" i="4" s="1"/>
  <c r="I652" i="4"/>
  <c r="K652" i="4" s="1"/>
  <c r="J652" i="4"/>
  <c r="L652" i="4" s="1"/>
  <c r="I648" i="4"/>
  <c r="K648" i="4" s="1"/>
  <c r="J648" i="4"/>
  <c r="L648" i="4" s="1"/>
  <c r="I640" i="4"/>
  <c r="K640" i="4" s="1"/>
  <c r="J640" i="4"/>
  <c r="L640" i="4" s="1"/>
  <c r="I636" i="4"/>
  <c r="K636" i="4" s="1"/>
  <c r="J636" i="4"/>
  <c r="L636" i="4" s="1"/>
  <c r="I632" i="4"/>
  <c r="K632" i="4" s="1"/>
  <c r="J632" i="4"/>
  <c r="L632" i="4" s="1"/>
  <c r="I628" i="4"/>
  <c r="K628" i="4" s="1"/>
  <c r="J628" i="4"/>
  <c r="L628" i="4" s="1"/>
  <c r="I624" i="4"/>
  <c r="K624" i="4" s="1"/>
  <c r="J624" i="4"/>
  <c r="L624" i="4" s="1"/>
  <c r="I616" i="4"/>
  <c r="K616" i="4" s="1"/>
  <c r="J616" i="4"/>
  <c r="L616" i="4" s="1"/>
  <c r="I612" i="4"/>
  <c r="K612" i="4" s="1"/>
  <c r="J612" i="4"/>
  <c r="L612" i="4" s="1"/>
  <c r="I608" i="4"/>
  <c r="K608" i="4" s="1"/>
  <c r="J608" i="4"/>
  <c r="L608" i="4" s="1"/>
  <c r="I600" i="4"/>
  <c r="K600" i="4" s="1"/>
  <c r="J600" i="4"/>
  <c r="L600" i="4" s="1"/>
  <c r="I592" i="4"/>
  <c r="K592" i="4" s="1"/>
  <c r="J592" i="4"/>
  <c r="L592" i="4" s="1"/>
  <c r="I588" i="4"/>
  <c r="K588" i="4" s="1"/>
  <c r="J588" i="4"/>
  <c r="L588" i="4" s="1"/>
  <c r="I584" i="4"/>
  <c r="K584" i="4" s="1"/>
  <c r="J584" i="4"/>
  <c r="L584" i="4" s="1"/>
  <c r="I576" i="4"/>
  <c r="K576" i="4" s="1"/>
  <c r="J576" i="4"/>
  <c r="L576" i="4" s="1"/>
  <c r="I572" i="4"/>
  <c r="K572" i="4" s="1"/>
  <c r="J572" i="4"/>
  <c r="L572" i="4" s="1"/>
  <c r="I568" i="4"/>
  <c r="K568" i="4" s="1"/>
  <c r="J568" i="4"/>
  <c r="L568" i="4" s="1"/>
  <c r="I564" i="4"/>
  <c r="K564" i="4" s="1"/>
  <c r="J564" i="4"/>
  <c r="L564" i="4" s="1"/>
  <c r="I560" i="4"/>
  <c r="K560" i="4" s="1"/>
  <c r="J560" i="4"/>
  <c r="L560" i="4" s="1"/>
  <c r="I552" i="4"/>
  <c r="K552" i="4" s="1"/>
  <c r="J552" i="4"/>
  <c r="L552" i="4" s="1"/>
  <c r="I548" i="4"/>
  <c r="K548" i="4" s="1"/>
  <c r="J548" i="4"/>
  <c r="L548" i="4" s="1"/>
  <c r="I544" i="4"/>
  <c r="K544" i="4" s="1"/>
  <c r="J544" i="4"/>
  <c r="L544" i="4" s="1"/>
  <c r="I536" i="4"/>
  <c r="K536" i="4" s="1"/>
  <c r="J536" i="4"/>
  <c r="L536" i="4" s="1"/>
  <c r="I528" i="4"/>
  <c r="K528" i="4" s="1"/>
  <c r="J528" i="4"/>
  <c r="L528" i="4" s="1"/>
  <c r="I524" i="4"/>
  <c r="K524" i="4" s="1"/>
  <c r="J524" i="4"/>
  <c r="L524" i="4" s="1"/>
  <c r="I520" i="4"/>
  <c r="K520" i="4" s="1"/>
  <c r="J520" i="4"/>
  <c r="L520" i="4" s="1"/>
  <c r="I512" i="4"/>
  <c r="K512" i="4" s="1"/>
  <c r="J512" i="4"/>
  <c r="L512" i="4" s="1"/>
  <c r="I508" i="4"/>
  <c r="K508" i="4" s="1"/>
  <c r="J508" i="4"/>
  <c r="L508" i="4" s="1"/>
  <c r="I504" i="4"/>
  <c r="K504" i="4" s="1"/>
  <c r="J504" i="4"/>
  <c r="L504" i="4" s="1"/>
  <c r="I500" i="4"/>
  <c r="K500" i="4" s="1"/>
  <c r="J500" i="4"/>
  <c r="L500" i="4" s="1"/>
  <c r="I496" i="4"/>
  <c r="K496" i="4" s="1"/>
  <c r="J496" i="4"/>
  <c r="L496" i="4" s="1"/>
  <c r="I488" i="4"/>
  <c r="K488" i="4" s="1"/>
  <c r="J488" i="4"/>
  <c r="L488" i="4" s="1"/>
  <c r="I484" i="4"/>
  <c r="K484" i="4" s="1"/>
  <c r="J484" i="4"/>
  <c r="L484" i="4" s="1"/>
  <c r="I480" i="4"/>
  <c r="K480" i="4" s="1"/>
  <c r="J480" i="4"/>
  <c r="L480" i="4" s="1"/>
  <c r="I472" i="4"/>
  <c r="K472" i="4" s="1"/>
  <c r="J472" i="4"/>
  <c r="L472" i="4" s="1"/>
  <c r="I464" i="4"/>
  <c r="K464" i="4" s="1"/>
  <c r="J464" i="4"/>
  <c r="L464" i="4" s="1"/>
  <c r="I460" i="4"/>
  <c r="K460" i="4" s="1"/>
  <c r="J460" i="4"/>
  <c r="L460" i="4" s="1"/>
  <c r="I456" i="4"/>
  <c r="K456" i="4" s="1"/>
  <c r="J456" i="4"/>
  <c r="L456" i="4" s="1"/>
  <c r="I448" i="4"/>
  <c r="K448" i="4" s="1"/>
  <c r="J448" i="4"/>
  <c r="L448" i="4" s="1"/>
  <c r="I444" i="4"/>
  <c r="K444" i="4" s="1"/>
  <c r="J444" i="4"/>
  <c r="L444" i="4" s="1"/>
  <c r="I440" i="4"/>
  <c r="K440" i="4" s="1"/>
  <c r="J440" i="4"/>
  <c r="L440" i="4" s="1"/>
  <c r="I436" i="4"/>
  <c r="K436" i="4" s="1"/>
  <c r="J436" i="4"/>
  <c r="L436" i="4" s="1"/>
  <c r="I432" i="4"/>
  <c r="K432" i="4" s="1"/>
  <c r="J432" i="4"/>
  <c r="L432" i="4" s="1"/>
  <c r="I424" i="4"/>
  <c r="K424" i="4" s="1"/>
  <c r="J424" i="4"/>
  <c r="L424" i="4" s="1"/>
  <c r="I420" i="4"/>
  <c r="K420" i="4" s="1"/>
  <c r="J420" i="4"/>
  <c r="L420" i="4" s="1"/>
  <c r="I416" i="4"/>
  <c r="K416" i="4" s="1"/>
  <c r="J416" i="4"/>
  <c r="L416" i="4" s="1"/>
  <c r="I408" i="4"/>
  <c r="K408" i="4" s="1"/>
  <c r="J408" i="4"/>
  <c r="L408" i="4" s="1"/>
  <c r="I400" i="4"/>
  <c r="K400" i="4" s="1"/>
  <c r="J400" i="4"/>
  <c r="L400" i="4" s="1"/>
  <c r="I396" i="4"/>
  <c r="K396" i="4" s="1"/>
  <c r="J396" i="4"/>
  <c r="L396" i="4" s="1"/>
  <c r="I392" i="4"/>
  <c r="K392" i="4" s="1"/>
  <c r="J392" i="4"/>
  <c r="L392" i="4" s="1"/>
  <c r="I384" i="4"/>
  <c r="K384" i="4" s="1"/>
  <c r="J384" i="4"/>
  <c r="L384" i="4" s="1"/>
  <c r="I380" i="4"/>
  <c r="K380" i="4" s="1"/>
  <c r="J380" i="4"/>
  <c r="L380" i="4" s="1"/>
  <c r="I376" i="4"/>
  <c r="K376" i="4" s="1"/>
  <c r="J376" i="4"/>
  <c r="L376" i="4" s="1"/>
  <c r="I372" i="4"/>
  <c r="K372" i="4" s="1"/>
  <c r="J372" i="4"/>
  <c r="L372" i="4" s="1"/>
  <c r="I368" i="4"/>
  <c r="K368" i="4" s="1"/>
  <c r="J368" i="4"/>
  <c r="L368" i="4" s="1"/>
  <c r="I360" i="4"/>
  <c r="K360" i="4" s="1"/>
  <c r="J360" i="4"/>
  <c r="L360" i="4" s="1"/>
  <c r="I356" i="4"/>
  <c r="K356" i="4" s="1"/>
  <c r="J356" i="4"/>
  <c r="L356" i="4" s="1"/>
  <c r="I352" i="4"/>
  <c r="K352" i="4" s="1"/>
  <c r="J352" i="4"/>
  <c r="L352" i="4" s="1"/>
  <c r="I344" i="4"/>
  <c r="K344" i="4" s="1"/>
  <c r="J344" i="4"/>
  <c r="L344" i="4" s="1"/>
  <c r="I336" i="4"/>
  <c r="K336" i="4" s="1"/>
  <c r="J336" i="4"/>
  <c r="L336" i="4" s="1"/>
  <c r="I332" i="4"/>
  <c r="K332" i="4" s="1"/>
  <c r="J332" i="4"/>
  <c r="L332" i="4" s="1"/>
  <c r="I328" i="4"/>
  <c r="K328" i="4" s="1"/>
  <c r="J328" i="4"/>
  <c r="L328" i="4" s="1"/>
  <c r="I320" i="4"/>
  <c r="K320" i="4" s="1"/>
  <c r="J320" i="4"/>
  <c r="L320" i="4" s="1"/>
  <c r="I316" i="4"/>
  <c r="K316" i="4" s="1"/>
  <c r="J316" i="4"/>
  <c r="L316" i="4" s="1"/>
  <c r="I312" i="4"/>
  <c r="K312" i="4" s="1"/>
  <c r="J312" i="4"/>
  <c r="L312" i="4" s="1"/>
  <c r="I308" i="4"/>
  <c r="K308" i="4" s="1"/>
  <c r="J308" i="4"/>
  <c r="L308" i="4" s="1"/>
  <c r="I304" i="4"/>
  <c r="K304" i="4" s="1"/>
  <c r="J304" i="4"/>
  <c r="L304" i="4" s="1"/>
  <c r="I296" i="4"/>
  <c r="K296" i="4" s="1"/>
  <c r="J296" i="4"/>
  <c r="L296" i="4" s="1"/>
  <c r="I292" i="4"/>
  <c r="K292" i="4" s="1"/>
  <c r="J292" i="4"/>
  <c r="L292" i="4" s="1"/>
  <c r="I288" i="4"/>
  <c r="K288" i="4" s="1"/>
  <c r="J288" i="4"/>
  <c r="L288" i="4" s="1"/>
  <c r="I280" i="4"/>
  <c r="K280" i="4" s="1"/>
  <c r="J280" i="4"/>
  <c r="L280" i="4" s="1"/>
  <c r="I272" i="4"/>
  <c r="K272" i="4" s="1"/>
  <c r="J272" i="4"/>
  <c r="L272" i="4" s="1"/>
  <c r="I268" i="4"/>
  <c r="K268" i="4" s="1"/>
  <c r="J268" i="4"/>
  <c r="L268" i="4" s="1"/>
  <c r="I264" i="4"/>
  <c r="K264" i="4" s="1"/>
  <c r="J264" i="4"/>
  <c r="L264" i="4" s="1"/>
  <c r="I256" i="4"/>
  <c r="K256" i="4" s="1"/>
  <c r="J256" i="4"/>
  <c r="L256" i="4" s="1"/>
  <c r="I252" i="4"/>
  <c r="K252" i="4" s="1"/>
  <c r="J252" i="4"/>
  <c r="L252" i="4" s="1"/>
  <c r="I248" i="4"/>
  <c r="K248" i="4" s="1"/>
  <c r="J248" i="4"/>
  <c r="L248" i="4" s="1"/>
  <c r="I244" i="4"/>
  <c r="K244" i="4" s="1"/>
  <c r="J244" i="4"/>
  <c r="L244" i="4" s="1"/>
  <c r="I240" i="4"/>
  <c r="K240" i="4" s="1"/>
  <c r="J240" i="4"/>
  <c r="L240" i="4" s="1"/>
  <c r="I232" i="4"/>
  <c r="K232" i="4" s="1"/>
  <c r="J232" i="4"/>
  <c r="L232" i="4" s="1"/>
  <c r="I228" i="4"/>
  <c r="K228" i="4" s="1"/>
  <c r="J228" i="4"/>
  <c r="L228" i="4" s="1"/>
  <c r="I224" i="4"/>
  <c r="K224" i="4" s="1"/>
  <c r="J224" i="4"/>
  <c r="L224" i="4" s="1"/>
  <c r="I216" i="4"/>
  <c r="K216" i="4" s="1"/>
  <c r="J216" i="4"/>
  <c r="L216" i="4" s="1"/>
  <c r="I208" i="4"/>
  <c r="K208" i="4" s="1"/>
  <c r="J208" i="4"/>
  <c r="L208" i="4" s="1"/>
  <c r="I204" i="4"/>
  <c r="K204" i="4" s="1"/>
  <c r="J204" i="4"/>
  <c r="L204" i="4" s="1"/>
  <c r="I200" i="4"/>
  <c r="K200" i="4" s="1"/>
  <c r="J200" i="4"/>
  <c r="L200" i="4" s="1"/>
  <c r="I192" i="4"/>
  <c r="K192" i="4" s="1"/>
  <c r="J192" i="4"/>
  <c r="L192" i="4" s="1"/>
  <c r="I188" i="4"/>
  <c r="K188" i="4" s="1"/>
  <c r="J188" i="4"/>
  <c r="L188" i="4" s="1"/>
  <c r="I184" i="4"/>
  <c r="K184" i="4" s="1"/>
  <c r="J184" i="4"/>
  <c r="L184" i="4" s="1"/>
  <c r="I180" i="4"/>
  <c r="K180" i="4" s="1"/>
  <c r="J180" i="4"/>
  <c r="L180" i="4" s="1"/>
  <c r="I176" i="4"/>
  <c r="K176" i="4" s="1"/>
  <c r="J176" i="4"/>
  <c r="L176" i="4" s="1"/>
  <c r="I168" i="4"/>
  <c r="K168" i="4" s="1"/>
  <c r="J168" i="4"/>
  <c r="L168" i="4" s="1"/>
  <c r="I164" i="4"/>
  <c r="K164" i="4" s="1"/>
  <c r="J164" i="4"/>
  <c r="L164" i="4" s="1"/>
  <c r="I160" i="4"/>
  <c r="K160" i="4" s="1"/>
  <c r="J160" i="4"/>
  <c r="L160" i="4" s="1"/>
  <c r="I152" i="4"/>
  <c r="K152" i="4" s="1"/>
  <c r="J152" i="4"/>
  <c r="L152" i="4" s="1"/>
  <c r="I144" i="4"/>
  <c r="K144" i="4" s="1"/>
  <c r="J144" i="4"/>
  <c r="L144" i="4" s="1"/>
  <c r="I140" i="4"/>
  <c r="K140" i="4" s="1"/>
  <c r="J140" i="4"/>
  <c r="L140" i="4" s="1"/>
  <c r="I136" i="4"/>
  <c r="K136" i="4" s="1"/>
  <c r="J136" i="4"/>
  <c r="L136" i="4" s="1"/>
  <c r="I128" i="4"/>
  <c r="K128" i="4" s="1"/>
  <c r="J128" i="4"/>
  <c r="L128" i="4" s="1"/>
  <c r="I124" i="4"/>
  <c r="K124" i="4" s="1"/>
  <c r="J124" i="4"/>
  <c r="L124" i="4" s="1"/>
  <c r="I120" i="4"/>
  <c r="K120" i="4" s="1"/>
  <c r="J120" i="4"/>
  <c r="L120" i="4" s="1"/>
  <c r="I116" i="4"/>
  <c r="K116" i="4" s="1"/>
  <c r="J116" i="4"/>
  <c r="L116" i="4" s="1"/>
  <c r="I112" i="4"/>
  <c r="K112" i="4" s="1"/>
  <c r="J112" i="4"/>
  <c r="L112" i="4" s="1"/>
  <c r="I104" i="4"/>
  <c r="K104" i="4" s="1"/>
  <c r="J104" i="4"/>
  <c r="L104" i="4" s="1"/>
  <c r="I100" i="4"/>
  <c r="K100" i="4" s="1"/>
  <c r="J100" i="4"/>
  <c r="L100" i="4" s="1"/>
  <c r="I96" i="4"/>
  <c r="K96" i="4" s="1"/>
  <c r="J96" i="4"/>
  <c r="L96" i="4" s="1"/>
  <c r="I88" i="4"/>
  <c r="K88" i="4" s="1"/>
  <c r="J88" i="4"/>
  <c r="L88" i="4" s="1"/>
  <c r="I80" i="4"/>
  <c r="K80" i="4" s="1"/>
  <c r="J80" i="4"/>
  <c r="L80" i="4" s="1"/>
  <c r="I76" i="4"/>
  <c r="K76" i="4" s="1"/>
  <c r="J76" i="4"/>
  <c r="L76" i="4" s="1"/>
  <c r="I72" i="4"/>
  <c r="K72" i="4" s="1"/>
  <c r="J72" i="4"/>
  <c r="L72" i="4" s="1"/>
  <c r="I64" i="4"/>
  <c r="K64" i="4" s="1"/>
  <c r="J64" i="4"/>
  <c r="L64" i="4" s="1"/>
  <c r="I60" i="4"/>
  <c r="K60" i="4" s="1"/>
  <c r="J60" i="4"/>
  <c r="L60" i="4" s="1"/>
  <c r="I56" i="4"/>
  <c r="K56" i="4" s="1"/>
  <c r="J56" i="4"/>
  <c r="L56" i="4" s="1"/>
  <c r="I52" i="4"/>
  <c r="K52" i="4" s="1"/>
  <c r="J52" i="4"/>
  <c r="L52" i="4" s="1"/>
  <c r="I48" i="4"/>
  <c r="K48" i="4" s="1"/>
  <c r="J48" i="4"/>
  <c r="L48" i="4" s="1"/>
  <c r="I40" i="4"/>
  <c r="K40" i="4" s="1"/>
  <c r="J40" i="4"/>
  <c r="L40" i="4" s="1"/>
  <c r="I36" i="4"/>
  <c r="K36" i="4" s="1"/>
  <c r="J36" i="4"/>
  <c r="L36" i="4" s="1"/>
  <c r="I32" i="4"/>
  <c r="K32" i="4" s="1"/>
  <c r="J32" i="4"/>
  <c r="L32" i="4" s="1"/>
  <c r="I24" i="4"/>
  <c r="K24" i="4" s="1"/>
  <c r="J24" i="4"/>
  <c r="L24" i="4" s="1"/>
  <c r="I16" i="4"/>
  <c r="K16" i="4" s="1"/>
  <c r="J16" i="4"/>
  <c r="L16" i="4" s="1"/>
  <c r="I12" i="4"/>
  <c r="K12" i="4" s="1"/>
  <c r="J12" i="4"/>
  <c r="L12" i="4" s="1"/>
  <c r="I8" i="4"/>
  <c r="K8" i="4" s="1"/>
  <c r="J8" i="4"/>
  <c r="L8" i="4" s="1"/>
  <c r="J996" i="4"/>
  <c r="L996" i="4" s="1"/>
  <c r="J980" i="4"/>
  <c r="L980" i="4" s="1"/>
  <c r="J964" i="4"/>
  <c r="L964" i="4" s="1"/>
  <c r="J948" i="4"/>
  <c r="L948" i="4" s="1"/>
  <c r="J932" i="4"/>
  <c r="L932" i="4" s="1"/>
  <c r="J916" i="4"/>
  <c r="L916" i="4" s="1"/>
  <c r="J900" i="4"/>
  <c r="L900" i="4" s="1"/>
  <c r="M900" i="4" s="1"/>
  <c r="J884" i="4"/>
  <c r="L884" i="4" s="1"/>
  <c r="M884" i="4" s="1"/>
  <c r="J868" i="4"/>
  <c r="L868" i="4" s="1"/>
  <c r="J852" i="4"/>
  <c r="L852" i="4" s="1"/>
  <c r="J836" i="4"/>
  <c r="L836" i="4" s="1"/>
  <c r="J820" i="4"/>
  <c r="L820" i="4" s="1"/>
  <c r="J804" i="4"/>
  <c r="L804" i="4" s="1"/>
  <c r="M804" i="4" s="1"/>
  <c r="J788" i="4"/>
  <c r="L788" i="4" s="1"/>
  <c r="M788" i="4" s="1"/>
  <c r="J772" i="4"/>
  <c r="L772" i="4" s="1"/>
  <c r="M772" i="4" s="1"/>
  <c r="J756" i="4"/>
  <c r="L756" i="4" s="1"/>
  <c r="M756" i="4" s="1"/>
  <c r="J740" i="4"/>
  <c r="L740" i="4" s="1"/>
  <c r="M740" i="4" s="1"/>
  <c r="J724" i="4"/>
  <c r="L724" i="4" s="1"/>
  <c r="J708" i="4"/>
  <c r="L708" i="4" s="1"/>
  <c r="J692" i="4"/>
  <c r="L692" i="4" s="1"/>
  <c r="J629" i="4"/>
  <c r="L629" i="4" s="1"/>
  <c r="M629" i="4" s="1"/>
  <c r="J605" i="4"/>
  <c r="L605" i="4" s="1"/>
  <c r="M605" i="4" s="1"/>
  <c r="J580" i="4"/>
  <c r="L580" i="4" s="1"/>
  <c r="J556" i="4"/>
  <c r="L556" i="4" s="1"/>
  <c r="M556" i="4" s="1"/>
  <c r="J532" i="4"/>
  <c r="L532" i="4" s="1"/>
  <c r="J373" i="4"/>
  <c r="L373" i="4" s="1"/>
  <c r="J349" i="4"/>
  <c r="L349" i="4" s="1"/>
  <c r="J324" i="4"/>
  <c r="L324" i="4" s="1"/>
  <c r="J300" i="4"/>
  <c r="L300" i="4" s="1"/>
  <c r="M300" i="4" s="1"/>
  <c r="J276" i="4"/>
  <c r="L276" i="4" s="1"/>
  <c r="M276" i="4" s="1"/>
  <c r="J117" i="4"/>
  <c r="L117" i="4" s="1"/>
  <c r="M117" i="4" s="1"/>
  <c r="J93" i="4"/>
  <c r="L93" i="4" s="1"/>
  <c r="M93" i="4" s="1"/>
  <c r="J68" i="4"/>
  <c r="L68" i="4" s="1"/>
  <c r="J44" i="4"/>
  <c r="L44" i="4" s="1"/>
  <c r="J20" i="4"/>
  <c r="L20" i="4" s="1"/>
  <c r="M20" i="4" s="1"/>
  <c r="I1001" i="4"/>
  <c r="K1001" i="4" s="1"/>
  <c r="J1001" i="4"/>
  <c r="L1001" i="4" s="1"/>
  <c r="I961" i="4"/>
  <c r="K961" i="4" s="1"/>
  <c r="J961" i="4"/>
  <c r="L961" i="4" s="1"/>
  <c r="I945" i="4"/>
  <c r="K945" i="4" s="1"/>
  <c r="J945" i="4"/>
  <c r="L945" i="4" s="1"/>
  <c r="I937" i="4"/>
  <c r="K937" i="4" s="1"/>
  <c r="J937" i="4"/>
  <c r="L937" i="4" s="1"/>
  <c r="I921" i="4"/>
  <c r="K921" i="4" s="1"/>
  <c r="J921" i="4"/>
  <c r="L921" i="4" s="1"/>
  <c r="I905" i="4"/>
  <c r="K905" i="4" s="1"/>
  <c r="J905" i="4"/>
  <c r="L905" i="4" s="1"/>
  <c r="I873" i="4"/>
  <c r="K873" i="4" s="1"/>
  <c r="J873" i="4"/>
  <c r="L873" i="4" s="1"/>
  <c r="I857" i="4"/>
  <c r="K857" i="4" s="1"/>
  <c r="J857" i="4"/>
  <c r="L857" i="4" s="1"/>
  <c r="I841" i="4"/>
  <c r="K841" i="4" s="1"/>
  <c r="J841" i="4"/>
  <c r="L841" i="4" s="1"/>
  <c r="I825" i="4"/>
  <c r="K825" i="4" s="1"/>
  <c r="J825" i="4"/>
  <c r="L825" i="4" s="1"/>
  <c r="I793" i="4"/>
  <c r="K793" i="4" s="1"/>
  <c r="J793" i="4"/>
  <c r="L793" i="4" s="1"/>
  <c r="I777" i="4"/>
  <c r="K777" i="4" s="1"/>
  <c r="J777" i="4"/>
  <c r="L777" i="4" s="1"/>
  <c r="I737" i="4"/>
  <c r="K737" i="4" s="1"/>
  <c r="J737" i="4"/>
  <c r="L737" i="4" s="1"/>
  <c r="I677" i="4"/>
  <c r="K677" i="4" s="1"/>
  <c r="J677" i="4"/>
  <c r="L677" i="4" s="1"/>
  <c r="I661" i="4"/>
  <c r="K661" i="4" s="1"/>
  <c r="J661" i="4"/>
  <c r="L661" i="4" s="1"/>
  <c r="I633" i="4"/>
  <c r="K633" i="4" s="1"/>
  <c r="J633" i="4"/>
  <c r="L633" i="4" s="1"/>
  <c r="I613" i="4"/>
  <c r="K613" i="4" s="1"/>
  <c r="J613" i="4"/>
  <c r="L613" i="4" s="1"/>
  <c r="I597" i="4"/>
  <c r="K597" i="4" s="1"/>
  <c r="J597" i="4"/>
  <c r="L597" i="4" s="1"/>
  <c r="I577" i="4"/>
  <c r="K577" i="4" s="1"/>
  <c r="J577" i="4"/>
  <c r="L577" i="4" s="1"/>
  <c r="I561" i="4"/>
  <c r="K561" i="4" s="1"/>
  <c r="J561" i="4"/>
  <c r="L561" i="4" s="1"/>
  <c r="I545" i="4"/>
  <c r="K545" i="4" s="1"/>
  <c r="J545" i="4"/>
  <c r="L545" i="4" s="1"/>
  <c r="I461" i="4"/>
  <c r="K461" i="4" s="1"/>
  <c r="J461" i="4"/>
  <c r="L461" i="4" s="1"/>
  <c r="I417" i="4"/>
  <c r="K417" i="4" s="1"/>
  <c r="J417" i="4"/>
  <c r="L417" i="4" s="1"/>
  <c r="I313" i="4"/>
  <c r="K313" i="4" s="1"/>
  <c r="J313" i="4"/>
  <c r="L313" i="4" s="1"/>
  <c r="I297" i="4"/>
  <c r="K297" i="4" s="1"/>
  <c r="J297" i="4"/>
  <c r="L297" i="4" s="1"/>
  <c r="I281" i="4"/>
  <c r="K281" i="4" s="1"/>
  <c r="J281" i="4"/>
  <c r="L281" i="4" s="1"/>
  <c r="I249" i="4"/>
  <c r="K249" i="4" s="1"/>
  <c r="J249" i="4"/>
  <c r="L249" i="4" s="1"/>
  <c r="I233" i="4"/>
  <c r="K233" i="4" s="1"/>
  <c r="J233" i="4"/>
  <c r="L233" i="4" s="1"/>
  <c r="I217" i="4"/>
  <c r="K217" i="4" s="1"/>
  <c r="J217" i="4"/>
  <c r="L217" i="4" s="1"/>
  <c r="I201" i="4"/>
  <c r="K201" i="4" s="1"/>
  <c r="J201" i="4"/>
  <c r="L201" i="4" s="1"/>
  <c r="I165" i="4"/>
  <c r="K165" i="4" s="1"/>
  <c r="J165" i="4"/>
  <c r="L165" i="4" s="1"/>
  <c r="I145" i="4"/>
  <c r="K145" i="4" s="1"/>
  <c r="J145" i="4"/>
  <c r="L145" i="4" s="1"/>
  <c r="I129" i="4"/>
  <c r="K129" i="4" s="1"/>
  <c r="J129" i="4"/>
  <c r="L129" i="4" s="1"/>
  <c r="I113" i="4"/>
  <c r="K113" i="4" s="1"/>
  <c r="J113" i="4"/>
  <c r="L113" i="4" s="1"/>
  <c r="I97" i="4"/>
  <c r="K97" i="4" s="1"/>
  <c r="J97" i="4"/>
  <c r="L97" i="4" s="1"/>
  <c r="I81" i="4"/>
  <c r="K81" i="4" s="1"/>
  <c r="J81" i="4"/>
  <c r="L81" i="4" s="1"/>
  <c r="I65" i="4"/>
  <c r="K65" i="4" s="1"/>
  <c r="J65" i="4"/>
  <c r="L65" i="4" s="1"/>
  <c r="I49" i="4"/>
  <c r="K49" i="4" s="1"/>
  <c r="J49" i="4"/>
  <c r="L49" i="4" s="1"/>
  <c r="I17" i="4"/>
  <c r="K17" i="4" s="1"/>
  <c r="J17" i="4"/>
  <c r="L17" i="4" s="1"/>
  <c r="J565" i="4"/>
  <c r="L565" i="4" s="1"/>
  <c r="J541" i="4"/>
  <c r="L541" i="4" s="1"/>
  <c r="J53" i="4"/>
  <c r="L53" i="4" s="1"/>
  <c r="J981" i="4"/>
  <c r="L981" i="4" s="1"/>
  <c r="J949" i="4"/>
  <c r="L949" i="4" s="1"/>
  <c r="J901" i="4"/>
  <c r="L901" i="4" s="1"/>
  <c r="J885" i="4"/>
  <c r="L885" i="4" s="1"/>
  <c r="J853" i="4"/>
  <c r="L853" i="4" s="1"/>
  <c r="M853" i="4" s="1"/>
  <c r="J821" i="4"/>
  <c r="L821" i="4" s="1"/>
  <c r="J773" i="4"/>
  <c r="L773" i="4" s="1"/>
  <c r="J741" i="4"/>
  <c r="L741" i="4" s="1"/>
  <c r="M741" i="4" s="1"/>
  <c r="J709" i="4"/>
  <c r="L709" i="4" s="1"/>
  <c r="M709" i="4" s="1"/>
  <c r="J581" i="4"/>
  <c r="L581" i="4" s="1"/>
  <c r="J301" i="4"/>
  <c r="L301" i="4" s="1"/>
  <c r="M301" i="4" s="1"/>
  <c r="J995" i="4"/>
  <c r="L995" i="4" s="1"/>
  <c r="M995" i="4" s="1"/>
  <c r="J979" i="4"/>
  <c r="L979" i="4" s="1"/>
  <c r="M979" i="4" s="1"/>
  <c r="J963" i="4"/>
  <c r="L963" i="4" s="1"/>
  <c r="J947" i="4"/>
  <c r="L947" i="4" s="1"/>
  <c r="J931" i="4"/>
  <c r="L931" i="4" s="1"/>
  <c r="J915" i="4"/>
  <c r="L915" i="4" s="1"/>
  <c r="M915" i="4" s="1"/>
  <c r="J899" i="4"/>
  <c r="L899" i="4" s="1"/>
  <c r="M899" i="4" s="1"/>
  <c r="J883" i="4"/>
  <c r="L883" i="4" s="1"/>
  <c r="M883" i="4" s="1"/>
  <c r="J867" i="4"/>
  <c r="L867" i="4" s="1"/>
  <c r="M867" i="4" s="1"/>
  <c r="J851" i="4"/>
  <c r="L851" i="4" s="1"/>
  <c r="M851" i="4" s="1"/>
  <c r="J835" i="4"/>
  <c r="L835" i="4" s="1"/>
  <c r="J819" i="4"/>
  <c r="L819" i="4" s="1"/>
  <c r="J803" i="4"/>
  <c r="L803" i="4" s="1"/>
  <c r="J787" i="4"/>
  <c r="L787" i="4" s="1"/>
  <c r="M787" i="4" s="1"/>
  <c r="J771" i="4"/>
  <c r="L771" i="4" s="1"/>
  <c r="M771" i="4" s="1"/>
  <c r="J755" i="4"/>
  <c r="L755" i="4" s="1"/>
  <c r="M755" i="4" s="1"/>
  <c r="J739" i="4"/>
  <c r="L739" i="4" s="1"/>
  <c r="M739" i="4" s="1"/>
  <c r="J723" i="4"/>
  <c r="L723" i="4" s="1"/>
  <c r="M723" i="4" s="1"/>
  <c r="J707" i="4"/>
  <c r="L707" i="4" s="1"/>
  <c r="J691" i="4"/>
  <c r="L691" i="4" s="1"/>
  <c r="J645" i="4"/>
  <c r="L645" i="4" s="1"/>
  <c r="J621" i="4"/>
  <c r="L621" i="4" s="1"/>
  <c r="M621" i="4" s="1"/>
  <c r="J604" i="4"/>
  <c r="L604" i="4" s="1"/>
  <c r="M604" i="4" s="1"/>
  <c r="J579" i="4"/>
  <c r="L579" i="4" s="1"/>
  <c r="M579" i="4" s="1"/>
  <c r="J555" i="4"/>
  <c r="L555" i="4" s="1"/>
  <c r="M555" i="4" s="1"/>
  <c r="J531" i="4"/>
  <c r="L531" i="4" s="1"/>
  <c r="J507" i="4"/>
  <c r="L507" i="4" s="1"/>
  <c r="J389" i="4"/>
  <c r="L389" i="4" s="1"/>
  <c r="J365" i="4"/>
  <c r="L365" i="4" s="1"/>
  <c r="J348" i="4"/>
  <c r="L348" i="4" s="1"/>
  <c r="M348" i="4" s="1"/>
  <c r="J323" i="4"/>
  <c r="L323" i="4" s="1"/>
  <c r="M323" i="4" s="1"/>
  <c r="J133" i="4"/>
  <c r="L133" i="4" s="1"/>
  <c r="M133" i="4" s="1"/>
  <c r="J109" i="4"/>
  <c r="L109" i="4" s="1"/>
  <c r="J92" i="4"/>
  <c r="L92" i="4" s="1"/>
  <c r="I985" i="4"/>
  <c r="K985" i="4" s="1"/>
  <c r="J985" i="4"/>
  <c r="L985" i="4" s="1"/>
  <c r="I969" i="4"/>
  <c r="K969" i="4" s="1"/>
  <c r="J969" i="4"/>
  <c r="L969" i="4" s="1"/>
  <c r="I953" i="4"/>
  <c r="K953" i="4" s="1"/>
  <c r="J953" i="4"/>
  <c r="L953" i="4" s="1"/>
  <c r="I897" i="4"/>
  <c r="K897" i="4" s="1"/>
  <c r="J897" i="4"/>
  <c r="L897" i="4" s="1"/>
  <c r="I881" i="4"/>
  <c r="K881" i="4" s="1"/>
  <c r="J881" i="4"/>
  <c r="L881" i="4" s="1"/>
  <c r="I817" i="4"/>
  <c r="K817" i="4" s="1"/>
  <c r="J817" i="4"/>
  <c r="L817" i="4" s="1"/>
  <c r="I801" i="4"/>
  <c r="K801" i="4" s="1"/>
  <c r="J801" i="4"/>
  <c r="L801" i="4" s="1"/>
  <c r="I745" i="4"/>
  <c r="K745" i="4" s="1"/>
  <c r="J745" i="4"/>
  <c r="L745" i="4" s="1"/>
  <c r="I729" i="4"/>
  <c r="K729" i="4" s="1"/>
  <c r="J729" i="4"/>
  <c r="L729" i="4" s="1"/>
  <c r="I697" i="4"/>
  <c r="K697" i="4" s="1"/>
  <c r="J697" i="4"/>
  <c r="L697" i="4" s="1"/>
  <c r="I681" i="4"/>
  <c r="K681" i="4" s="1"/>
  <c r="J681" i="4"/>
  <c r="L681" i="4" s="1"/>
  <c r="I665" i="4"/>
  <c r="K665" i="4" s="1"/>
  <c r="J665" i="4"/>
  <c r="L665" i="4" s="1"/>
  <c r="I641" i="4"/>
  <c r="K641" i="4" s="1"/>
  <c r="J641" i="4"/>
  <c r="L641" i="4" s="1"/>
  <c r="I625" i="4"/>
  <c r="K625" i="4" s="1"/>
  <c r="J625" i="4"/>
  <c r="L625" i="4" s="1"/>
  <c r="I609" i="4"/>
  <c r="K609" i="4" s="1"/>
  <c r="J609" i="4"/>
  <c r="L609" i="4" s="1"/>
  <c r="I593" i="4"/>
  <c r="K593" i="4" s="1"/>
  <c r="J593" i="4"/>
  <c r="L593" i="4" s="1"/>
  <c r="I573" i="4"/>
  <c r="K573" i="4" s="1"/>
  <c r="J573" i="4"/>
  <c r="L573" i="4" s="1"/>
  <c r="I537" i="4"/>
  <c r="K537" i="4" s="1"/>
  <c r="J537" i="4"/>
  <c r="L537" i="4" s="1"/>
  <c r="I525" i="4"/>
  <c r="K525" i="4" s="1"/>
  <c r="J525" i="4"/>
  <c r="L525" i="4" s="1"/>
  <c r="I505" i="4"/>
  <c r="K505" i="4" s="1"/>
  <c r="J505" i="4"/>
  <c r="L505" i="4" s="1"/>
  <c r="I489" i="4"/>
  <c r="K489" i="4" s="1"/>
  <c r="J489" i="4"/>
  <c r="L489" i="4" s="1"/>
  <c r="I473" i="4"/>
  <c r="K473" i="4" s="1"/>
  <c r="J473" i="4"/>
  <c r="L473" i="4" s="1"/>
  <c r="I457" i="4"/>
  <c r="K457" i="4" s="1"/>
  <c r="J457" i="4"/>
  <c r="L457" i="4" s="1"/>
  <c r="I441" i="4"/>
  <c r="K441" i="4" s="1"/>
  <c r="J441" i="4"/>
  <c r="L441" i="4" s="1"/>
  <c r="I397" i="4"/>
  <c r="K397" i="4" s="1"/>
  <c r="J397" i="4"/>
  <c r="L397" i="4" s="1"/>
  <c r="I377" i="4"/>
  <c r="K377" i="4" s="1"/>
  <c r="J377" i="4"/>
  <c r="L377" i="4" s="1"/>
  <c r="I361" i="4"/>
  <c r="K361" i="4" s="1"/>
  <c r="J361" i="4"/>
  <c r="L361" i="4" s="1"/>
  <c r="I345" i="4"/>
  <c r="K345" i="4" s="1"/>
  <c r="J345" i="4"/>
  <c r="L345" i="4" s="1"/>
  <c r="I329" i="4"/>
  <c r="K329" i="4" s="1"/>
  <c r="J329" i="4"/>
  <c r="L329" i="4" s="1"/>
  <c r="I293" i="4"/>
  <c r="K293" i="4" s="1"/>
  <c r="J293" i="4"/>
  <c r="L293" i="4" s="1"/>
  <c r="I273" i="4"/>
  <c r="K273" i="4" s="1"/>
  <c r="J273" i="4"/>
  <c r="L273" i="4" s="1"/>
  <c r="I257" i="4"/>
  <c r="K257" i="4" s="1"/>
  <c r="J257" i="4"/>
  <c r="L257" i="4" s="1"/>
  <c r="I241" i="4"/>
  <c r="K241" i="4" s="1"/>
  <c r="J241" i="4"/>
  <c r="L241" i="4" s="1"/>
  <c r="I153" i="4"/>
  <c r="K153" i="4" s="1"/>
  <c r="J153" i="4"/>
  <c r="L153" i="4" s="1"/>
  <c r="I121" i="4"/>
  <c r="K121" i="4" s="1"/>
  <c r="J121" i="4"/>
  <c r="L121" i="4" s="1"/>
  <c r="I105" i="4"/>
  <c r="K105" i="4" s="1"/>
  <c r="J105" i="4"/>
  <c r="L105" i="4" s="1"/>
  <c r="I89" i="4"/>
  <c r="K89" i="4" s="1"/>
  <c r="J89" i="4"/>
  <c r="L89" i="4" s="1"/>
  <c r="I57" i="4"/>
  <c r="K57" i="4" s="1"/>
  <c r="J57" i="4"/>
  <c r="L57" i="4" s="1"/>
  <c r="I41" i="4"/>
  <c r="K41" i="4" s="1"/>
  <c r="J41" i="4"/>
  <c r="L41" i="4" s="1"/>
  <c r="I25" i="4"/>
  <c r="K25" i="4" s="1"/>
  <c r="J25" i="4"/>
  <c r="L25" i="4" s="1"/>
  <c r="I9" i="4"/>
  <c r="K9" i="4" s="1"/>
  <c r="J9" i="4"/>
  <c r="L9" i="4" s="1"/>
  <c r="J309" i="4"/>
  <c r="L309" i="4" s="1"/>
  <c r="J285" i="4"/>
  <c r="L285" i="4" s="1"/>
  <c r="J997" i="4"/>
  <c r="L997" i="4" s="1"/>
  <c r="J965" i="4"/>
  <c r="L965" i="4" s="1"/>
  <c r="J917" i="4"/>
  <c r="L917" i="4" s="1"/>
  <c r="J869" i="4"/>
  <c r="L869" i="4" s="1"/>
  <c r="J837" i="4"/>
  <c r="L837" i="4" s="1"/>
  <c r="J805" i="4"/>
  <c r="L805" i="4" s="1"/>
  <c r="J757" i="4"/>
  <c r="L757" i="4" s="1"/>
  <c r="J725" i="4"/>
  <c r="L725" i="4" s="1"/>
  <c r="J557" i="4"/>
  <c r="L557" i="4" s="1"/>
  <c r="M557" i="4" s="1"/>
  <c r="J325" i="4"/>
  <c r="L325" i="4" s="1"/>
  <c r="J69" i="4"/>
  <c r="L69" i="4" s="1"/>
  <c r="I999" i="4"/>
  <c r="K999" i="4" s="1"/>
  <c r="J999" i="4"/>
  <c r="L999" i="4" s="1"/>
  <c r="I991" i="4"/>
  <c r="K991" i="4" s="1"/>
  <c r="J991" i="4"/>
  <c r="L991" i="4" s="1"/>
  <c r="I983" i="4"/>
  <c r="K983" i="4" s="1"/>
  <c r="J983" i="4"/>
  <c r="L983" i="4" s="1"/>
  <c r="I975" i="4"/>
  <c r="K975" i="4" s="1"/>
  <c r="J975" i="4"/>
  <c r="L975" i="4" s="1"/>
  <c r="I967" i="4"/>
  <c r="K967" i="4" s="1"/>
  <c r="J967" i="4"/>
  <c r="L967" i="4" s="1"/>
  <c r="I959" i="4"/>
  <c r="K959" i="4" s="1"/>
  <c r="J959" i="4"/>
  <c r="L959" i="4" s="1"/>
  <c r="I951" i="4"/>
  <c r="K951" i="4" s="1"/>
  <c r="J951" i="4"/>
  <c r="L951" i="4" s="1"/>
  <c r="I943" i="4"/>
  <c r="K943" i="4" s="1"/>
  <c r="J943" i="4"/>
  <c r="L943" i="4" s="1"/>
  <c r="I935" i="4"/>
  <c r="K935" i="4" s="1"/>
  <c r="J935" i="4"/>
  <c r="L935" i="4" s="1"/>
  <c r="I927" i="4"/>
  <c r="K927" i="4" s="1"/>
  <c r="J927" i="4"/>
  <c r="L927" i="4" s="1"/>
  <c r="I919" i="4"/>
  <c r="K919" i="4" s="1"/>
  <c r="J919" i="4"/>
  <c r="L919" i="4" s="1"/>
  <c r="I911" i="4"/>
  <c r="K911" i="4" s="1"/>
  <c r="J911" i="4"/>
  <c r="L911" i="4" s="1"/>
  <c r="I903" i="4"/>
  <c r="K903" i="4" s="1"/>
  <c r="J903" i="4"/>
  <c r="L903" i="4" s="1"/>
  <c r="I895" i="4"/>
  <c r="K895" i="4" s="1"/>
  <c r="J895" i="4"/>
  <c r="L895" i="4" s="1"/>
  <c r="I887" i="4"/>
  <c r="K887" i="4" s="1"/>
  <c r="J887" i="4"/>
  <c r="L887" i="4" s="1"/>
  <c r="I879" i="4"/>
  <c r="K879" i="4" s="1"/>
  <c r="J879" i="4"/>
  <c r="L879" i="4" s="1"/>
  <c r="I871" i="4"/>
  <c r="K871" i="4" s="1"/>
  <c r="J871" i="4"/>
  <c r="L871" i="4" s="1"/>
  <c r="I863" i="4"/>
  <c r="K863" i="4" s="1"/>
  <c r="J863" i="4"/>
  <c r="L863" i="4" s="1"/>
  <c r="I855" i="4"/>
  <c r="K855" i="4" s="1"/>
  <c r="J855" i="4"/>
  <c r="L855" i="4" s="1"/>
  <c r="I847" i="4"/>
  <c r="K847" i="4" s="1"/>
  <c r="J847" i="4"/>
  <c r="L847" i="4" s="1"/>
  <c r="I839" i="4"/>
  <c r="K839" i="4" s="1"/>
  <c r="J839" i="4"/>
  <c r="L839" i="4" s="1"/>
  <c r="I831" i="4"/>
  <c r="K831" i="4" s="1"/>
  <c r="J831" i="4"/>
  <c r="L831" i="4" s="1"/>
  <c r="I823" i="4"/>
  <c r="K823" i="4" s="1"/>
  <c r="J823" i="4"/>
  <c r="L823" i="4" s="1"/>
  <c r="I815" i="4"/>
  <c r="K815" i="4" s="1"/>
  <c r="J815" i="4"/>
  <c r="L815" i="4" s="1"/>
  <c r="I807" i="4"/>
  <c r="K807" i="4" s="1"/>
  <c r="J807" i="4"/>
  <c r="L807" i="4" s="1"/>
  <c r="I799" i="4"/>
  <c r="K799" i="4" s="1"/>
  <c r="J799" i="4"/>
  <c r="L799" i="4" s="1"/>
  <c r="I791" i="4"/>
  <c r="K791" i="4" s="1"/>
  <c r="J791" i="4"/>
  <c r="L791" i="4" s="1"/>
  <c r="I783" i="4"/>
  <c r="K783" i="4" s="1"/>
  <c r="J783" i="4"/>
  <c r="L783" i="4" s="1"/>
  <c r="I775" i="4"/>
  <c r="K775" i="4" s="1"/>
  <c r="J775" i="4"/>
  <c r="L775" i="4" s="1"/>
  <c r="I767" i="4"/>
  <c r="K767" i="4" s="1"/>
  <c r="J767" i="4"/>
  <c r="L767" i="4" s="1"/>
  <c r="I759" i="4"/>
  <c r="K759" i="4" s="1"/>
  <c r="J759" i="4"/>
  <c r="L759" i="4" s="1"/>
  <c r="I751" i="4"/>
  <c r="K751" i="4" s="1"/>
  <c r="J751" i="4"/>
  <c r="L751" i="4" s="1"/>
  <c r="I743" i="4"/>
  <c r="K743" i="4" s="1"/>
  <c r="J743" i="4"/>
  <c r="L743" i="4" s="1"/>
  <c r="I735" i="4"/>
  <c r="K735" i="4" s="1"/>
  <c r="J735" i="4"/>
  <c r="L735" i="4" s="1"/>
  <c r="I727" i="4"/>
  <c r="K727" i="4" s="1"/>
  <c r="J727" i="4"/>
  <c r="L727" i="4" s="1"/>
  <c r="I719" i="4"/>
  <c r="K719" i="4" s="1"/>
  <c r="J719" i="4"/>
  <c r="L719" i="4" s="1"/>
  <c r="I711" i="4"/>
  <c r="K711" i="4" s="1"/>
  <c r="J711" i="4"/>
  <c r="L711" i="4" s="1"/>
  <c r="I703" i="4"/>
  <c r="K703" i="4" s="1"/>
  <c r="J703" i="4"/>
  <c r="L703" i="4" s="1"/>
  <c r="I695" i="4"/>
  <c r="K695" i="4" s="1"/>
  <c r="J695" i="4"/>
  <c r="L695" i="4" s="1"/>
  <c r="I687" i="4"/>
  <c r="K687" i="4" s="1"/>
  <c r="J687" i="4"/>
  <c r="L687" i="4" s="1"/>
  <c r="I679" i="4"/>
  <c r="K679" i="4" s="1"/>
  <c r="J679" i="4"/>
  <c r="L679" i="4" s="1"/>
  <c r="I675" i="4"/>
  <c r="K675" i="4" s="1"/>
  <c r="J675" i="4"/>
  <c r="L675" i="4" s="1"/>
  <c r="I671" i="4"/>
  <c r="K671" i="4" s="1"/>
  <c r="J671" i="4"/>
  <c r="L671" i="4" s="1"/>
  <c r="I667" i="4"/>
  <c r="K667" i="4" s="1"/>
  <c r="J667" i="4"/>
  <c r="L667" i="4" s="1"/>
  <c r="I663" i="4"/>
  <c r="K663" i="4" s="1"/>
  <c r="J663" i="4"/>
  <c r="L663" i="4" s="1"/>
  <c r="I655" i="4"/>
  <c r="K655" i="4" s="1"/>
  <c r="J655" i="4"/>
  <c r="L655" i="4" s="1"/>
  <c r="I651" i="4"/>
  <c r="K651" i="4" s="1"/>
  <c r="J651" i="4"/>
  <c r="L651" i="4" s="1"/>
  <c r="I647" i="4"/>
  <c r="K647" i="4" s="1"/>
  <c r="J647" i="4"/>
  <c r="L647" i="4" s="1"/>
  <c r="I639" i="4"/>
  <c r="K639" i="4" s="1"/>
  <c r="J639" i="4"/>
  <c r="L639" i="4" s="1"/>
  <c r="I631" i="4"/>
  <c r="K631" i="4" s="1"/>
  <c r="J631" i="4"/>
  <c r="L631" i="4" s="1"/>
  <c r="I627" i="4"/>
  <c r="K627" i="4" s="1"/>
  <c r="J627" i="4"/>
  <c r="L627" i="4" s="1"/>
  <c r="I623" i="4"/>
  <c r="K623" i="4" s="1"/>
  <c r="J623" i="4"/>
  <c r="L623" i="4" s="1"/>
  <c r="I615" i="4"/>
  <c r="K615" i="4" s="1"/>
  <c r="J615" i="4"/>
  <c r="L615" i="4" s="1"/>
  <c r="I611" i="4"/>
  <c r="K611" i="4" s="1"/>
  <c r="J611" i="4"/>
  <c r="L611" i="4" s="1"/>
  <c r="I607" i="4"/>
  <c r="K607" i="4" s="1"/>
  <c r="J607" i="4"/>
  <c r="L607" i="4" s="1"/>
  <c r="I603" i="4"/>
  <c r="K603" i="4" s="1"/>
  <c r="J603" i="4"/>
  <c r="L603" i="4" s="1"/>
  <c r="I599" i="4"/>
  <c r="K599" i="4" s="1"/>
  <c r="J599" i="4"/>
  <c r="L599" i="4" s="1"/>
  <c r="I591" i="4"/>
  <c r="K591" i="4" s="1"/>
  <c r="J591" i="4"/>
  <c r="L591" i="4" s="1"/>
  <c r="I587" i="4"/>
  <c r="K587" i="4" s="1"/>
  <c r="J587" i="4"/>
  <c r="L587" i="4" s="1"/>
  <c r="I583" i="4"/>
  <c r="K583" i="4" s="1"/>
  <c r="J583" i="4"/>
  <c r="L583" i="4" s="1"/>
  <c r="I575" i="4"/>
  <c r="K575" i="4" s="1"/>
  <c r="J575" i="4"/>
  <c r="L575" i="4" s="1"/>
  <c r="I567" i="4"/>
  <c r="K567" i="4" s="1"/>
  <c r="J567" i="4"/>
  <c r="L567" i="4" s="1"/>
  <c r="I563" i="4"/>
  <c r="K563" i="4" s="1"/>
  <c r="J563" i="4"/>
  <c r="L563" i="4" s="1"/>
  <c r="I559" i="4"/>
  <c r="K559" i="4" s="1"/>
  <c r="J559" i="4"/>
  <c r="L559" i="4" s="1"/>
  <c r="I551" i="4"/>
  <c r="K551" i="4" s="1"/>
  <c r="J551" i="4"/>
  <c r="L551" i="4" s="1"/>
  <c r="I547" i="4"/>
  <c r="K547" i="4" s="1"/>
  <c r="J547" i="4"/>
  <c r="L547" i="4" s="1"/>
  <c r="I543" i="4"/>
  <c r="K543" i="4" s="1"/>
  <c r="J543" i="4"/>
  <c r="L543" i="4" s="1"/>
  <c r="I539" i="4"/>
  <c r="K539" i="4" s="1"/>
  <c r="J539" i="4"/>
  <c r="L539" i="4" s="1"/>
  <c r="I535" i="4"/>
  <c r="K535" i="4" s="1"/>
  <c r="J535" i="4"/>
  <c r="L535" i="4" s="1"/>
  <c r="I527" i="4"/>
  <c r="K527" i="4" s="1"/>
  <c r="J527" i="4"/>
  <c r="L527" i="4" s="1"/>
  <c r="I523" i="4"/>
  <c r="K523" i="4" s="1"/>
  <c r="J523" i="4"/>
  <c r="L523" i="4" s="1"/>
  <c r="I519" i="4"/>
  <c r="K519" i="4" s="1"/>
  <c r="J519" i="4"/>
  <c r="L519" i="4" s="1"/>
  <c r="I511" i="4"/>
  <c r="K511" i="4" s="1"/>
  <c r="J511" i="4"/>
  <c r="L511" i="4" s="1"/>
  <c r="I503" i="4"/>
  <c r="K503" i="4" s="1"/>
  <c r="J503" i="4"/>
  <c r="L503" i="4" s="1"/>
  <c r="I499" i="4"/>
  <c r="K499" i="4" s="1"/>
  <c r="J499" i="4"/>
  <c r="L499" i="4" s="1"/>
  <c r="I495" i="4"/>
  <c r="K495" i="4" s="1"/>
  <c r="J495" i="4"/>
  <c r="L495" i="4" s="1"/>
  <c r="I487" i="4"/>
  <c r="K487" i="4" s="1"/>
  <c r="J487" i="4"/>
  <c r="L487" i="4" s="1"/>
  <c r="I483" i="4"/>
  <c r="K483" i="4" s="1"/>
  <c r="J483" i="4"/>
  <c r="L483" i="4" s="1"/>
  <c r="I479" i="4"/>
  <c r="K479" i="4" s="1"/>
  <c r="J479" i="4"/>
  <c r="L479" i="4" s="1"/>
  <c r="I475" i="4"/>
  <c r="K475" i="4" s="1"/>
  <c r="J475" i="4"/>
  <c r="L475" i="4" s="1"/>
  <c r="I471" i="4"/>
  <c r="K471" i="4" s="1"/>
  <c r="J471" i="4"/>
  <c r="L471" i="4" s="1"/>
  <c r="I463" i="4"/>
  <c r="K463" i="4" s="1"/>
  <c r="J463" i="4"/>
  <c r="L463" i="4" s="1"/>
  <c r="I459" i="4"/>
  <c r="K459" i="4" s="1"/>
  <c r="J459" i="4"/>
  <c r="L459" i="4" s="1"/>
  <c r="I455" i="4"/>
  <c r="K455" i="4" s="1"/>
  <c r="J455" i="4"/>
  <c r="L455" i="4" s="1"/>
  <c r="I447" i="4"/>
  <c r="K447" i="4" s="1"/>
  <c r="J447" i="4"/>
  <c r="L447" i="4" s="1"/>
  <c r="I439" i="4"/>
  <c r="K439" i="4" s="1"/>
  <c r="J439" i="4"/>
  <c r="L439" i="4" s="1"/>
  <c r="I435" i="4"/>
  <c r="K435" i="4" s="1"/>
  <c r="J435" i="4"/>
  <c r="L435" i="4" s="1"/>
  <c r="I431" i="4"/>
  <c r="K431" i="4" s="1"/>
  <c r="J431" i="4"/>
  <c r="L431" i="4" s="1"/>
  <c r="I423" i="4"/>
  <c r="K423" i="4" s="1"/>
  <c r="J423" i="4"/>
  <c r="L423" i="4" s="1"/>
  <c r="I419" i="4"/>
  <c r="K419" i="4" s="1"/>
  <c r="J419" i="4"/>
  <c r="L419" i="4" s="1"/>
  <c r="I415" i="4"/>
  <c r="K415" i="4" s="1"/>
  <c r="J415" i="4"/>
  <c r="L415" i="4" s="1"/>
  <c r="I411" i="4"/>
  <c r="K411" i="4" s="1"/>
  <c r="J411" i="4"/>
  <c r="L411" i="4" s="1"/>
  <c r="I407" i="4"/>
  <c r="K407" i="4" s="1"/>
  <c r="J407" i="4"/>
  <c r="L407" i="4" s="1"/>
  <c r="I399" i="4"/>
  <c r="K399" i="4" s="1"/>
  <c r="J399" i="4"/>
  <c r="L399" i="4" s="1"/>
  <c r="I395" i="4"/>
  <c r="K395" i="4" s="1"/>
  <c r="J395" i="4"/>
  <c r="L395" i="4" s="1"/>
  <c r="I391" i="4"/>
  <c r="K391" i="4" s="1"/>
  <c r="J391" i="4"/>
  <c r="L391" i="4" s="1"/>
  <c r="I383" i="4"/>
  <c r="K383" i="4" s="1"/>
  <c r="J383" i="4"/>
  <c r="L383" i="4" s="1"/>
  <c r="I375" i="4"/>
  <c r="K375" i="4" s="1"/>
  <c r="J375" i="4"/>
  <c r="L375" i="4" s="1"/>
  <c r="I371" i="4"/>
  <c r="K371" i="4" s="1"/>
  <c r="J371" i="4"/>
  <c r="L371" i="4" s="1"/>
  <c r="I367" i="4"/>
  <c r="K367" i="4" s="1"/>
  <c r="J367" i="4"/>
  <c r="L367" i="4" s="1"/>
  <c r="I359" i="4"/>
  <c r="K359" i="4" s="1"/>
  <c r="J359" i="4"/>
  <c r="L359" i="4" s="1"/>
  <c r="I355" i="4"/>
  <c r="K355" i="4" s="1"/>
  <c r="J355" i="4"/>
  <c r="L355" i="4" s="1"/>
  <c r="I351" i="4"/>
  <c r="K351" i="4" s="1"/>
  <c r="J351" i="4"/>
  <c r="L351" i="4" s="1"/>
  <c r="I347" i="4"/>
  <c r="K347" i="4" s="1"/>
  <c r="J347" i="4"/>
  <c r="L347" i="4" s="1"/>
  <c r="I343" i="4"/>
  <c r="K343" i="4" s="1"/>
  <c r="J343" i="4"/>
  <c r="L343" i="4" s="1"/>
  <c r="I335" i="4"/>
  <c r="K335" i="4" s="1"/>
  <c r="J335" i="4"/>
  <c r="L335" i="4" s="1"/>
  <c r="I331" i="4"/>
  <c r="K331" i="4" s="1"/>
  <c r="J331" i="4"/>
  <c r="L331" i="4" s="1"/>
  <c r="I327" i="4"/>
  <c r="K327" i="4" s="1"/>
  <c r="J327" i="4"/>
  <c r="L327" i="4" s="1"/>
  <c r="I319" i="4"/>
  <c r="K319" i="4" s="1"/>
  <c r="J319" i="4"/>
  <c r="L319" i="4" s="1"/>
  <c r="I311" i="4"/>
  <c r="K311" i="4" s="1"/>
  <c r="J311" i="4"/>
  <c r="L311" i="4" s="1"/>
  <c r="I307" i="4"/>
  <c r="K307" i="4" s="1"/>
  <c r="J307" i="4"/>
  <c r="L307" i="4" s="1"/>
  <c r="J669" i="4"/>
  <c r="L669" i="4" s="1"/>
  <c r="J644" i="4"/>
  <c r="L644" i="4" s="1"/>
  <c r="M644" i="4" s="1"/>
  <c r="J620" i="4"/>
  <c r="L620" i="4" s="1"/>
  <c r="M620" i="4" s="1"/>
  <c r="J596" i="4"/>
  <c r="L596" i="4" s="1"/>
  <c r="J437" i="4"/>
  <c r="L437" i="4" s="1"/>
  <c r="J413" i="4"/>
  <c r="L413" i="4" s="1"/>
  <c r="J388" i="4"/>
  <c r="L388" i="4" s="1"/>
  <c r="M388" i="4" s="1"/>
  <c r="J364" i="4"/>
  <c r="L364" i="4" s="1"/>
  <c r="M364" i="4" s="1"/>
  <c r="J340" i="4"/>
  <c r="L340" i="4" s="1"/>
  <c r="N340" i="4" s="1"/>
  <c r="J181" i="4"/>
  <c r="L181" i="4" s="1"/>
  <c r="M181" i="4" s="1"/>
  <c r="J157" i="4"/>
  <c r="L157" i="4" s="1"/>
  <c r="J132" i="4"/>
  <c r="L132" i="4" s="1"/>
  <c r="J108" i="4"/>
  <c r="L108" i="4" s="1"/>
  <c r="J84" i="4"/>
  <c r="L84" i="4" s="1"/>
  <c r="I977" i="4"/>
  <c r="K977" i="4" s="1"/>
  <c r="J977" i="4"/>
  <c r="L977" i="4" s="1"/>
  <c r="I913" i="4"/>
  <c r="K913" i="4" s="1"/>
  <c r="J913" i="4"/>
  <c r="L913" i="4" s="1"/>
  <c r="I889" i="4"/>
  <c r="K889" i="4" s="1"/>
  <c r="J889" i="4"/>
  <c r="L889" i="4" s="1"/>
  <c r="I865" i="4"/>
  <c r="K865" i="4" s="1"/>
  <c r="J865" i="4"/>
  <c r="L865" i="4" s="1"/>
  <c r="I809" i="4"/>
  <c r="K809" i="4" s="1"/>
  <c r="J809" i="4"/>
  <c r="L809" i="4" s="1"/>
  <c r="I785" i="4"/>
  <c r="K785" i="4" s="1"/>
  <c r="J785" i="4"/>
  <c r="L785" i="4" s="1"/>
  <c r="I769" i="4"/>
  <c r="K769" i="4" s="1"/>
  <c r="J769" i="4"/>
  <c r="L769" i="4" s="1"/>
  <c r="I761" i="4"/>
  <c r="K761" i="4" s="1"/>
  <c r="J761" i="4"/>
  <c r="L761" i="4" s="1"/>
  <c r="I753" i="4"/>
  <c r="K753" i="4" s="1"/>
  <c r="J753" i="4"/>
  <c r="L753" i="4" s="1"/>
  <c r="I713" i="4"/>
  <c r="K713" i="4" s="1"/>
  <c r="J713" i="4"/>
  <c r="L713" i="4" s="1"/>
  <c r="I657" i="4"/>
  <c r="K657" i="4" s="1"/>
  <c r="J657" i="4"/>
  <c r="L657" i="4" s="1"/>
  <c r="I649" i="4"/>
  <c r="K649" i="4" s="1"/>
  <c r="J649" i="4"/>
  <c r="L649" i="4" s="1"/>
  <c r="I637" i="4"/>
  <c r="K637" i="4" s="1"/>
  <c r="J637" i="4"/>
  <c r="L637" i="4" s="1"/>
  <c r="I617" i="4"/>
  <c r="K617" i="4" s="1"/>
  <c r="J617" i="4"/>
  <c r="L617" i="4" s="1"/>
  <c r="I601" i="4"/>
  <c r="K601" i="4" s="1"/>
  <c r="J601" i="4"/>
  <c r="L601" i="4" s="1"/>
  <c r="I589" i="4"/>
  <c r="K589" i="4" s="1"/>
  <c r="J589" i="4"/>
  <c r="L589" i="4" s="1"/>
  <c r="I553" i="4"/>
  <c r="K553" i="4" s="1"/>
  <c r="J553" i="4"/>
  <c r="L553" i="4" s="1"/>
  <c r="I533" i="4"/>
  <c r="K533" i="4" s="1"/>
  <c r="J533" i="4"/>
  <c r="L533" i="4" s="1"/>
  <c r="I521" i="4"/>
  <c r="K521" i="4" s="1"/>
  <c r="J521" i="4"/>
  <c r="L521" i="4" s="1"/>
  <c r="I509" i="4"/>
  <c r="K509" i="4" s="1"/>
  <c r="J509" i="4"/>
  <c r="L509" i="4" s="1"/>
  <c r="I485" i="4"/>
  <c r="K485" i="4" s="1"/>
  <c r="J485" i="4"/>
  <c r="L485" i="4" s="1"/>
  <c r="I469" i="4"/>
  <c r="K469" i="4" s="1"/>
  <c r="J469" i="4"/>
  <c r="L469" i="4" s="1"/>
  <c r="I465" i="4"/>
  <c r="K465" i="4" s="1"/>
  <c r="J465" i="4"/>
  <c r="L465" i="4" s="1"/>
  <c r="I449" i="4"/>
  <c r="K449" i="4" s="1"/>
  <c r="J449" i="4"/>
  <c r="L449" i="4" s="1"/>
  <c r="I445" i="4"/>
  <c r="K445" i="4" s="1"/>
  <c r="J445" i="4"/>
  <c r="L445" i="4" s="1"/>
  <c r="I433" i="4"/>
  <c r="K433" i="4" s="1"/>
  <c r="J433" i="4"/>
  <c r="L433" i="4" s="1"/>
  <c r="I425" i="4"/>
  <c r="K425" i="4" s="1"/>
  <c r="J425" i="4"/>
  <c r="L425" i="4" s="1"/>
  <c r="I409" i="4"/>
  <c r="K409" i="4" s="1"/>
  <c r="J409" i="4"/>
  <c r="L409" i="4" s="1"/>
  <c r="I405" i="4"/>
  <c r="K405" i="4" s="1"/>
  <c r="J405" i="4"/>
  <c r="L405" i="4" s="1"/>
  <c r="I393" i="4"/>
  <c r="K393" i="4" s="1"/>
  <c r="J393" i="4"/>
  <c r="L393" i="4" s="1"/>
  <c r="I381" i="4"/>
  <c r="K381" i="4" s="1"/>
  <c r="J381" i="4"/>
  <c r="L381" i="4" s="1"/>
  <c r="I357" i="4"/>
  <c r="K357" i="4" s="1"/>
  <c r="J357" i="4"/>
  <c r="L357" i="4" s="1"/>
  <c r="I341" i="4"/>
  <c r="K341" i="4" s="1"/>
  <c r="J341" i="4"/>
  <c r="L341" i="4" s="1"/>
  <c r="I333" i="4"/>
  <c r="K333" i="4" s="1"/>
  <c r="J333" i="4"/>
  <c r="L333" i="4" s="1"/>
  <c r="I317" i="4"/>
  <c r="K317" i="4" s="1"/>
  <c r="J317" i="4"/>
  <c r="L317" i="4" s="1"/>
  <c r="I289" i="4"/>
  <c r="K289" i="4" s="1"/>
  <c r="J289" i="4"/>
  <c r="L289" i="4" s="1"/>
  <c r="I277" i="4"/>
  <c r="K277" i="4" s="1"/>
  <c r="J277" i="4"/>
  <c r="L277" i="4" s="1"/>
  <c r="I265" i="4"/>
  <c r="K265" i="4" s="1"/>
  <c r="J265" i="4"/>
  <c r="L265" i="4" s="1"/>
  <c r="I253" i="4"/>
  <c r="K253" i="4" s="1"/>
  <c r="J253" i="4"/>
  <c r="L253" i="4" s="1"/>
  <c r="I225" i="4"/>
  <c r="K225" i="4" s="1"/>
  <c r="J225" i="4"/>
  <c r="L225" i="4" s="1"/>
  <c r="I213" i="4"/>
  <c r="K213" i="4" s="1"/>
  <c r="J213" i="4"/>
  <c r="L213" i="4" s="1"/>
  <c r="I205" i="4"/>
  <c r="K205" i="4" s="1"/>
  <c r="J205" i="4"/>
  <c r="L205" i="4" s="1"/>
  <c r="I193" i="4"/>
  <c r="K193" i="4" s="1"/>
  <c r="J193" i="4"/>
  <c r="L193" i="4" s="1"/>
  <c r="I185" i="4"/>
  <c r="K185" i="4" s="1"/>
  <c r="J185" i="4"/>
  <c r="L185" i="4" s="1"/>
  <c r="I169" i="4"/>
  <c r="K169" i="4" s="1"/>
  <c r="J169" i="4"/>
  <c r="L169" i="4" s="1"/>
  <c r="I161" i="4"/>
  <c r="K161" i="4" s="1"/>
  <c r="J161" i="4"/>
  <c r="L161" i="4" s="1"/>
  <c r="I149" i="4"/>
  <c r="K149" i="4" s="1"/>
  <c r="J149" i="4"/>
  <c r="L149" i="4" s="1"/>
  <c r="I137" i="4"/>
  <c r="K137" i="4" s="1"/>
  <c r="J137" i="4"/>
  <c r="L137" i="4" s="1"/>
  <c r="I125" i="4"/>
  <c r="K125" i="4" s="1"/>
  <c r="J125" i="4"/>
  <c r="L125" i="4" s="1"/>
  <c r="I101" i="4"/>
  <c r="K101" i="4" s="1"/>
  <c r="J101" i="4"/>
  <c r="L101" i="4" s="1"/>
  <c r="I85" i="4"/>
  <c r="K85" i="4" s="1"/>
  <c r="J85" i="4"/>
  <c r="L85" i="4" s="1"/>
  <c r="I73" i="4"/>
  <c r="K73" i="4" s="1"/>
  <c r="J73" i="4"/>
  <c r="L73" i="4" s="1"/>
  <c r="I61" i="4"/>
  <c r="K61" i="4" s="1"/>
  <c r="J61" i="4"/>
  <c r="L61" i="4" s="1"/>
  <c r="I33" i="4"/>
  <c r="K33" i="4" s="1"/>
  <c r="J33" i="4"/>
  <c r="L33" i="4" s="1"/>
  <c r="I21" i="4"/>
  <c r="K21" i="4" s="1"/>
  <c r="J21" i="4"/>
  <c r="L21" i="4" s="1"/>
  <c r="J29" i="4"/>
  <c r="L29" i="4" s="1"/>
  <c r="J933" i="4"/>
  <c r="L933" i="4" s="1"/>
  <c r="J693" i="4"/>
  <c r="L693" i="4" s="1"/>
  <c r="J45" i="4"/>
  <c r="L45" i="4" s="1"/>
  <c r="J1005" i="4"/>
  <c r="L1005" i="4" s="1"/>
  <c r="J989" i="4"/>
  <c r="L989" i="4" s="1"/>
  <c r="J973" i="4"/>
  <c r="L973" i="4" s="1"/>
  <c r="J957" i="4"/>
  <c r="L957" i="4" s="1"/>
  <c r="J941" i="4"/>
  <c r="L941" i="4" s="1"/>
  <c r="J925" i="4"/>
  <c r="L925" i="4" s="1"/>
  <c r="J909" i="4"/>
  <c r="L909" i="4" s="1"/>
  <c r="J893" i="4"/>
  <c r="L893" i="4" s="1"/>
  <c r="J877" i="4"/>
  <c r="L877" i="4" s="1"/>
  <c r="J861" i="4"/>
  <c r="L861" i="4" s="1"/>
  <c r="J845" i="4"/>
  <c r="L845" i="4" s="1"/>
  <c r="J829" i="4"/>
  <c r="L829" i="4" s="1"/>
  <c r="J813" i="4"/>
  <c r="L813" i="4" s="1"/>
  <c r="J797" i="4"/>
  <c r="L797" i="4" s="1"/>
  <c r="J781" i="4"/>
  <c r="L781" i="4" s="1"/>
  <c r="M781" i="4" s="1"/>
  <c r="J765" i="4"/>
  <c r="L765" i="4" s="1"/>
  <c r="J749" i="4"/>
  <c r="L749" i="4" s="1"/>
  <c r="J733" i="4"/>
  <c r="L733" i="4" s="1"/>
  <c r="J717" i="4"/>
  <c r="L717" i="4" s="1"/>
  <c r="J701" i="4"/>
  <c r="L701" i="4" s="1"/>
  <c r="J685" i="4"/>
  <c r="L685" i="4" s="1"/>
  <c r="J668" i="4"/>
  <c r="L668" i="4" s="1"/>
  <c r="J643" i="4"/>
  <c r="L643" i="4" s="1"/>
  <c r="M643" i="4" s="1"/>
  <c r="J619" i="4"/>
  <c r="L619" i="4" s="1"/>
  <c r="M619" i="4" s="1"/>
  <c r="J595" i="4"/>
  <c r="L595" i="4" s="1"/>
  <c r="M595" i="4" s="1"/>
  <c r="J571" i="4"/>
  <c r="L571" i="4" s="1"/>
  <c r="M571" i="4" s="1"/>
  <c r="J453" i="4"/>
  <c r="L453" i="4" s="1"/>
  <c r="M453" i="4" s="1"/>
  <c r="J429" i="4"/>
  <c r="L429" i="4" s="1"/>
  <c r="J412" i="4"/>
  <c r="L412" i="4" s="1"/>
  <c r="J387" i="4"/>
  <c r="L387" i="4" s="1"/>
  <c r="J363" i="4"/>
  <c r="L363" i="4" s="1"/>
  <c r="M363" i="4" s="1"/>
  <c r="J339" i="4"/>
  <c r="L339" i="4" s="1"/>
  <c r="M339" i="4" s="1"/>
  <c r="J315" i="4"/>
  <c r="L315" i="4" s="1"/>
  <c r="M315" i="4" s="1"/>
  <c r="J197" i="4"/>
  <c r="L197" i="4" s="1"/>
  <c r="M197" i="4" s="1"/>
  <c r="J173" i="4"/>
  <c r="L173" i="4" s="1"/>
  <c r="J156" i="4"/>
  <c r="L156" i="4" s="1"/>
  <c r="I303" i="4"/>
  <c r="K303" i="4" s="1"/>
  <c r="J303" i="4"/>
  <c r="L303" i="4" s="1"/>
  <c r="I295" i="4"/>
  <c r="K295" i="4" s="1"/>
  <c r="J295" i="4"/>
  <c r="L295" i="4" s="1"/>
  <c r="I287" i="4"/>
  <c r="K287" i="4" s="1"/>
  <c r="J287" i="4"/>
  <c r="L287" i="4" s="1"/>
  <c r="I279" i="4"/>
  <c r="K279" i="4" s="1"/>
  <c r="J279" i="4"/>
  <c r="L279" i="4" s="1"/>
  <c r="I271" i="4"/>
  <c r="K271" i="4" s="1"/>
  <c r="J271" i="4"/>
  <c r="L271" i="4" s="1"/>
  <c r="I263" i="4"/>
  <c r="K263" i="4" s="1"/>
  <c r="J263" i="4"/>
  <c r="L263" i="4" s="1"/>
  <c r="I255" i="4"/>
  <c r="K255" i="4" s="1"/>
  <c r="J255" i="4"/>
  <c r="L255" i="4" s="1"/>
  <c r="I247" i="4"/>
  <c r="K247" i="4" s="1"/>
  <c r="J247" i="4"/>
  <c r="L247" i="4" s="1"/>
  <c r="I239" i="4"/>
  <c r="K239" i="4" s="1"/>
  <c r="J239" i="4"/>
  <c r="L239" i="4" s="1"/>
  <c r="I231" i="4"/>
  <c r="K231" i="4" s="1"/>
  <c r="J231" i="4"/>
  <c r="L231" i="4" s="1"/>
  <c r="I223" i="4"/>
  <c r="K223" i="4" s="1"/>
  <c r="J223" i="4"/>
  <c r="L223" i="4" s="1"/>
  <c r="I215" i="4"/>
  <c r="K215" i="4" s="1"/>
  <c r="J215" i="4"/>
  <c r="L215" i="4" s="1"/>
  <c r="I207" i="4"/>
  <c r="K207" i="4" s="1"/>
  <c r="J207" i="4"/>
  <c r="L207" i="4" s="1"/>
  <c r="I199" i="4"/>
  <c r="K199" i="4" s="1"/>
  <c r="J199" i="4"/>
  <c r="L199" i="4" s="1"/>
  <c r="I191" i="4"/>
  <c r="K191" i="4" s="1"/>
  <c r="J191" i="4"/>
  <c r="L191" i="4" s="1"/>
  <c r="I183" i="4"/>
  <c r="K183" i="4" s="1"/>
  <c r="J183" i="4"/>
  <c r="L183" i="4" s="1"/>
  <c r="I175" i="4"/>
  <c r="K175" i="4" s="1"/>
  <c r="J175" i="4"/>
  <c r="L175" i="4" s="1"/>
  <c r="I167" i="4"/>
  <c r="K167" i="4" s="1"/>
  <c r="J167" i="4"/>
  <c r="L167" i="4" s="1"/>
  <c r="I159" i="4"/>
  <c r="K159" i="4" s="1"/>
  <c r="J159" i="4"/>
  <c r="L159" i="4" s="1"/>
  <c r="I151" i="4"/>
  <c r="K151" i="4" s="1"/>
  <c r="J151" i="4"/>
  <c r="L151" i="4" s="1"/>
  <c r="I143" i="4"/>
  <c r="K143" i="4" s="1"/>
  <c r="J143" i="4"/>
  <c r="L143" i="4" s="1"/>
  <c r="I135" i="4"/>
  <c r="K135" i="4" s="1"/>
  <c r="J135" i="4"/>
  <c r="L135" i="4" s="1"/>
  <c r="I127" i="4"/>
  <c r="K127" i="4" s="1"/>
  <c r="J127" i="4"/>
  <c r="L127" i="4" s="1"/>
  <c r="I119" i="4"/>
  <c r="K119" i="4" s="1"/>
  <c r="J119" i="4"/>
  <c r="L119" i="4" s="1"/>
  <c r="I111" i="4"/>
  <c r="K111" i="4" s="1"/>
  <c r="J111" i="4"/>
  <c r="L111" i="4" s="1"/>
  <c r="I103" i="4"/>
  <c r="K103" i="4" s="1"/>
  <c r="J103" i="4"/>
  <c r="L103" i="4" s="1"/>
  <c r="I95" i="4"/>
  <c r="K95" i="4" s="1"/>
  <c r="J95" i="4"/>
  <c r="L95" i="4" s="1"/>
  <c r="I87" i="4"/>
  <c r="K87" i="4" s="1"/>
  <c r="J87" i="4"/>
  <c r="L87" i="4" s="1"/>
  <c r="I79" i="4"/>
  <c r="K79" i="4" s="1"/>
  <c r="J79" i="4"/>
  <c r="L79" i="4" s="1"/>
  <c r="I71" i="4"/>
  <c r="K71" i="4" s="1"/>
  <c r="J71" i="4"/>
  <c r="L71" i="4" s="1"/>
  <c r="I63" i="4"/>
  <c r="K63" i="4" s="1"/>
  <c r="J63" i="4"/>
  <c r="L63" i="4" s="1"/>
  <c r="I55" i="4"/>
  <c r="K55" i="4" s="1"/>
  <c r="J55" i="4"/>
  <c r="L55" i="4" s="1"/>
  <c r="I47" i="4"/>
  <c r="K47" i="4" s="1"/>
  <c r="J47" i="4"/>
  <c r="L47" i="4" s="1"/>
  <c r="I39" i="4"/>
  <c r="K39" i="4" s="1"/>
  <c r="J39" i="4"/>
  <c r="L39" i="4" s="1"/>
  <c r="I31" i="4"/>
  <c r="K31" i="4" s="1"/>
  <c r="J31" i="4"/>
  <c r="L31" i="4" s="1"/>
  <c r="I23" i="4"/>
  <c r="K23" i="4" s="1"/>
  <c r="J23" i="4"/>
  <c r="L23" i="4" s="1"/>
  <c r="I15" i="4"/>
  <c r="K15" i="4" s="1"/>
  <c r="J15" i="4"/>
  <c r="L15" i="4" s="1"/>
  <c r="I7" i="4"/>
  <c r="K7" i="4" s="1"/>
  <c r="J7" i="4"/>
  <c r="L7" i="4" s="1"/>
  <c r="J283" i="4"/>
  <c r="L283" i="4" s="1"/>
  <c r="M283" i="4" s="1"/>
  <c r="J219" i="4"/>
  <c r="L219" i="4" s="1"/>
  <c r="M219" i="4" s="1"/>
  <c r="J155" i="4"/>
  <c r="L155" i="4" s="1"/>
  <c r="J91" i="4"/>
  <c r="L91" i="4" s="1"/>
  <c r="M91" i="4" s="1"/>
  <c r="J27" i="4"/>
  <c r="L27" i="4" s="1"/>
  <c r="J666" i="4"/>
  <c r="L666" i="4" s="1"/>
  <c r="J638" i="4"/>
  <c r="L638" i="4" s="1"/>
  <c r="M638" i="4" s="1"/>
  <c r="J602" i="4"/>
  <c r="L602" i="4" s="1"/>
  <c r="M602" i="4" s="1"/>
  <c r="J574" i="4"/>
  <c r="L574" i="4" s="1"/>
  <c r="M574" i="4" s="1"/>
  <c r="J538" i="4"/>
  <c r="L538" i="4" s="1"/>
  <c r="M538" i="4" s="1"/>
  <c r="J510" i="4"/>
  <c r="L510" i="4" s="1"/>
  <c r="M510" i="4" s="1"/>
  <c r="J474" i="4"/>
  <c r="L474" i="4" s="1"/>
  <c r="J446" i="4"/>
  <c r="L446" i="4" s="1"/>
  <c r="M446" i="4" s="1"/>
  <c r="J410" i="4"/>
  <c r="L410" i="4" s="1"/>
  <c r="M410" i="4" s="1"/>
  <c r="J382" i="4"/>
  <c r="L382" i="4" s="1"/>
  <c r="M382" i="4" s="1"/>
  <c r="J346" i="4"/>
  <c r="L346" i="4" s="1"/>
  <c r="M346" i="4" s="1"/>
  <c r="J318" i="4"/>
  <c r="L318" i="4" s="1"/>
  <c r="M318" i="4" s="1"/>
  <c r="J282" i="4"/>
  <c r="L282" i="4" s="1"/>
  <c r="M282" i="4" s="1"/>
  <c r="J254" i="4"/>
  <c r="L254" i="4" s="1"/>
  <c r="J243" i="4"/>
  <c r="L243" i="4" s="1"/>
  <c r="J218" i="4"/>
  <c r="L218" i="4" s="1"/>
  <c r="J190" i="4"/>
  <c r="L190" i="4" s="1"/>
  <c r="J179" i="4"/>
  <c r="L179" i="4" s="1"/>
  <c r="M179" i="4" s="1"/>
  <c r="J154" i="4"/>
  <c r="L154" i="4" s="1"/>
  <c r="M154" i="4" s="1"/>
  <c r="J126" i="4"/>
  <c r="L126" i="4" s="1"/>
  <c r="M126" i="4" s="1"/>
  <c r="J115" i="4"/>
  <c r="L115" i="4" s="1"/>
  <c r="M115" i="4" s="1"/>
  <c r="J90" i="4"/>
  <c r="L90" i="4" s="1"/>
  <c r="J62" i="4"/>
  <c r="L62" i="4" s="1"/>
  <c r="J51" i="4"/>
  <c r="L51" i="4" s="1"/>
  <c r="J26" i="4"/>
  <c r="L26" i="4" s="1"/>
  <c r="J662" i="4"/>
  <c r="L662" i="4" s="1"/>
  <c r="M662" i="4" s="1"/>
  <c r="J626" i="4"/>
  <c r="L626" i="4" s="1"/>
  <c r="M626" i="4" s="1"/>
  <c r="J598" i="4"/>
  <c r="L598" i="4" s="1"/>
  <c r="M598" i="4" s="1"/>
  <c r="J562" i="4"/>
  <c r="L562" i="4" s="1"/>
  <c r="M562" i="4" s="1"/>
  <c r="J534" i="4"/>
  <c r="L534" i="4" s="1"/>
  <c r="J498" i="4"/>
  <c r="L498" i="4" s="1"/>
  <c r="J470" i="4"/>
  <c r="L470" i="4" s="1"/>
  <c r="M470" i="4" s="1"/>
  <c r="J434" i="4"/>
  <c r="L434" i="4" s="1"/>
  <c r="J406" i="4"/>
  <c r="L406" i="4" s="1"/>
  <c r="M406" i="4" s="1"/>
  <c r="J370" i="4"/>
  <c r="L370" i="4" s="1"/>
  <c r="M370" i="4" s="1"/>
  <c r="J342" i="4"/>
  <c r="L342" i="4" s="1"/>
  <c r="N342" i="4" s="1"/>
  <c r="J306" i="4"/>
  <c r="L306" i="4" s="1"/>
  <c r="M306" i="4" s="1"/>
  <c r="J278" i="4"/>
  <c r="L278" i="4" s="1"/>
  <c r="M278" i="4" s="1"/>
  <c r="J267" i="4"/>
  <c r="L267" i="4" s="1"/>
  <c r="M267" i="4" s="1"/>
  <c r="J242" i="4"/>
  <c r="L242" i="4" s="1"/>
  <c r="J214" i="4"/>
  <c r="L214" i="4" s="1"/>
  <c r="J203" i="4"/>
  <c r="L203" i="4" s="1"/>
  <c r="M203" i="4" s="1"/>
  <c r="J178" i="4"/>
  <c r="L178" i="4" s="1"/>
  <c r="M178" i="4" s="1"/>
  <c r="J150" i="4"/>
  <c r="L150" i="4" s="1"/>
  <c r="M150" i="4" s="1"/>
  <c r="J139" i="4"/>
  <c r="L139" i="4" s="1"/>
  <c r="M139" i="4" s="1"/>
  <c r="J114" i="4"/>
  <c r="L114" i="4" s="1"/>
  <c r="J86" i="4"/>
  <c r="L86" i="4" s="1"/>
  <c r="J75" i="4"/>
  <c r="L75" i="4" s="1"/>
  <c r="J50" i="4"/>
  <c r="L50" i="4" s="1"/>
  <c r="J22" i="4"/>
  <c r="L22" i="4" s="1"/>
  <c r="M22" i="4" s="1"/>
  <c r="J11" i="4"/>
  <c r="L11" i="4" s="1"/>
  <c r="M11" i="4" s="1"/>
  <c r="J998" i="4"/>
  <c r="L998" i="4" s="1"/>
  <c r="M998" i="4" s="1"/>
  <c r="J990" i="4"/>
  <c r="L990" i="4" s="1"/>
  <c r="M990" i="4" s="1"/>
  <c r="J982" i="4"/>
  <c r="L982" i="4" s="1"/>
  <c r="M982" i="4" s="1"/>
  <c r="J974" i="4"/>
  <c r="L974" i="4" s="1"/>
  <c r="J966" i="4"/>
  <c r="L966" i="4" s="1"/>
  <c r="J958" i="4"/>
  <c r="L958" i="4" s="1"/>
  <c r="J950" i="4"/>
  <c r="L950" i="4" s="1"/>
  <c r="M950" i="4" s="1"/>
  <c r="J942" i="4"/>
  <c r="L942" i="4" s="1"/>
  <c r="J934" i="4"/>
  <c r="L934" i="4" s="1"/>
  <c r="M934" i="4" s="1"/>
  <c r="J926" i="4"/>
  <c r="L926" i="4" s="1"/>
  <c r="N926" i="4" s="1"/>
  <c r="J918" i="4"/>
  <c r="L918" i="4" s="1"/>
  <c r="J910" i="4"/>
  <c r="L910" i="4" s="1"/>
  <c r="J902" i="4"/>
  <c r="L902" i="4" s="1"/>
  <c r="J894" i="4"/>
  <c r="L894" i="4" s="1"/>
  <c r="J886" i="4"/>
  <c r="L886" i="4" s="1"/>
  <c r="M886" i="4" s="1"/>
  <c r="J878" i="4"/>
  <c r="L878" i="4" s="1"/>
  <c r="M878" i="4" s="1"/>
  <c r="J870" i="4"/>
  <c r="L870" i="4" s="1"/>
  <c r="N870" i="4" s="1"/>
  <c r="J862" i="4"/>
  <c r="L862" i="4" s="1"/>
  <c r="N862" i="4" s="1"/>
  <c r="J854" i="4"/>
  <c r="L854" i="4" s="1"/>
  <c r="J846" i="4"/>
  <c r="L846" i="4" s="1"/>
  <c r="J838" i="4"/>
  <c r="L838" i="4" s="1"/>
  <c r="J830" i="4"/>
  <c r="L830" i="4" s="1"/>
  <c r="J822" i="4"/>
  <c r="L822" i="4" s="1"/>
  <c r="M822" i="4" s="1"/>
  <c r="J814" i="4"/>
  <c r="L814" i="4" s="1"/>
  <c r="M814" i="4" s="1"/>
  <c r="J806" i="4"/>
  <c r="L806" i="4" s="1"/>
  <c r="M806" i="4" s="1"/>
  <c r="J798" i="4"/>
  <c r="L798" i="4" s="1"/>
  <c r="M798" i="4" s="1"/>
  <c r="J790" i="4"/>
  <c r="L790" i="4" s="1"/>
  <c r="M790" i="4" s="1"/>
  <c r="J782" i="4"/>
  <c r="L782" i="4" s="1"/>
  <c r="J774" i="4"/>
  <c r="L774" i="4" s="1"/>
  <c r="J766" i="4"/>
  <c r="L766" i="4" s="1"/>
  <c r="J758" i="4"/>
  <c r="L758" i="4" s="1"/>
  <c r="M758" i="4" s="1"/>
  <c r="J750" i="4"/>
  <c r="L750" i="4" s="1"/>
  <c r="M750" i="4" s="1"/>
  <c r="J742" i="4"/>
  <c r="L742" i="4" s="1"/>
  <c r="M742" i="4" s="1"/>
  <c r="J734" i="4"/>
  <c r="L734" i="4" s="1"/>
  <c r="M734" i="4" s="1"/>
  <c r="J726" i="4"/>
  <c r="L726" i="4" s="1"/>
  <c r="J718" i="4"/>
  <c r="L718" i="4" s="1"/>
  <c r="J710" i="4"/>
  <c r="L710" i="4" s="1"/>
  <c r="J702" i="4"/>
  <c r="L702" i="4" s="1"/>
  <c r="J694" i="4"/>
  <c r="L694" i="4" s="1"/>
  <c r="M694" i="4" s="1"/>
  <c r="J686" i="4"/>
  <c r="L686" i="4" s="1"/>
  <c r="M686" i="4" s="1"/>
  <c r="J650" i="4"/>
  <c r="L650" i="4" s="1"/>
  <c r="M650" i="4" s="1"/>
  <c r="J622" i="4"/>
  <c r="L622" i="4" s="1"/>
  <c r="M622" i="4" s="1"/>
  <c r="J586" i="4"/>
  <c r="L586" i="4" s="1"/>
  <c r="J558" i="4"/>
  <c r="L558" i="4" s="1"/>
  <c r="J522" i="4"/>
  <c r="L522" i="4" s="1"/>
  <c r="J494" i="4"/>
  <c r="L494" i="4" s="1"/>
  <c r="J458" i="4"/>
  <c r="L458" i="4" s="1"/>
  <c r="M458" i="4" s="1"/>
  <c r="J430" i="4"/>
  <c r="L430" i="4" s="1"/>
  <c r="M430" i="4" s="1"/>
  <c r="J394" i="4"/>
  <c r="L394" i="4" s="1"/>
  <c r="M394" i="4" s="1"/>
  <c r="J366" i="4"/>
  <c r="L366" i="4" s="1"/>
  <c r="M366" i="4" s="1"/>
  <c r="J330" i="4"/>
  <c r="L330" i="4" s="1"/>
  <c r="J302" i="4"/>
  <c r="L302" i="4" s="1"/>
  <c r="M302" i="4" s="1"/>
  <c r="J291" i="4"/>
  <c r="L291" i="4" s="1"/>
  <c r="M291" i="4" s="1"/>
  <c r="J266" i="4"/>
  <c r="L266" i="4" s="1"/>
  <c r="M266" i="4" s="1"/>
  <c r="J238" i="4"/>
  <c r="L238" i="4" s="1"/>
  <c r="M238" i="4" s="1"/>
  <c r="J227" i="4"/>
  <c r="L227" i="4" s="1"/>
  <c r="M227" i="4" s="1"/>
  <c r="J202" i="4"/>
  <c r="L202" i="4" s="1"/>
  <c r="M202" i="4" s="1"/>
  <c r="J174" i="4"/>
  <c r="L174" i="4" s="1"/>
  <c r="M174" i="4" s="1"/>
  <c r="J163" i="4"/>
  <c r="L163" i="4" s="1"/>
  <c r="J138" i="4"/>
  <c r="L138" i="4" s="1"/>
  <c r="J110" i="4"/>
  <c r="L110" i="4" s="1"/>
  <c r="J99" i="4"/>
  <c r="L99" i="4" s="1"/>
  <c r="J74" i="4"/>
  <c r="L74" i="4" s="1"/>
  <c r="M74" i="4" s="1"/>
  <c r="J46" i="4"/>
  <c r="L46" i="4" s="1"/>
  <c r="M46" i="4" s="1"/>
  <c r="J35" i="4"/>
  <c r="L35" i="4" s="1"/>
  <c r="M35" i="4" s="1"/>
  <c r="J10" i="4"/>
  <c r="L10" i="4" s="1"/>
  <c r="M10" i="4" s="1"/>
  <c r="J6" i="4"/>
  <c r="L6" i="4" s="1"/>
  <c r="M6" i="4" s="1"/>
  <c r="Q79" i="3"/>
  <c r="R79" i="3" s="1"/>
  <c r="S79" i="3" s="1"/>
  <c r="Q609" i="3"/>
  <c r="R609" i="3" s="1"/>
  <c r="S609" i="3" s="1"/>
  <c r="Q241" i="3"/>
  <c r="R241" i="3" s="1"/>
  <c r="S241" i="3" s="1"/>
  <c r="Q550" i="3"/>
  <c r="R550" i="3" s="1"/>
  <c r="S550" i="3" s="1"/>
  <c r="Q220" i="3"/>
  <c r="R220" i="3" s="1"/>
  <c r="S220" i="3" s="1"/>
  <c r="Q384" i="3"/>
  <c r="R384" i="3" s="1"/>
  <c r="S384" i="3" s="1"/>
  <c r="Q180" i="3"/>
  <c r="R180" i="3" s="1"/>
  <c r="S180" i="3" s="1"/>
  <c r="Q983" i="3"/>
  <c r="R983" i="3" s="1"/>
  <c r="S983" i="3" s="1"/>
  <c r="Q361" i="3"/>
  <c r="R361" i="3" s="1"/>
  <c r="S361" i="3" s="1"/>
  <c r="Q158" i="3"/>
  <c r="R158" i="3" s="1"/>
  <c r="S158" i="3" s="1"/>
  <c r="Q904" i="3"/>
  <c r="R904" i="3" s="1"/>
  <c r="S904" i="3" s="1"/>
  <c r="Q321" i="3"/>
  <c r="R321" i="3" s="1"/>
  <c r="S321" i="3" s="1"/>
  <c r="Q140" i="3"/>
  <c r="R140" i="3" s="1"/>
  <c r="S140" i="3" s="1"/>
  <c r="Q801" i="3"/>
  <c r="R801" i="3" s="1"/>
  <c r="S801" i="3" s="1"/>
  <c r="Q303" i="3"/>
  <c r="R303" i="3" s="1"/>
  <c r="S303" i="3" s="1"/>
  <c r="Q113" i="3"/>
  <c r="R113" i="3" s="1"/>
  <c r="S113" i="3" s="1"/>
  <c r="Q737" i="3"/>
  <c r="R737" i="3" s="1"/>
  <c r="S737" i="3" s="1"/>
  <c r="Q281" i="3"/>
  <c r="R281" i="3" s="1"/>
  <c r="S281" i="3" s="1"/>
  <c r="Q669" i="3"/>
  <c r="R669" i="3" s="1"/>
  <c r="S669" i="3" s="1"/>
  <c r="Q260" i="3"/>
  <c r="R260" i="3" s="1"/>
  <c r="S260" i="3" s="1"/>
  <c r="Q41" i="3"/>
  <c r="R41" i="3" s="1"/>
  <c r="S41" i="3" s="1"/>
  <c r="H1004" i="3"/>
  <c r="I1004" i="3" s="1"/>
  <c r="J1004" i="3" s="1"/>
  <c r="K1004" i="3" s="1"/>
  <c r="L1004" i="3" s="1"/>
  <c r="M1004" i="3" s="1"/>
  <c r="N1004" i="3" s="1"/>
  <c r="O1004" i="3" s="1"/>
  <c r="P1004" i="3" s="1"/>
  <c r="H996" i="3"/>
  <c r="I996" i="3" s="1"/>
  <c r="J996" i="3" s="1"/>
  <c r="K996" i="3" s="1"/>
  <c r="L996" i="3" s="1"/>
  <c r="M996" i="3" s="1"/>
  <c r="N996" i="3" s="1"/>
  <c r="O996" i="3" s="1"/>
  <c r="P996" i="3" s="1"/>
  <c r="H988" i="3"/>
  <c r="I988" i="3" s="1"/>
  <c r="J988" i="3" s="1"/>
  <c r="K988" i="3" s="1"/>
  <c r="L988" i="3" s="1"/>
  <c r="M988" i="3" s="1"/>
  <c r="N988" i="3" s="1"/>
  <c r="O988" i="3" s="1"/>
  <c r="P988" i="3" s="1"/>
  <c r="H980" i="3"/>
  <c r="I980" i="3" s="1"/>
  <c r="J980" i="3" s="1"/>
  <c r="K980" i="3" s="1"/>
  <c r="L980" i="3" s="1"/>
  <c r="M980" i="3" s="1"/>
  <c r="N980" i="3" s="1"/>
  <c r="O980" i="3" s="1"/>
  <c r="P980" i="3" s="1"/>
  <c r="H972" i="3"/>
  <c r="I972" i="3" s="1"/>
  <c r="J972" i="3" s="1"/>
  <c r="K972" i="3" s="1"/>
  <c r="L972" i="3" s="1"/>
  <c r="M972" i="3" s="1"/>
  <c r="N972" i="3" s="1"/>
  <c r="O972" i="3" s="1"/>
  <c r="P972" i="3" s="1"/>
  <c r="H964" i="3"/>
  <c r="I964" i="3" s="1"/>
  <c r="J964" i="3" s="1"/>
  <c r="K964" i="3" s="1"/>
  <c r="L964" i="3" s="1"/>
  <c r="M964" i="3" s="1"/>
  <c r="N964" i="3" s="1"/>
  <c r="O964" i="3" s="1"/>
  <c r="P964" i="3" s="1"/>
  <c r="H956" i="3"/>
  <c r="I956" i="3" s="1"/>
  <c r="J956" i="3" s="1"/>
  <c r="K956" i="3" s="1"/>
  <c r="L956" i="3" s="1"/>
  <c r="M956" i="3" s="1"/>
  <c r="N956" i="3" s="1"/>
  <c r="O956" i="3" s="1"/>
  <c r="P956" i="3" s="1"/>
  <c r="H948" i="3"/>
  <c r="I948" i="3" s="1"/>
  <c r="J948" i="3" s="1"/>
  <c r="K948" i="3" s="1"/>
  <c r="L948" i="3" s="1"/>
  <c r="M948" i="3" s="1"/>
  <c r="N948" i="3" s="1"/>
  <c r="O948" i="3" s="1"/>
  <c r="P948" i="3" s="1"/>
  <c r="H940" i="3"/>
  <c r="I940" i="3" s="1"/>
  <c r="J940" i="3" s="1"/>
  <c r="K940" i="3" s="1"/>
  <c r="L940" i="3" s="1"/>
  <c r="M940" i="3" s="1"/>
  <c r="N940" i="3" s="1"/>
  <c r="O940" i="3" s="1"/>
  <c r="P940" i="3" s="1"/>
  <c r="H932" i="3"/>
  <c r="I932" i="3" s="1"/>
  <c r="J932" i="3" s="1"/>
  <c r="K932" i="3" s="1"/>
  <c r="L932" i="3" s="1"/>
  <c r="M932" i="3" s="1"/>
  <c r="N932" i="3" s="1"/>
  <c r="O932" i="3" s="1"/>
  <c r="P932" i="3" s="1"/>
  <c r="H924" i="3"/>
  <c r="I924" i="3" s="1"/>
  <c r="J924" i="3" s="1"/>
  <c r="K924" i="3" s="1"/>
  <c r="L924" i="3" s="1"/>
  <c r="M924" i="3" s="1"/>
  <c r="N924" i="3" s="1"/>
  <c r="O924" i="3" s="1"/>
  <c r="P924" i="3" s="1"/>
  <c r="H916" i="3"/>
  <c r="I916" i="3" s="1"/>
  <c r="J916" i="3" s="1"/>
  <c r="K916" i="3" s="1"/>
  <c r="L916" i="3" s="1"/>
  <c r="M916" i="3" s="1"/>
  <c r="N916" i="3" s="1"/>
  <c r="O916" i="3" s="1"/>
  <c r="P916" i="3" s="1"/>
  <c r="H908" i="3"/>
  <c r="I908" i="3" s="1"/>
  <c r="J908" i="3" s="1"/>
  <c r="K908" i="3" s="1"/>
  <c r="L908" i="3" s="1"/>
  <c r="M908" i="3" s="1"/>
  <c r="N908" i="3" s="1"/>
  <c r="O908" i="3" s="1"/>
  <c r="P908" i="3" s="1"/>
  <c r="H900" i="3"/>
  <c r="I900" i="3" s="1"/>
  <c r="J900" i="3" s="1"/>
  <c r="K900" i="3" s="1"/>
  <c r="L900" i="3" s="1"/>
  <c r="M900" i="3" s="1"/>
  <c r="N900" i="3" s="1"/>
  <c r="O900" i="3" s="1"/>
  <c r="P900" i="3" s="1"/>
  <c r="H884" i="3"/>
  <c r="I884" i="3" s="1"/>
  <c r="J884" i="3" s="1"/>
  <c r="K884" i="3" s="1"/>
  <c r="L884" i="3" s="1"/>
  <c r="M884" i="3" s="1"/>
  <c r="N884" i="3" s="1"/>
  <c r="O884" i="3" s="1"/>
  <c r="P884" i="3" s="1"/>
  <c r="H876" i="3"/>
  <c r="I876" i="3" s="1"/>
  <c r="J876" i="3" s="1"/>
  <c r="K876" i="3" s="1"/>
  <c r="L876" i="3" s="1"/>
  <c r="M876" i="3" s="1"/>
  <c r="N876" i="3" s="1"/>
  <c r="O876" i="3" s="1"/>
  <c r="P876" i="3" s="1"/>
  <c r="H868" i="3"/>
  <c r="I868" i="3" s="1"/>
  <c r="J868" i="3" s="1"/>
  <c r="K868" i="3" s="1"/>
  <c r="L868" i="3" s="1"/>
  <c r="M868" i="3" s="1"/>
  <c r="N868" i="3" s="1"/>
  <c r="O868" i="3" s="1"/>
  <c r="P868" i="3" s="1"/>
  <c r="H860" i="3"/>
  <c r="I860" i="3" s="1"/>
  <c r="J860" i="3" s="1"/>
  <c r="K860" i="3" s="1"/>
  <c r="L860" i="3" s="1"/>
  <c r="M860" i="3" s="1"/>
  <c r="N860" i="3" s="1"/>
  <c r="O860" i="3" s="1"/>
  <c r="P860" i="3" s="1"/>
  <c r="H852" i="3"/>
  <c r="I852" i="3" s="1"/>
  <c r="J852" i="3" s="1"/>
  <c r="K852" i="3" s="1"/>
  <c r="L852" i="3" s="1"/>
  <c r="M852" i="3" s="1"/>
  <c r="N852" i="3" s="1"/>
  <c r="O852" i="3" s="1"/>
  <c r="P852" i="3" s="1"/>
  <c r="H844" i="3"/>
  <c r="I844" i="3" s="1"/>
  <c r="J844" i="3" s="1"/>
  <c r="K844" i="3" s="1"/>
  <c r="L844" i="3" s="1"/>
  <c r="M844" i="3" s="1"/>
  <c r="N844" i="3" s="1"/>
  <c r="O844" i="3" s="1"/>
  <c r="P844" i="3" s="1"/>
  <c r="H836" i="3"/>
  <c r="I836" i="3" s="1"/>
  <c r="J836" i="3" s="1"/>
  <c r="K836" i="3" s="1"/>
  <c r="L836" i="3" s="1"/>
  <c r="M836" i="3" s="1"/>
  <c r="N836" i="3" s="1"/>
  <c r="O836" i="3" s="1"/>
  <c r="P836" i="3" s="1"/>
  <c r="H820" i="3"/>
  <c r="I820" i="3" s="1"/>
  <c r="J820" i="3" s="1"/>
  <c r="K820" i="3" s="1"/>
  <c r="L820" i="3" s="1"/>
  <c r="M820" i="3" s="1"/>
  <c r="N820" i="3" s="1"/>
  <c r="O820" i="3" s="1"/>
  <c r="P820" i="3" s="1"/>
  <c r="H812" i="3"/>
  <c r="I812" i="3" s="1"/>
  <c r="J812" i="3" s="1"/>
  <c r="K812" i="3" s="1"/>
  <c r="L812" i="3" s="1"/>
  <c r="M812" i="3" s="1"/>
  <c r="N812" i="3" s="1"/>
  <c r="O812" i="3" s="1"/>
  <c r="P812" i="3" s="1"/>
  <c r="H804" i="3"/>
  <c r="I804" i="3" s="1"/>
  <c r="J804" i="3" s="1"/>
  <c r="K804" i="3" s="1"/>
  <c r="L804" i="3" s="1"/>
  <c r="M804" i="3" s="1"/>
  <c r="N804" i="3" s="1"/>
  <c r="O804" i="3" s="1"/>
  <c r="P804" i="3" s="1"/>
  <c r="H796" i="3"/>
  <c r="I796" i="3" s="1"/>
  <c r="J796" i="3" s="1"/>
  <c r="K796" i="3" s="1"/>
  <c r="L796" i="3" s="1"/>
  <c r="M796" i="3" s="1"/>
  <c r="N796" i="3" s="1"/>
  <c r="O796" i="3" s="1"/>
  <c r="P796" i="3" s="1"/>
  <c r="H788" i="3"/>
  <c r="I788" i="3" s="1"/>
  <c r="J788" i="3" s="1"/>
  <c r="K788" i="3" s="1"/>
  <c r="L788" i="3" s="1"/>
  <c r="M788" i="3" s="1"/>
  <c r="N788" i="3" s="1"/>
  <c r="O788" i="3" s="1"/>
  <c r="P788" i="3" s="1"/>
  <c r="H780" i="3"/>
  <c r="I780" i="3" s="1"/>
  <c r="J780" i="3" s="1"/>
  <c r="K780" i="3" s="1"/>
  <c r="L780" i="3" s="1"/>
  <c r="M780" i="3" s="1"/>
  <c r="N780" i="3" s="1"/>
  <c r="O780" i="3" s="1"/>
  <c r="P780" i="3" s="1"/>
  <c r="H772" i="3"/>
  <c r="I772" i="3" s="1"/>
  <c r="J772" i="3" s="1"/>
  <c r="K772" i="3" s="1"/>
  <c r="L772" i="3" s="1"/>
  <c r="M772" i="3" s="1"/>
  <c r="N772" i="3" s="1"/>
  <c r="O772" i="3" s="1"/>
  <c r="P772" i="3" s="1"/>
  <c r="H756" i="3"/>
  <c r="I756" i="3" s="1"/>
  <c r="J756" i="3" s="1"/>
  <c r="K756" i="3" s="1"/>
  <c r="L756" i="3" s="1"/>
  <c r="M756" i="3" s="1"/>
  <c r="N756" i="3" s="1"/>
  <c r="O756" i="3" s="1"/>
  <c r="P756" i="3" s="1"/>
  <c r="H748" i="3"/>
  <c r="I748" i="3" s="1"/>
  <c r="J748" i="3" s="1"/>
  <c r="K748" i="3" s="1"/>
  <c r="L748" i="3" s="1"/>
  <c r="M748" i="3" s="1"/>
  <c r="N748" i="3" s="1"/>
  <c r="O748" i="3" s="1"/>
  <c r="P748" i="3" s="1"/>
  <c r="H740" i="3"/>
  <c r="I740" i="3" s="1"/>
  <c r="J740" i="3" s="1"/>
  <c r="K740" i="3" s="1"/>
  <c r="L740" i="3" s="1"/>
  <c r="M740" i="3" s="1"/>
  <c r="N740" i="3" s="1"/>
  <c r="O740" i="3" s="1"/>
  <c r="P740" i="3" s="1"/>
  <c r="H732" i="3"/>
  <c r="I732" i="3" s="1"/>
  <c r="J732" i="3" s="1"/>
  <c r="K732" i="3" s="1"/>
  <c r="L732" i="3" s="1"/>
  <c r="M732" i="3" s="1"/>
  <c r="N732" i="3" s="1"/>
  <c r="O732" i="3" s="1"/>
  <c r="P732" i="3" s="1"/>
  <c r="H724" i="3"/>
  <c r="I724" i="3" s="1"/>
  <c r="J724" i="3" s="1"/>
  <c r="K724" i="3" s="1"/>
  <c r="L724" i="3" s="1"/>
  <c r="M724" i="3" s="1"/>
  <c r="N724" i="3" s="1"/>
  <c r="O724" i="3" s="1"/>
  <c r="P724" i="3" s="1"/>
  <c r="H716" i="3"/>
  <c r="I716" i="3" s="1"/>
  <c r="J716" i="3" s="1"/>
  <c r="K716" i="3" s="1"/>
  <c r="L716" i="3" s="1"/>
  <c r="M716" i="3" s="1"/>
  <c r="N716" i="3" s="1"/>
  <c r="O716" i="3" s="1"/>
  <c r="P716" i="3" s="1"/>
  <c r="H708" i="3"/>
  <c r="I708" i="3" s="1"/>
  <c r="J708" i="3" s="1"/>
  <c r="K708" i="3" s="1"/>
  <c r="L708" i="3" s="1"/>
  <c r="M708" i="3" s="1"/>
  <c r="N708" i="3" s="1"/>
  <c r="O708" i="3" s="1"/>
  <c r="P708" i="3" s="1"/>
  <c r="H692" i="3"/>
  <c r="I692" i="3" s="1"/>
  <c r="J692" i="3" s="1"/>
  <c r="K692" i="3" s="1"/>
  <c r="L692" i="3" s="1"/>
  <c r="M692" i="3" s="1"/>
  <c r="N692" i="3" s="1"/>
  <c r="O692" i="3" s="1"/>
  <c r="P692" i="3" s="1"/>
  <c r="H684" i="3"/>
  <c r="I684" i="3" s="1"/>
  <c r="J684" i="3" s="1"/>
  <c r="K684" i="3" s="1"/>
  <c r="L684" i="3" s="1"/>
  <c r="M684" i="3" s="1"/>
  <c r="N684" i="3" s="1"/>
  <c r="O684" i="3" s="1"/>
  <c r="P684" i="3" s="1"/>
  <c r="H676" i="3"/>
  <c r="I676" i="3" s="1"/>
  <c r="J676" i="3" s="1"/>
  <c r="K676" i="3" s="1"/>
  <c r="L676" i="3" s="1"/>
  <c r="M676" i="3" s="1"/>
  <c r="N676" i="3" s="1"/>
  <c r="O676" i="3" s="1"/>
  <c r="P676" i="3" s="1"/>
  <c r="H668" i="3"/>
  <c r="I668" i="3" s="1"/>
  <c r="J668" i="3" s="1"/>
  <c r="K668" i="3" s="1"/>
  <c r="L668" i="3" s="1"/>
  <c r="M668" i="3" s="1"/>
  <c r="N668" i="3" s="1"/>
  <c r="O668" i="3" s="1"/>
  <c r="P668" i="3" s="1"/>
  <c r="H660" i="3"/>
  <c r="I660" i="3" s="1"/>
  <c r="J660" i="3" s="1"/>
  <c r="K660" i="3" s="1"/>
  <c r="L660" i="3" s="1"/>
  <c r="M660" i="3" s="1"/>
  <c r="N660" i="3" s="1"/>
  <c r="O660" i="3" s="1"/>
  <c r="P660" i="3" s="1"/>
  <c r="H644" i="3"/>
  <c r="I644" i="3" s="1"/>
  <c r="J644" i="3" s="1"/>
  <c r="K644" i="3" s="1"/>
  <c r="L644" i="3" s="1"/>
  <c r="M644" i="3" s="1"/>
  <c r="N644" i="3" s="1"/>
  <c r="O644" i="3" s="1"/>
  <c r="P644" i="3" s="1"/>
  <c r="H636" i="3"/>
  <c r="I636" i="3" s="1"/>
  <c r="J636" i="3" s="1"/>
  <c r="K636" i="3" s="1"/>
  <c r="L636" i="3" s="1"/>
  <c r="M636" i="3" s="1"/>
  <c r="N636" i="3" s="1"/>
  <c r="O636" i="3" s="1"/>
  <c r="P636" i="3" s="1"/>
  <c r="H628" i="3"/>
  <c r="I628" i="3" s="1"/>
  <c r="J628" i="3" s="1"/>
  <c r="K628" i="3" s="1"/>
  <c r="L628" i="3" s="1"/>
  <c r="M628" i="3" s="1"/>
  <c r="N628" i="3" s="1"/>
  <c r="O628" i="3" s="1"/>
  <c r="P628" i="3" s="1"/>
  <c r="H620" i="3"/>
  <c r="I620" i="3" s="1"/>
  <c r="J620" i="3" s="1"/>
  <c r="K620" i="3" s="1"/>
  <c r="L620" i="3" s="1"/>
  <c r="M620" i="3" s="1"/>
  <c r="N620" i="3" s="1"/>
  <c r="O620" i="3" s="1"/>
  <c r="P620" i="3" s="1"/>
  <c r="H612" i="3"/>
  <c r="I612" i="3" s="1"/>
  <c r="J612" i="3" s="1"/>
  <c r="K612" i="3" s="1"/>
  <c r="L612" i="3" s="1"/>
  <c r="M612" i="3" s="1"/>
  <c r="N612" i="3" s="1"/>
  <c r="O612" i="3" s="1"/>
  <c r="P612" i="3" s="1"/>
  <c r="H604" i="3"/>
  <c r="I604" i="3" s="1"/>
  <c r="J604" i="3" s="1"/>
  <c r="K604" i="3" s="1"/>
  <c r="L604" i="3" s="1"/>
  <c r="M604" i="3" s="1"/>
  <c r="N604" i="3" s="1"/>
  <c r="O604" i="3" s="1"/>
  <c r="P604" i="3" s="1"/>
  <c r="H596" i="3"/>
  <c r="I596" i="3" s="1"/>
  <c r="J596" i="3" s="1"/>
  <c r="K596" i="3" s="1"/>
  <c r="L596" i="3" s="1"/>
  <c r="M596" i="3" s="1"/>
  <c r="N596" i="3" s="1"/>
  <c r="O596" i="3" s="1"/>
  <c r="P596" i="3" s="1"/>
  <c r="H588" i="3"/>
  <c r="I588" i="3" s="1"/>
  <c r="J588" i="3" s="1"/>
  <c r="K588" i="3" s="1"/>
  <c r="L588" i="3" s="1"/>
  <c r="M588" i="3" s="1"/>
  <c r="N588" i="3" s="1"/>
  <c r="O588" i="3" s="1"/>
  <c r="P588" i="3" s="1"/>
  <c r="H580" i="3"/>
  <c r="I580" i="3" s="1"/>
  <c r="J580" i="3" s="1"/>
  <c r="K580" i="3" s="1"/>
  <c r="L580" i="3" s="1"/>
  <c r="M580" i="3" s="1"/>
  <c r="N580" i="3" s="1"/>
  <c r="O580" i="3" s="1"/>
  <c r="P580" i="3" s="1"/>
  <c r="H572" i="3"/>
  <c r="I572" i="3" s="1"/>
  <c r="J572" i="3" s="1"/>
  <c r="K572" i="3" s="1"/>
  <c r="L572" i="3" s="1"/>
  <c r="M572" i="3" s="1"/>
  <c r="N572" i="3" s="1"/>
  <c r="O572" i="3" s="1"/>
  <c r="P572" i="3" s="1"/>
  <c r="H564" i="3"/>
  <c r="I564" i="3" s="1"/>
  <c r="J564" i="3" s="1"/>
  <c r="K564" i="3" s="1"/>
  <c r="L564" i="3" s="1"/>
  <c r="M564" i="3" s="1"/>
  <c r="N564" i="3" s="1"/>
  <c r="O564" i="3" s="1"/>
  <c r="P564" i="3" s="1"/>
  <c r="H556" i="3"/>
  <c r="I556" i="3" s="1"/>
  <c r="J556" i="3" s="1"/>
  <c r="K556" i="3" s="1"/>
  <c r="L556" i="3" s="1"/>
  <c r="M556" i="3" s="1"/>
  <c r="N556" i="3" s="1"/>
  <c r="O556" i="3" s="1"/>
  <c r="P556" i="3" s="1"/>
  <c r="H548" i="3"/>
  <c r="I548" i="3" s="1"/>
  <c r="J548" i="3" s="1"/>
  <c r="K548" i="3" s="1"/>
  <c r="L548" i="3" s="1"/>
  <c r="M548" i="3" s="1"/>
  <c r="N548" i="3" s="1"/>
  <c r="O548" i="3" s="1"/>
  <c r="P548" i="3" s="1"/>
  <c r="H540" i="3"/>
  <c r="I540" i="3" s="1"/>
  <c r="J540" i="3" s="1"/>
  <c r="K540" i="3" s="1"/>
  <c r="L540" i="3" s="1"/>
  <c r="M540" i="3" s="1"/>
  <c r="N540" i="3" s="1"/>
  <c r="O540" i="3" s="1"/>
  <c r="P540" i="3" s="1"/>
  <c r="H532" i="3"/>
  <c r="I532" i="3" s="1"/>
  <c r="J532" i="3" s="1"/>
  <c r="K532" i="3" s="1"/>
  <c r="L532" i="3" s="1"/>
  <c r="M532" i="3" s="1"/>
  <c r="N532" i="3" s="1"/>
  <c r="O532" i="3" s="1"/>
  <c r="P532" i="3" s="1"/>
  <c r="H524" i="3"/>
  <c r="I524" i="3" s="1"/>
  <c r="J524" i="3" s="1"/>
  <c r="K524" i="3" s="1"/>
  <c r="L524" i="3" s="1"/>
  <c r="M524" i="3" s="1"/>
  <c r="N524" i="3" s="1"/>
  <c r="O524" i="3" s="1"/>
  <c r="P524" i="3" s="1"/>
  <c r="H516" i="3"/>
  <c r="I516" i="3" s="1"/>
  <c r="J516" i="3" s="1"/>
  <c r="K516" i="3" s="1"/>
  <c r="L516" i="3" s="1"/>
  <c r="M516" i="3" s="1"/>
  <c r="N516" i="3" s="1"/>
  <c r="O516" i="3" s="1"/>
  <c r="P516" i="3" s="1"/>
  <c r="H500" i="3"/>
  <c r="I500" i="3" s="1"/>
  <c r="J500" i="3" s="1"/>
  <c r="K500" i="3" s="1"/>
  <c r="L500" i="3" s="1"/>
  <c r="M500" i="3" s="1"/>
  <c r="N500" i="3" s="1"/>
  <c r="O500" i="3" s="1"/>
  <c r="P500" i="3" s="1"/>
  <c r="H492" i="3"/>
  <c r="I492" i="3" s="1"/>
  <c r="J492" i="3" s="1"/>
  <c r="K492" i="3" s="1"/>
  <c r="L492" i="3" s="1"/>
  <c r="M492" i="3" s="1"/>
  <c r="N492" i="3" s="1"/>
  <c r="O492" i="3" s="1"/>
  <c r="P492" i="3" s="1"/>
  <c r="H484" i="3"/>
  <c r="I484" i="3" s="1"/>
  <c r="J484" i="3" s="1"/>
  <c r="K484" i="3" s="1"/>
  <c r="L484" i="3" s="1"/>
  <c r="M484" i="3" s="1"/>
  <c r="N484" i="3" s="1"/>
  <c r="O484" i="3" s="1"/>
  <c r="P484" i="3" s="1"/>
  <c r="H476" i="3"/>
  <c r="I476" i="3" s="1"/>
  <c r="J476" i="3" s="1"/>
  <c r="K476" i="3" s="1"/>
  <c r="L476" i="3" s="1"/>
  <c r="M476" i="3" s="1"/>
  <c r="N476" i="3" s="1"/>
  <c r="O476" i="3" s="1"/>
  <c r="P476" i="3" s="1"/>
  <c r="H468" i="3"/>
  <c r="I468" i="3" s="1"/>
  <c r="J468" i="3" s="1"/>
  <c r="K468" i="3" s="1"/>
  <c r="L468" i="3" s="1"/>
  <c r="M468" i="3" s="1"/>
  <c r="N468" i="3" s="1"/>
  <c r="O468" i="3" s="1"/>
  <c r="P468" i="3" s="1"/>
  <c r="H460" i="3"/>
  <c r="I460" i="3" s="1"/>
  <c r="J460" i="3" s="1"/>
  <c r="K460" i="3" s="1"/>
  <c r="L460" i="3" s="1"/>
  <c r="M460" i="3" s="1"/>
  <c r="N460" i="3" s="1"/>
  <c r="O460" i="3" s="1"/>
  <c r="P460" i="3" s="1"/>
  <c r="H452" i="3"/>
  <c r="I452" i="3" s="1"/>
  <c r="J452" i="3" s="1"/>
  <c r="K452" i="3" s="1"/>
  <c r="L452" i="3" s="1"/>
  <c r="M452" i="3" s="1"/>
  <c r="N452" i="3" s="1"/>
  <c r="O452" i="3" s="1"/>
  <c r="P452" i="3" s="1"/>
  <c r="H444" i="3"/>
  <c r="I444" i="3" s="1"/>
  <c r="J444" i="3" s="1"/>
  <c r="K444" i="3" s="1"/>
  <c r="L444" i="3" s="1"/>
  <c r="M444" i="3" s="1"/>
  <c r="N444" i="3" s="1"/>
  <c r="O444" i="3" s="1"/>
  <c r="P444" i="3" s="1"/>
  <c r="Q700" i="3"/>
  <c r="R700" i="3" s="1"/>
  <c r="S700" i="3" s="1"/>
  <c r="H1003" i="3"/>
  <c r="I1003" i="3" s="1"/>
  <c r="J1003" i="3" s="1"/>
  <c r="K1003" i="3" s="1"/>
  <c r="L1003" i="3" s="1"/>
  <c r="M1003" i="3" s="1"/>
  <c r="N1003" i="3" s="1"/>
  <c r="O1003" i="3" s="1"/>
  <c r="P1003" i="3" s="1"/>
  <c r="H995" i="3"/>
  <c r="I995" i="3" s="1"/>
  <c r="J995" i="3" s="1"/>
  <c r="K995" i="3" s="1"/>
  <c r="L995" i="3" s="1"/>
  <c r="M995" i="3" s="1"/>
  <c r="N995" i="3" s="1"/>
  <c r="O995" i="3" s="1"/>
  <c r="P995" i="3" s="1"/>
  <c r="H987" i="3"/>
  <c r="H979" i="3"/>
  <c r="I979" i="3" s="1"/>
  <c r="J979" i="3" s="1"/>
  <c r="K979" i="3" s="1"/>
  <c r="L979" i="3" s="1"/>
  <c r="M979" i="3" s="1"/>
  <c r="N979" i="3" s="1"/>
  <c r="O979" i="3" s="1"/>
  <c r="P979" i="3" s="1"/>
  <c r="H971" i="3"/>
  <c r="I971" i="3" s="1"/>
  <c r="J971" i="3" s="1"/>
  <c r="K971" i="3" s="1"/>
  <c r="L971" i="3" s="1"/>
  <c r="M971" i="3" s="1"/>
  <c r="N971" i="3" s="1"/>
  <c r="O971" i="3" s="1"/>
  <c r="P971" i="3" s="1"/>
  <c r="H963" i="3"/>
  <c r="I963" i="3" s="1"/>
  <c r="J963" i="3" s="1"/>
  <c r="K963" i="3" s="1"/>
  <c r="L963" i="3" s="1"/>
  <c r="M963" i="3" s="1"/>
  <c r="N963" i="3" s="1"/>
  <c r="O963" i="3" s="1"/>
  <c r="P963" i="3" s="1"/>
  <c r="H955" i="3"/>
  <c r="H947" i="3"/>
  <c r="I947" i="3" s="1"/>
  <c r="J947" i="3" s="1"/>
  <c r="K947" i="3" s="1"/>
  <c r="L947" i="3" s="1"/>
  <c r="M947" i="3" s="1"/>
  <c r="N947" i="3" s="1"/>
  <c r="O947" i="3" s="1"/>
  <c r="P947" i="3" s="1"/>
  <c r="H939" i="3"/>
  <c r="I939" i="3" s="1"/>
  <c r="J939" i="3" s="1"/>
  <c r="K939" i="3" s="1"/>
  <c r="L939" i="3" s="1"/>
  <c r="M939" i="3" s="1"/>
  <c r="N939" i="3" s="1"/>
  <c r="O939" i="3" s="1"/>
  <c r="P939" i="3" s="1"/>
  <c r="H931" i="3"/>
  <c r="I931" i="3" s="1"/>
  <c r="J931" i="3" s="1"/>
  <c r="K931" i="3" s="1"/>
  <c r="L931" i="3" s="1"/>
  <c r="M931" i="3" s="1"/>
  <c r="N931" i="3" s="1"/>
  <c r="O931" i="3" s="1"/>
  <c r="P931" i="3" s="1"/>
  <c r="Q931" i="3" s="1"/>
  <c r="R931" i="3" s="1"/>
  <c r="S931" i="3" s="1"/>
  <c r="H923" i="3"/>
  <c r="H915" i="3"/>
  <c r="I915" i="3" s="1"/>
  <c r="J915" i="3" s="1"/>
  <c r="K915" i="3" s="1"/>
  <c r="L915" i="3" s="1"/>
  <c r="M915" i="3" s="1"/>
  <c r="N915" i="3" s="1"/>
  <c r="O915" i="3" s="1"/>
  <c r="P915" i="3" s="1"/>
  <c r="H907" i="3"/>
  <c r="I907" i="3" s="1"/>
  <c r="J907" i="3" s="1"/>
  <c r="K907" i="3" s="1"/>
  <c r="L907" i="3" s="1"/>
  <c r="M907" i="3" s="1"/>
  <c r="N907" i="3" s="1"/>
  <c r="O907" i="3" s="1"/>
  <c r="P907" i="3" s="1"/>
  <c r="H899" i="3"/>
  <c r="I899" i="3" s="1"/>
  <c r="J899" i="3" s="1"/>
  <c r="K899" i="3" s="1"/>
  <c r="L899" i="3" s="1"/>
  <c r="M899" i="3" s="1"/>
  <c r="N899" i="3" s="1"/>
  <c r="O899" i="3" s="1"/>
  <c r="P899" i="3" s="1"/>
  <c r="H891" i="3"/>
  <c r="H883" i="3"/>
  <c r="I883" i="3" s="1"/>
  <c r="J883" i="3" s="1"/>
  <c r="K883" i="3" s="1"/>
  <c r="L883" i="3" s="1"/>
  <c r="M883" i="3" s="1"/>
  <c r="N883" i="3" s="1"/>
  <c r="O883" i="3" s="1"/>
  <c r="P883" i="3" s="1"/>
  <c r="H875" i="3"/>
  <c r="I875" i="3" s="1"/>
  <c r="J875" i="3" s="1"/>
  <c r="K875" i="3" s="1"/>
  <c r="L875" i="3" s="1"/>
  <c r="M875" i="3" s="1"/>
  <c r="N875" i="3" s="1"/>
  <c r="O875" i="3" s="1"/>
  <c r="P875" i="3" s="1"/>
  <c r="H867" i="3"/>
  <c r="I867" i="3" s="1"/>
  <c r="J867" i="3" s="1"/>
  <c r="K867" i="3" s="1"/>
  <c r="L867" i="3" s="1"/>
  <c r="M867" i="3" s="1"/>
  <c r="N867" i="3" s="1"/>
  <c r="O867" i="3" s="1"/>
  <c r="P867" i="3" s="1"/>
  <c r="H859" i="3"/>
  <c r="H851" i="3"/>
  <c r="I851" i="3" s="1"/>
  <c r="J851" i="3" s="1"/>
  <c r="K851" i="3" s="1"/>
  <c r="L851" i="3" s="1"/>
  <c r="M851" i="3" s="1"/>
  <c r="N851" i="3" s="1"/>
  <c r="O851" i="3" s="1"/>
  <c r="P851" i="3" s="1"/>
  <c r="H843" i="3"/>
  <c r="I843" i="3" s="1"/>
  <c r="J843" i="3" s="1"/>
  <c r="K843" i="3" s="1"/>
  <c r="L843" i="3" s="1"/>
  <c r="M843" i="3" s="1"/>
  <c r="N843" i="3" s="1"/>
  <c r="O843" i="3" s="1"/>
  <c r="P843" i="3" s="1"/>
  <c r="H835" i="3"/>
  <c r="I835" i="3" s="1"/>
  <c r="J835" i="3" s="1"/>
  <c r="K835" i="3" s="1"/>
  <c r="L835" i="3" s="1"/>
  <c r="M835" i="3" s="1"/>
  <c r="N835" i="3" s="1"/>
  <c r="O835" i="3" s="1"/>
  <c r="P835" i="3" s="1"/>
  <c r="Q835" i="3" s="1"/>
  <c r="R835" i="3" s="1"/>
  <c r="S835" i="3" s="1"/>
  <c r="H827" i="3"/>
  <c r="H819" i="3"/>
  <c r="I819" i="3" s="1"/>
  <c r="J819" i="3" s="1"/>
  <c r="K819" i="3" s="1"/>
  <c r="L819" i="3" s="1"/>
  <c r="M819" i="3" s="1"/>
  <c r="N819" i="3" s="1"/>
  <c r="O819" i="3" s="1"/>
  <c r="P819" i="3" s="1"/>
  <c r="H811" i="3"/>
  <c r="I811" i="3" s="1"/>
  <c r="J811" i="3" s="1"/>
  <c r="K811" i="3" s="1"/>
  <c r="L811" i="3" s="1"/>
  <c r="M811" i="3" s="1"/>
  <c r="N811" i="3" s="1"/>
  <c r="O811" i="3" s="1"/>
  <c r="P811" i="3" s="1"/>
  <c r="H803" i="3"/>
  <c r="I803" i="3" s="1"/>
  <c r="J803" i="3" s="1"/>
  <c r="K803" i="3" s="1"/>
  <c r="L803" i="3" s="1"/>
  <c r="M803" i="3" s="1"/>
  <c r="N803" i="3" s="1"/>
  <c r="O803" i="3" s="1"/>
  <c r="P803" i="3" s="1"/>
  <c r="H795" i="3"/>
  <c r="H787" i="3"/>
  <c r="I787" i="3" s="1"/>
  <c r="J787" i="3" s="1"/>
  <c r="K787" i="3" s="1"/>
  <c r="L787" i="3" s="1"/>
  <c r="M787" i="3" s="1"/>
  <c r="N787" i="3" s="1"/>
  <c r="O787" i="3" s="1"/>
  <c r="P787" i="3" s="1"/>
  <c r="H779" i="3"/>
  <c r="I779" i="3" s="1"/>
  <c r="J779" i="3" s="1"/>
  <c r="K779" i="3" s="1"/>
  <c r="L779" i="3" s="1"/>
  <c r="M779" i="3" s="1"/>
  <c r="N779" i="3" s="1"/>
  <c r="O779" i="3" s="1"/>
  <c r="P779" i="3" s="1"/>
  <c r="H771" i="3"/>
  <c r="I771" i="3" s="1"/>
  <c r="J771" i="3" s="1"/>
  <c r="K771" i="3" s="1"/>
  <c r="L771" i="3" s="1"/>
  <c r="M771" i="3" s="1"/>
  <c r="N771" i="3" s="1"/>
  <c r="O771" i="3" s="1"/>
  <c r="P771" i="3" s="1"/>
  <c r="H763" i="3"/>
  <c r="H755" i="3"/>
  <c r="I755" i="3" s="1"/>
  <c r="J755" i="3" s="1"/>
  <c r="K755" i="3" s="1"/>
  <c r="L755" i="3" s="1"/>
  <c r="M755" i="3" s="1"/>
  <c r="N755" i="3" s="1"/>
  <c r="O755" i="3" s="1"/>
  <c r="P755" i="3" s="1"/>
  <c r="H747" i="3"/>
  <c r="I747" i="3" s="1"/>
  <c r="J747" i="3" s="1"/>
  <c r="K747" i="3" s="1"/>
  <c r="L747" i="3" s="1"/>
  <c r="M747" i="3" s="1"/>
  <c r="N747" i="3" s="1"/>
  <c r="O747" i="3" s="1"/>
  <c r="P747" i="3" s="1"/>
  <c r="H739" i="3"/>
  <c r="I739" i="3" s="1"/>
  <c r="J739" i="3" s="1"/>
  <c r="K739" i="3" s="1"/>
  <c r="L739" i="3" s="1"/>
  <c r="M739" i="3" s="1"/>
  <c r="N739" i="3" s="1"/>
  <c r="O739" i="3" s="1"/>
  <c r="P739" i="3" s="1"/>
  <c r="H731" i="3"/>
  <c r="H723" i="3"/>
  <c r="I723" i="3" s="1"/>
  <c r="J723" i="3" s="1"/>
  <c r="K723" i="3" s="1"/>
  <c r="L723" i="3" s="1"/>
  <c r="M723" i="3" s="1"/>
  <c r="N723" i="3" s="1"/>
  <c r="O723" i="3" s="1"/>
  <c r="P723" i="3" s="1"/>
  <c r="H715" i="3"/>
  <c r="I715" i="3" s="1"/>
  <c r="J715" i="3" s="1"/>
  <c r="K715" i="3" s="1"/>
  <c r="L715" i="3" s="1"/>
  <c r="M715" i="3" s="1"/>
  <c r="N715" i="3" s="1"/>
  <c r="O715" i="3" s="1"/>
  <c r="P715" i="3" s="1"/>
  <c r="H707" i="3"/>
  <c r="I707" i="3" s="1"/>
  <c r="J707" i="3" s="1"/>
  <c r="K707" i="3" s="1"/>
  <c r="L707" i="3" s="1"/>
  <c r="M707" i="3" s="1"/>
  <c r="N707" i="3" s="1"/>
  <c r="O707" i="3" s="1"/>
  <c r="P707" i="3" s="1"/>
  <c r="H699" i="3"/>
  <c r="H691" i="3"/>
  <c r="I691" i="3" s="1"/>
  <c r="J691" i="3" s="1"/>
  <c r="K691" i="3" s="1"/>
  <c r="L691" i="3" s="1"/>
  <c r="M691" i="3" s="1"/>
  <c r="N691" i="3" s="1"/>
  <c r="O691" i="3" s="1"/>
  <c r="P691" i="3" s="1"/>
  <c r="H683" i="3"/>
  <c r="I683" i="3" s="1"/>
  <c r="J683" i="3" s="1"/>
  <c r="K683" i="3" s="1"/>
  <c r="L683" i="3" s="1"/>
  <c r="M683" i="3" s="1"/>
  <c r="N683" i="3" s="1"/>
  <c r="O683" i="3" s="1"/>
  <c r="P683" i="3" s="1"/>
  <c r="H675" i="3"/>
  <c r="I675" i="3" s="1"/>
  <c r="J675" i="3" s="1"/>
  <c r="K675" i="3" s="1"/>
  <c r="L675" i="3" s="1"/>
  <c r="M675" i="3" s="1"/>
  <c r="N675" i="3" s="1"/>
  <c r="O675" i="3" s="1"/>
  <c r="P675" i="3" s="1"/>
  <c r="H667" i="3"/>
  <c r="H659" i="3"/>
  <c r="I659" i="3" s="1"/>
  <c r="J659" i="3" s="1"/>
  <c r="K659" i="3" s="1"/>
  <c r="L659" i="3" s="1"/>
  <c r="M659" i="3" s="1"/>
  <c r="N659" i="3" s="1"/>
  <c r="O659" i="3" s="1"/>
  <c r="P659" i="3" s="1"/>
  <c r="H651" i="3"/>
  <c r="I651" i="3" s="1"/>
  <c r="J651" i="3" s="1"/>
  <c r="K651" i="3" s="1"/>
  <c r="L651" i="3" s="1"/>
  <c r="M651" i="3" s="1"/>
  <c r="N651" i="3" s="1"/>
  <c r="O651" i="3" s="1"/>
  <c r="P651" i="3" s="1"/>
  <c r="H643" i="3"/>
  <c r="I643" i="3" s="1"/>
  <c r="J643" i="3" s="1"/>
  <c r="K643" i="3" s="1"/>
  <c r="L643" i="3" s="1"/>
  <c r="M643" i="3" s="1"/>
  <c r="N643" i="3" s="1"/>
  <c r="O643" i="3" s="1"/>
  <c r="P643" i="3" s="1"/>
  <c r="H635" i="3"/>
  <c r="H627" i="3"/>
  <c r="I627" i="3" s="1"/>
  <c r="J627" i="3" s="1"/>
  <c r="K627" i="3" s="1"/>
  <c r="L627" i="3" s="1"/>
  <c r="M627" i="3" s="1"/>
  <c r="N627" i="3" s="1"/>
  <c r="O627" i="3" s="1"/>
  <c r="P627" i="3" s="1"/>
  <c r="Q975" i="3"/>
  <c r="R975" i="3" s="1"/>
  <c r="S975" i="3" s="1"/>
  <c r="Q892" i="3"/>
  <c r="R892" i="3" s="1"/>
  <c r="S892" i="3" s="1"/>
  <c r="Q790" i="3"/>
  <c r="R790" i="3" s="1"/>
  <c r="S790" i="3" s="1"/>
  <c r="Q687" i="3"/>
  <c r="R687" i="3" s="1"/>
  <c r="S687" i="3" s="1"/>
  <c r="Q527" i="3"/>
  <c r="R527" i="3" s="1"/>
  <c r="S527" i="3" s="1"/>
  <c r="Q200" i="3"/>
  <c r="R200" i="3" s="1"/>
  <c r="S200" i="3" s="1"/>
  <c r="H1002" i="3"/>
  <c r="I1002" i="3" s="1"/>
  <c r="J1002" i="3" s="1"/>
  <c r="K1002" i="3" s="1"/>
  <c r="L1002" i="3" s="1"/>
  <c r="M1002" i="3" s="1"/>
  <c r="N1002" i="3" s="1"/>
  <c r="O1002" i="3" s="1"/>
  <c r="P1002" i="3" s="1"/>
  <c r="H994" i="3"/>
  <c r="I994" i="3" s="1"/>
  <c r="J994" i="3" s="1"/>
  <c r="K994" i="3" s="1"/>
  <c r="L994" i="3" s="1"/>
  <c r="M994" i="3" s="1"/>
  <c r="N994" i="3" s="1"/>
  <c r="O994" i="3" s="1"/>
  <c r="P994" i="3" s="1"/>
  <c r="H986" i="3"/>
  <c r="I986" i="3" s="1"/>
  <c r="J986" i="3" s="1"/>
  <c r="K986" i="3" s="1"/>
  <c r="L986" i="3" s="1"/>
  <c r="M986" i="3" s="1"/>
  <c r="N986" i="3" s="1"/>
  <c r="O986" i="3" s="1"/>
  <c r="P986" i="3" s="1"/>
  <c r="H978" i="3"/>
  <c r="H970" i="3"/>
  <c r="I970" i="3" s="1"/>
  <c r="J970" i="3" s="1"/>
  <c r="K970" i="3" s="1"/>
  <c r="L970" i="3" s="1"/>
  <c r="M970" i="3" s="1"/>
  <c r="N970" i="3" s="1"/>
  <c r="O970" i="3" s="1"/>
  <c r="P970" i="3" s="1"/>
  <c r="H962" i="3"/>
  <c r="I962" i="3" s="1"/>
  <c r="J962" i="3" s="1"/>
  <c r="K962" i="3" s="1"/>
  <c r="L962" i="3" s="1"/>
  <c r="M962" i="3" s="1"/>
  <c r="N962" i="3" s="1"/>
  <c r="O962" i="3" s="1"/>
  <c r="P962" i="3" s="1"/>
  <c r="H954" i="3"/>
  <c r="I954" i="3" s="1"/>
  <c r="J954" i="3" s="1"/>
  <c r="K954" i="3" s="1"/>
  <c r="L954" i="3" s="1"/>
  <c r="M954" i="3" s="1"/>
  <c r="N954" i="3" s="1"/>
  <c r="O954" i="3" s="1"/>
  <c r="P954" i="3" s="1"/>
  <c r="H946" i="3"/>
  <c r="H938" i="3"/>
  <c r="I938" i="3" s="1"/>
  <c r="J938" i="3" s="1"/>
  <c r="K938" i="3" s="1"/>
  <c r="L938" i="3" s="1"/>
  <c r="M938" i="3" s="1"/>
  <c r="N938" i="3" s="1"/>
  <c r="O938" i="3" s="1"/>
  <c r="P938" i="3" s="1"/>
  <c r="H930" i="3"/>
  <c r="I930" i="3" s="1"/>
  <c r="J930" i="3" s="1"/>
  <c r="K930" i="3" s="1"/>
  <c r="L930" i="3" s="1"/>
  <c r="M930" i="3" s="1"/>
  <c r="N930" i="3" s="1"/>
  <c r="O930" i="3" s="1"/>
  <c r="P930" i="3" s="1"/>
  <c r="H922" i="3"/>
  <c r="I922" i="3" s="1"/>
  <c r="J922" i="3" s="1"/>
  <c r="K922" i="3" s="1"/>
  <c r="L922" i="3" s="1"/>
  <c r="M922" i="3" s="1"/>
  <c r="N922" i="3" s="1"/>
  <c r="O922" i="3" s="1"/>
  <c r="P922" i="3" s="1"/>
  <c r="H914" i="3"/>
  <c r="H906" i="3"/>
  <c r="I906" i="3" s="1"/>
  <c r="J906" i="3" s="1"/>
  <c r="K906" i="3" s="1"/>
  <c r="L906" i="3" s="1"/>
  <c r="M906" i="3" s="1"/>
  <c r="N906" i="3" s="1"/>
  <c r="O906" i="3" s="1"/>
  <c r="P906" i="3" s="1"/>
  <c r="H898" i="3"/>
  <c r="I898" i="3" s="1"/>
  <c r="J898" i="3" s="1"/>
  <c r="K898" i="3" s="1"/>
  <c r="L898" i="3" s="1"/>
  <c r="M898" i="3" s="1"/>
  <c r="N898" i="3" s="1"/>
  <c r="O898" i="3" s="1"/>
  <c r="P898" i="3" s="1"/>
  <c r="H890" i="3"/>
  <c r="I890" i="3" s="1"/>
  <c r="J890" i="3" s="1"/>
  <c r="K890" i="3" s="1"/>
  <c r="L890" i="3" s="1"/>
  <c r="M890" i="3" s="1"/>
  <c r="N890" i="3" s="1"/>
  <c r="O890" i="3" s="1"/>
  <c r="P890" i="3" s="1"/>
  <c r="H882" i="3"/>
  <c r="H874" i="3"/>
  <c r="I874" i="3" s="1"/>
  <c r="J874" i="3" s="1"/>
  <c r="K874" i="3" s="1"/>
  <c r="L874" i="3" s="1"/>
  <c r="M874" i="3" s="1"/>
  <c r="N874" i="3" s="1"/>
  <c r="O874" i="3" s="1"/>
  <c r="P874" i="3" s="1"/>
  <c r="H866" i="3"/>
  <c r="I866" i="3" s="1"/>
  <c r="J866" i="3" s="1"/>
  <c r="K866" i="3" s="1"/>
  <c r="L866" i="3" s="1"/>
  <c r="M866" i="3" s="1"/>
  <c r="N866" i="3" s="1"/>
  <c r="O866" i="3" s="1"/>
  <c r="P866" i="3" s="1"/>
  <c r="H858" i="3"/>
  <c r="I858" i="3" s="1"/>
  <c r="J858" i="3" s="1"/>
  <c r="K858" i="3" s="1"/>
  <c r="L858" i="3" s="1"/>
  <c r="M858" i="3" s="1"/>
  <c r="N858" i="3" s="1"/>
  <c r="O858" i="3" s="1"/>
  <c r="P858" i="3" s="1"/>
  <c r="H850" i="3"/>
  <c r="H842" i="3"/>
  <c r="I842" i="3" s="1"/>
  <c r="J842" i="3" s="1"/>
  <c r="K842" i="3" s="1"/>
  <c r="L842" i="3" s="1"/>
  <c r="M842" i="3" s="1"/>
  <c r="N842" i="3" s="1"/>
  <c r="O842" i="3" s="1"/>
  <c r="P842" i="3" s="1"/>
  <c r="H834" i="3"/>
  <c r="I834" i="3" s="1"/>
  <c r="J834" i="3" s="1"/>
  <c r="K834" i="3" s="1"/>
  <c r="L834" i="3" s="1"/>
  <c r="M834" i="3" s="1"/>
  <c r="N834" i="3" s="1"/>
  <c r="O834" i="3" s="1"/>
  <c r="P834" i="3" s="1"/>
  <c r="H826" i="3"/>
  <c r="I826" i="3" s="1"/>
  <c r="J826" i="3" s="1"/>
  <c r="K826" i="3" s="1"/>
  <c r="L826" i="3" s="1"/>
  <c r="M826" i="3" s="1"/>
  <c r="N826" i="3" s="1"/>
  <c r="O826" i="3" s="1"/>
  <c r="P826" i="3" s="1"/>
  <c r="H818" i="3"/>
  <c r="H810" i="3"/>
  <c r="I810" i="3" s="1"/>
  <c r="J810" i="3" s="1"/>
  <c r="K810" i="3" s="1"/>
  <c r="L810" i="3" s="1"/>
  <c r="M810" i="3" s="1"/>
  <c r="N810" i="3" s="1"/>
  <c r="O810" i="3" s="1"/>
  <c r="P810" i="3" s="1"/>
  <c r="H802" i="3"/>
  <c r="I802" i="3" s="1"/>
  <c r="J802" i="3" s="1"/>
  <c r="K802" i="3" s="1"/>
  <c r="L802" i="3" s="1"/>
  <c r="M802" i="3" s="1"/>
  <c r="N802" i="3" s="1"/>
  <c r="O802" i="3" s="1"/>
  <c r="P802" i="3" s="1"/>
  <c r="H794" i="3"/>
  <c r="I794" i="3" s="1"/>
  <c r="J794" i="3" s="1"/>
  <c r="K794" i="3" s="1"/>
  <c r="L794" i="3" s="1"/>
  <c r="M794" i="3" s="1"/>
  <c r="N794" i="3" s="1"/>
  <c r="O794" i="3" s="1"/>
  <c r="P794" i="3" s="1"/>
  <c r="H786" i="3"/>
  <c r="H778" i="3"/>
  <c r="I778" i="3" s="1"/>
  <c r="J778" i="3" s="1"/>
  <c r="K778" i="3" s="1"/>
  <c r="L778" i="3" s="1"/>
  <c r="M778" i="3" s="1"/>
  <c r="N778" i="3" s="1"/>
  <c r="O778" i="3" s="1"/>
  <c r="P778" i="3" s="1"/>
  <c r="H770" i="3"/>
  <c r="I770" i="3" s="1"/>
  <c r="J770" i="3" s="1"/>
  <c r="K770" i="3" s="1"/>
  <c r="L770" i="3" s="1"/>
  <c r="M770" i="3" s="1"/>
  <c r="N770" i="3" s="1"/>
  <c r="O770" i="3" s="1"/>
  <c r="P770" i="3" s="1"/>
  <c r="H762" i="3"/>
  <c r="I762" i="3" s="1"/>
  <c r="J762" i="3" s="1"/>
  <c r="K762" i="3" s="1"/>
  <c r="L762" i="3" s="1"/>
  <c r="M762" i="3" s="1"/>
  <c r="N762" i="3" s="1"/>
  <c r="O762" i="3" s="1"/>
  <c r="P762" i="3" s="1"/>
  <c r="H754" i="3"/>
  <c r="H746" i="3"/>
  <c r="I746" i="3" s="1"/>
  <c r="J746" i="3" s="1"/>
  <c r="K746" i="3" s="1"/>
  <c r="L746" i="3" s="1"/>
  <c r="M746" i="3" s="1"/>
  <c r="N746" i="3" s="1"/>
  <c r="O746" i="3" s="1"/>
  <c r="P746" i="3" s="1"/>
  <c r="H738" i="3"/>
  <c r="I738" i="3" s="1"/>
  <c r="J738" i="3" s="1"/>
  <c r="K738" i="3" s="1"/>
  <c r="L738" i="3" s="1"/>
  <c r="M738" i="3" s="1"/>
  <c r="N738" i="3" s="1"/>
  <c r="O738" i="3" s="1"/>
  <c r="P738" i="3" s="1"/>
  <c r="H730" i="3"/>
  <c r="I730" i="3" s="1"/>
  <c r="J730" i="3" s="1"/>
  <c r="K730" i="3" s="1"/>
  <c r="L730" i="3" s="1"/>
  <c r="M730" i="3" s="1"/>
  <c r="N730" i="3" s="1"/>
  <c r="O730" i="3" s="1"/>
  <c r="P730" i="3" s="1"/>
  <c r="H722" i="3"/>
  <c r="H714" i="3"/>
  <c r="I714" i="3" s="1"/>
  <c r="J714" i="3" s="1"/>
  <c r="K714" i="3" s="1"/>
  <c r="L714" i="3" s="1"/>
  <c r="M714" i="3" s="1"/>
  <c r="N714" i="3" s="1"/>
  <c r="O714" i="3" s="1"/>
  <c r="P714" i="3" s="1"/>
  <c r="H706" i="3"/>
  <c r="I706" i="3" s="1"/>
  <c r="J706" i="3" s="1"/>
  <c r="K706" i="3" s="1"/>
  <c r="L706" i="3" s="1"/>
  <c r="M706" i="3" s="1"/>
  <c r="N706" i="3" s="1"/>
  <c r="O706" i="3" s="1"/>
  <c r="P706" i="3" s="1"/>
  <c r="H698" i="3"/>
  <c r="I698" i="3" s="1"/>
  <c r="J698" i="3" s="1"/>
  <c r="K698" i="3" s="1"/>
  <c r="L698" i="3" s="1"/>
  <c r="M698" i="3" s="1"/>
  <c r="N698" i="3" s="1"/>
  <c r="O698" i="3" s="1"/>
  <c r="P698" i="3" s="1"/>
  <c r="H690" i="3"/>
  <c r="H682" i="3"/>
  <c r="I682" i="3" s="1"/>
  <c r="J682" i="3" s="1"/>
  <c r="K682" i="3" s="1"/>
  <c r="L682" i="3" s="1"/>
  <c r="M682" i="3" s="1"/>
  <c r="N682" i="3" s="1"/>
  <c r="O682" i="3" s="1"/>
  <c r="P682" i="3" s="1"/>
  <c r="H674" i="3"/>
  <c r="I674" i="3" s="1"/>
  <c r="J674" i="3" s="1"/>
  <c r="K674" i="3" s="1"/>
  <c r="L674" i="3" s="1"/>
  <c r="M674" i="3" s="1"/>
  <c r="N674" i="3" s="1"/>
  <c r="O674" i="3" s="1"/>
  <c r="P674" i="3" s="1"/>
  <c r="H666" i="3"/>
  <c r="I666" i="3" s="1"/>
  <c r="J666" i="3" s="1"/>
  <c r="K666" i="3" s="1"/>
  <c r="L666" i="3" s="1"/>
  <c r="M666" i="3" s="1"/>
  <c r="N666" i="3" s="1"/>
  <c r="O666" i="3" s="1"/>
  <c r="P666" i="3" s="1"/>
  <c r="H658" i="3"/>
  <c r="H650" i="3"/>
  <c r="I650" i="3" s="1"/>
  <c r="J650" i="3" s="1"/>
  <c r="K650" i="3" s="1"/>
  <c r="L650" i="3" s="1"/>
  <c r="M650" i="3" s="1"/>
  <c r="N650" i="3" s="1"/>
  <c r="O650" i="3" s="1"/>
  <c r="P650" i="3" s="1"/>
  <c r="H642" i="3"/>
  <c r="I642" i="3" s="1"/>
  <c r="J642" i="3" s="1"/>
  <c r="K642" i="3" s="1"/>
  <c r="L642" i="3" s="1"/>
  <c r="M642" i="3" s="1"/>
  <c r="N642" i="3" s="1"/>
  <c r="O642" i="3" s="1"/>
  <c r="P642" i="3" s="1"/>
  <c r="H634" i="3"/>
  <c r="I634" i="3" s="1"/>
  <c r="J634" i="3" s="1"/>
  <c r="K634" i="3" s="1"/>
  <c r="L634" i="3" s="1"/>
  <c r="M634" i="3" s="1"/>
  <c r="N634" i="3" s="1"/>
  <c r="O634" i="3" s="1"/>
  <c r="P634" i="3" s="1"/>
  <c r="H626" i="3"/>
  <c r="H618" i="3"/>
  <c r="I618" i="3" s="1"/>
  <c r="J618" i="3" s="1"/>
  <c r="K618" i="3" s="1"/>
  <c r="L618" i="3" s="1"/>
  <c r="M618" i="3" s="1"/>
  <c r="N618" i="3" s="1"/>
  <c r="O618" i="3" s="1"/>
  <c r="P618" i="3" s="1"/>
  <c r="Q967" i="3"/>
  <c r="R967" i="3" s="1"/>
  <c r="S967" i="3" s="1"/>
  <c r="Q879" i="3"/>
  <c r="R879" i="3" s="1"/>
  <c r="S879" i="3" s="1"/>
  <c r="Q776" i="3"/>
  <c r="R776" i="3" s="1"/>
  <c r="S776" i="3" s="1"/>
  <c r="Q508" i="3"/>
  <c r="R508" i="3" s="1"/>
  <c r="S508" i="3" s="1"/>
  <c r="Q344" i="3"/>
  <c r="R344" i="3" s="1"/>
  <c r="S344" i="3" s="1"/>
  <c r="H1001" i="3"/>
  <c r="I1001" i="3" s="1"/>
  <c r="J1001" i="3" s="1"/>
  <c r="K1001" i="3" s="1"/>
  <c r="L1001" i="3" s="1"/>
  <c r="M1001" i="3" s="1"/>
  <c r="N1001" i="3" s="1"/>
  <c r="O1001" i="3" s="1"/>
  <c r="P1001" i="3" s="1"/>
  <c r="H993" i="3"/>
  <c r="I993" i="3" s="1"/>
  <c r="J993" i="3" s="1"/>
  <c r="K993" i="3" s="1"/>
  <c r="L993" i="3" s="1"/>
  <c r="M993" i="3" s="1"/>
  <c r="N993" i="3" s="1"/>
  <c r="O993" i="3" s="1"/>
  <c r="P993" i="3" s="1"/>
  <c r="H985" i="3"/>
  <c r="I985" i="3" s="1"/>
  <c r="J985" i="3" s="1"/>
  <c r="K985" i="3" s="1"/>
  <c r="L985" i="3" s="1"/>
  <c r="M985" i="3" s="1"/>
  <c r="N985" i="3" s="1"/>
  <c r="O985" i="3" s="1"/>
  <c r="P985" i="3" s="1"/>
  <c r="H977" i="3"/>
  <c r="I977" i="3" s="1"/>
  <c r="J977" i="3" s="1"/>
  <c r="K977" i="3" s="1"/>
  <c r="L977" i="3" s="1"/>
  <c r="M977" i="3" s="1"/>
  <c r="N977" i="3" s="1"/>
  <c r="O977" i="3" s="1"/>
  <c r="P977" i="3" s="1"/>
  <c r="H969" i="3"/>
  <c r="I969" i="3" s="1"/>
  <c r="J969" i="3" s="1"/>
  <c r="K969" i="3" s="1"/>
  <c r="L969" i="3" s="1"/>
  <c r="M969" i="3" s="1"/>
  <c r="N969" i="3" s="1"/>
  <c r="O969" i="3" s="1"/>
  <c r="P969" i="3" s="1"/>
  <c r="H961" i="3"/>
  <c r="I961" i="3" s="1"/>
  <c r="J961" i="3" s="1"/>
  <c r="K961" i="3" s="1"/>
  <c r="L961" i="3" s="1"/>
  <c r="M961" i="3" s="1"/>
  <c r="N961" i="3" s="1"/>
  <c r="O961" i="3" s="1"/>
  <c r="P961" i="3" s="1"/>
  <c r="H953" i="3"/>
  <c r="I953" i="3" s="1"/>
  <c r="J953" i="3" s="1"/>
  <c r="K953" i="3" s="1"/>
  <c r="L953" i="3" s="1"/>
  <c r="M953" i="3" s="1"/>
  <c r="N953" i="3" s="1"/>
  <c r="O953" i="3" s="1"/>
  <c r="P953" i="3" s="1"/>
  <c r="H945" i="3"/>
  <c r="I945" i="3" s="1"/>
  <c r="J945" i="3" s="1"/>
  <c r="K945" i="3" s="1"/>
  <c r="L945" i="3" s="1"/>
  <c r="M945" i="3" s="1"/>
  <c r="N945" i="3" s="1"/>
  <c r="O945" i="3" s="1"/>
  <c r="P945" i="3" s="1"/>
  <c r="H937" i="3"/>
  <c r="I937" i="3" s="1"/>
  <c r="J937" i="3" s="1"/>
  <c r="K937" i="3" s="1"/>
  <c r="L937" i="3" s="1"/>
  <c r="M937" i="3" s="1"/>
  <c r="N937" i="3" s="1"/>
  <c r="O937" i="3" s="1"/>
  <c r="P937" i="3" s="1"/>
  <c r="H921" i="3"/>
  <c r="I921" i="3" s="1"/>
  <c r="J921" i="3" s="1"/>
  <c r="K921" i="3" s="1"/>
  <c r="L921" i="3" s="1"/>
  <c r="M921" i="3" s="1"/>
  <c r="N921" i="3" s="1"/>
  <c r="O921" i="3" s="1"/>
  <c r="P921" i="3" s="1"/>
  <c r="H913" i="3"/>
  <c r="I913" i="3" s="1"/>
  <c r="J913" i="3" s="1"/>
  <c r="K913" i="3" s="1"/>
  <c r="L913" i="3" s="1"/>
  <c r="M913" i="3" s="1"/>
  <c r="N913" i="3" s="1"/>
  <c r="O913" i="3" s="1"/>
  <c r="P913" i="3" s="1"/>
  <c r="H905" i="3"/>
  <c r="I905" i="3" s="1"/>
  <c r="J905" i="3" s="1"/>
  <c r="K905" i="3" s="1"/>
  <c r="L905" i="3" s="1"/>
  <c r="M905" i="3" s="1"/>
  <c r="N905" i="3" s="1"/>
  <c r="O905" i="3" s="1"/>
  <c r="P905" i="3" s="1"/>
  <c r="H897" i="3"/>
  <c r="I897" i="3" s="1"/>
  <c r="J897" i="3" s="1"/>
  <c r="K897" i="3" s="1"/>
  <c r="L897" i="3" s="1"/>
  <c r="M897" i="3" s="1"/>
  <c r="N897" i="3" s="1"/>
  <c r="O897" i="3" s="1"/>
  <c r="P897" i="3" s="1"/>
  <c r="H889" i="3"/>
  <c r="I889" i="3" s="1"/>
  <c r="J889" i="3" s="1"/>
  <c r="K889" i="3" s="1"/>
  <c r="L889" i="3" s="1"/>
  <c r="M889" i="3" s="1"/>
  <c r="N889" i="3" s="1"/>
  <c r="O889" i="3" s="1"/>
  <c r="P889" i="3" s="1"/>
  <c r="H881" i="3"/>
  <c r="I881" i="3" s="1"/>
  <c r="J881" i="3" s="1"/>
  <c r="K881" i="3" s="1"/>
  <c r="L881" i="3" s="1"/>
  <c r="M881" i="3" s="1"/>
  <c r="N881" i="3" s="1"/>
  <c r="O881" i="3" s="1"/>
  <c r="P881" i="3" s="1"/>
  <c r="H873" i="3"/>
  <c r="I873" i="3" s="1"/>
  <c r="J873" i="3" s="1"/>
  <c r="K873" i="3" s="1"/>
  <c r="L873" i="3" s="1"/>
  <c r="M873" i="3" s="1"/>
  <c r="N873" i="3" s="1"/>
  <c r="O873" i="3" s="1"/>
  <c r="P873" i="3" s="1"/>
  <c r="H857" i="3"/>
  <c r="I857" i="3" s="1"/>
  <c r="J857" i="3" s="1"/>
  <c r="K857" i="3" s="1"/>
  <c r="L857" i="3" s="1"/>
  <c r="M857" i="3" s="1"/>
  <c r="N857" i="3" s="1"/>
  <c r="O857" i="3" s="1"/>
  <c r="P857" i="3" s="1"/>
  <c r="H849" i="3"/>
  <c r="I849" i="3" s="1"/>
  <c r="J849" i="3" s="1"/>
  <c r="K849" i="3" s="1"/>
  <c r="L849" i="3" s="1"/>
  <c r="M849" i="3" s="1"/>
  <c r="N849" i="3" s="1"/>
  <c r="O849" i="3" s="1"/>
  <c r="P849" i="3" s="1"/>
  <c r="H841" i="3"/>
  <c r="I841" i="3" s="1"/>
  <c r="J841" i="3" s="1"/>
  <c r="K841" i="3" s="1"/>
  <c r="L841" i="3" s="1"/>
  <c r="M841" i="3" s="1"/>
  <c r="N841" i="3" s="1"/>
  <c r="O841" i="3" s="1"/>
  <c r="P841" i="3" s="1"/>
  <c r="H833" i="3"/>
  <c r="I833" i="3" s="1"/>
  <c r="J833" i="3" s="1"/>
  <c r="K833" i="3" s="1"/>
  <c r="L833" i="3" s="1"/>
  <c r="M833" i="3" s="1"/>
  <c r="N833" i="3" s="1"/>
  <c r="O833" i="3" s="1"/>
  <c r="P833" i="3" s="1"/>
  <c r="H825" i="3"/>
  <c r="I825" i="3" s="1"/>
  <c r="J825" i="3" s="1"/>
  <c r="K825" i="3" s="1"/>
  <c r="L825" i="3" s="1"/>
  <c r="M825" i="3" s="1"/>
  <c r="N825" i="3" s="1"/>
  <c r="O825" i="3" s="1"/>
  <c r="P825" i="3" s="1"/>
  <c r="H817" i="3"/>
  <c r="I817" i="3" s="1"/>
  <c r="J817" i="3" s="1"/>
  <c r="K817" i="3" s="1"/>
  <c r="L817" i="3" s="1"/>
  <c r="M817" i="3" s="1"/>
  <c r="N817" i="3" s="1"/>
  <c r="O817" i="3" s="1"/>
  <c r="P817" i="3" s="1"/>
  <c r="H809" i="3"/>
  <c r="I809" i="3" s="1"/>
  <c r="J809" i="3" s="1"/>
  <c r="K809" i="3" s="1"/>
  <c r="L809" i="3" s="1"/>
  <c r="M809" i="3" s="1"/>
  <c r="N809" i="3" s="1"/>
  <c r="O809" i="3" s="1"/>
  <c r="P809" i="3" s="1"/>
  <c r="H793" i="3"/>
  <c r="I793" i="3" s="1"/>
  <c r="J793" i="3" s="1"/>
  <c r="K793" i="3" s="1"/>
  <c r="L793" i="3" s="1"/>
  <c r="M793" i="3" s="1"/>
  <c r="N793" i="3" s="1"/>
  <c r="O793" i="3" s="1"/>
  <c r="P793" i="3" s="1"/>
  <c r="H785" i="3"/>
  <c r="I785" i="3" s="1"/>
  <c r="J785" i="3" s="1"/>
  <c r="K785" i="3" s="1"/>
  <c r="L785" i="3" s="1"/>
  <c r="M785" i="3" s="1"/>
  <c r="N785" i="3" s="1"/>
  <c r="O785" i="3" s="1"/>
  <c r="P785" i="3" s="1"/>
  <c r="H777" i="3"/>
  <c r="I777" i="3" s="1"/>
  <c r="J777" i="3" s="1"/>
  <c r="K777" i="3" s="1"/>
  <c r="L777" i="3" s="1"/>
  <c r="M777" i="3" s="1"/>
  <c r="N777" i="3" s="1"/>
  <c r="O777" i="3" s="1"/>
  <c r="P777" i="3" s="1"/>
  <c r="H769" i="3"/>
  <c r="I769" i="3" s="1"/>
  <c r="J769" i="3" s="1"/>
  <c r="K769" i="3" s="1"/>
  <c r="L769" i="3" s="1"/>
  <c r="M769" i="3" s="1"/>
  <c r="N769" i="3" s="1"/>
  <c r="O769" i="3" s="1"/>
  <c r="P769" i="3" s="1"/>
  <c r="H761" i="3"/>
  <c r="I761" i="3" s="1"/>
  <c r="J761" i="3" s="1"/>
  <c r="K761" i="3" s="1"/>
  <c r="L761" i="3" s="1"/>
  <c r="M761" i="3" s="1"/>
  <c r="N761" i="3" s="1"/>
  <c r="O761" i="3" s="1"/>
  <c r="P761" i="3" s="1"/>
  <c r="H753" i="3"/>
  <c r="I753" i="3" s="1"/>
  <c r="J753" i="3" s="1"/>
  <c r="K753" i="3" s="1"/>
  <c r="L753" i="3" s="1"/>
  <c r="M753" i="3" s="1"/>
  <c r="N753" i="3" s="1"/>
  <c r="O753" i="3" s="1"/>
  <c r="P753" i="3" s="1"/>
  <c r="H745" i="3"/>
  <c r="I745" i="3" s="1"/>
  <c r="J745" i="3" s="1"/>
  <c r="K745" i="3" s="1"/>
  <c r="L745" i="3" s="1"/>
  <c r="M745" i="3" s="1"/>
  <c r="N745" i="3" s="1"/>
  <c r="O745" i="3" s="1"/>
  <c r="P745" i="3" s="1"/>
  <c r="H729" i="3"/>
  <c r="I729" i="3" s="1"/>
  <c r="J729" i="3" s="1"/>
  <c r="K729" i="3" s="1"/>
  <c r="L729" i="3" s="1"/>
  <c r="M729" i="3" s="1"/>
  <c r="N729" i="3" s="1"/>
  <c r="O729" i="3" s="1"/>
  <c r="P729" i="3" s="1"/>
  <c r="H721" i="3"/>
  <c r="I721" i="3" s="1"/>
  <c r="J721" i="3" s="1"/>
  <c r="K721" i="3" s="1"/>
  <c r="L721" i="3" s="1"/>
  <c r="M721" i="3" s="1"/>
  <c r="N721" i="3" s="1"/>
  <c r="O721" i="3" s="1"/>
  <c r="P721" i="3" s="1"/>
  <c r="H713" i="3"/>
  <c r="I713" i="3" s="1"/>
  <c r="J713" i="3" s="1"/>
  <c r="K713" i="3" s="1"/>
  <c r="L713" i="3" s="1"/>
  <c r="M713" i="3" s="1"/>
  <c r="N713" i="3" s="1"/>
  <c r="O713" i="3" s="1"/>
  <c r="P713" i="3" s="1"/>
  <c r="H705" i="3"/>
  <c r="I705" i="3" s="1"/>
  <c r="J705" i="3" s="1"/>
  <c r="K705" i="3" s="1"/>
  <c r="L705" i="3" s="1"/>
  <c r="M705" i="3" s="1"/>
  <c r="N705" i="3" s="1"/>
  <c r="O705" i="3" s="1"/>
  <c r="P705" i="3" s="1"/>
  <c r="H697" i="3"/>
  <c r="I697" i="3" s="1"/>
  <c r="J697" i="3" s="1"/>
  <c r="K697" i="3" s="1"/>
  <c r="L697" i="3" s="1"/>
  <c r="M697" i="3" s="1"/>
  <c r="N697" i="3" s="1"/>
  <c r="O697" i="3" s="1"/>
  <c r="P697" i="3" s="1"/>
  <c r="H689" i="3"/>
  <c r="I689" i="3" s="1"/>
  <c r="J689" i="3" s="1"/>
  <c r="K689" i="3" s="1"/>
  <c r="L689" i="3" s="1"/>
  <c r="M689" i="3" s="1"/>
  <c r="N689" i="3" s="1"/>
  <c r="O689" i="3" s="1"/>
  <c r="P689" i="3" s="1"/>
  <c r="H681" i="3"/>
  <c r="I681" i="3" s="1"/>
  <c r="J681" i="3" s="1"/>
  <c r="K681" i="3" s="1"/>
  <c r="L681" i="3" s="1"/>
  <c r="M681" i="3" s="1"/>
  <c r="N681" i="3" s="1"/>
  <c r="O681" i="3" s="1"/>
  <c r="P681" i="3" s="1"/>
  <c r="H673" i="3"/>
  <c r="I673" i="3" s="1"/>
  <c r="J673" i="3" s="1"/>
  <c r="K673" i="3" s="1"/>
  <c r="L673" i="3" s="1"/>
  <c r="M673" i="3" s="1"/>
  <c r="N673" i="3" s="1"/>
  <c r="O673" i="3" s="1"/>
  <c r="P673" i="3" s="1"/>
  <c r="H665" i="3"/>
  <c r="I665" i="3" s="1"/>
  <c r="J665" i="3" s="1"/>
  <c r="K665" i="3" s="1"/>
  <c r="L665" i="3" s="1"/>
  <c r="M665" i="3" s="1"/>
  <c r="N665" i="3" s="1"/>
  <c r="O665" i="3" s="1"/>
  <c r="P665" i="3" s="1"/>
  <c r="H657" i="3"/>
  <c r="I657" i="3" s="1"/>
  <c r="J657" i="3" s="1"/>
  <c r="K657" i="3" s="1"/>
  <c r="L657" i="3" s="1"/>
  <c r="M657" i="3" s="1"/>
  <c r="N657" i="3" s="1"/>
  <c r="O657" i="3" s="1"/>
  <c r="P657" i="3" s="1"/>
  <c r="H649" i="3"/>
  <c r="I649" i="3" s="1"/>
  <c r="J649" i="3" s="1"/>
  <c r="K649" i="3" s="1"/>
  <c r="L649" i="3" s="1"/>
  <c r="M649" i="3" s="1"/>
  <c r="N649" i="3" s="1"/>
  <c r="O649" i="3" s="1"/>
  <c r="P649" i="3" s="1"/>
  <c r="H641" i="3"/>
  <c r="I641" i="3" s="1"/>
  <c r="J641" i="3" s="1"/>
  <c r="K641" i="3" s="1"/>
  <c r="L641" i="3" s="1"/>
  <c r="M641" i="3" s="1"/>
  <c r="N641" i="3" s="1"/>
  <c r="O641" i="3" s="1"/>
  <c r="P641" i="3" s="1"/>
  <c r="H633" i="3"/>
  <c r="I633" i="3" s="1"/>
  <c r="J633" i="3" s="1"/>
  <c r="K633" i="3" s="1"/>
  <c r="L633" i="3" s="1"/>
  <c r="M633" i="3" s="1"/>
  <c r="N633" i="3" s="1"/>
  <c r="O633" i="3" s="1"/>
  <c r="P633" i="3" s="1"/>
  <c r="H625" i="3"/>
  <c r="I625" i="3" s="1"/>
  <c r="J625" i="3" s="1"/>
  <c r="K625" i="3" s="1"/>
  <c r="L625" i="3" s="1"/>
  <c r="M625" i="3" s="1"/>
  <c r="N625" i="3" s="1"/>
  <c r="O625" i="3" s="1"/>
  <c r="P625" i="3" s="1"/>
  <c r="H617" i="3"/>
  <c r="I617" i="3" s="1"/>
  <c r="J617" i="3" s="1"/>
  <c r="K617" i="3" s="1"/>
  <c r="L617" i="3" s="1"/>
  <c r="M617" i="3" s="1"/>
  <c r="N617" i="3" s="1"/>
  <c r="O617" i="3" s="1"/>
  <c r="P617" i="3" s="1"/>
  <c r="H601" i="3"/>
  <c r="I601" i="3" s="1"/>
  <c r="J601" i="3" s="1"/>
  <c r="K601" i="3" s="1"/>
  <c r="L601" i="3" s="1"/>
  <c r="M601" i="3" s="1"/>
  <c r="N601" i="3" s="1"/>
  <c r="O601" i="3" s="1"/>
  <c r="P601" i="3" s="1"/>
  <c r="H593" i="3"/>
  <c r="I593" i="3" s="1"/>
  <c r="J593" i="3" s="1"/>
  <c r="K593" i="3" s="1"/>
  <c r="L593" i="3" s="1"/>
  <c r="M593" i="3" s="1"/>
  <c r="N593" i="3" s="1"/>
  <c r="O593" i="3" s="1"/>
  <c r="P593" i="3" s="1"/>
  <c r="H585" i="3"/>
  <c r="I585" i="3" s="1"/>
  <c r="J585" i="3" s="1"/>
  <c r="K585" i="3" s="1"/>
  <c r="L585" i="3" s="1"/>
  <c r="M585" i="3" s="1"/>
  <c r="N585" i="3" s="1"/>
  <c r="O585" i="3" s="1"/>
  <c r="P585" i="3" s="1"/>
  <c r="H577" i="3"/>
  <c r="I577" i="3" s="1"/>
  <c r="J577" i="3" s="1"/>
  <c r="K577" i="3" s="1"/>
  <c r="L577" i="3" s="1"/>
  <c r="M577" i="3" s="1"/>
  <c r="N577" i="3" s="1"/>
  <c r="O577" i="3" s="1"/>
  <c r="P577" i="3" s="1"/>
  <c r="H569" i="3"/>
  <c r="I569" i="3" s="1"/>
  <c r="J569" i="3" s="1"/>
  <c r="K569" i="3" s="1"/>
  <c r="L569" i="3" s="1"/>
  <c r="M569" i="3" s="1"/>
  <c r="N569" i="3" s="1"/>
  <c r="O569" i="3" s="1"/>
  <c r="P569" i="3" s="1"/>
  <c r="H561" i="3"/>
  <c r="I561" i="3" s="1"/>
  <c r="J561" i="3" s="1"/>
  <c r="K561" i="3" s="1"/>
  <c r="L561" i="3" s="1"/>
  <c r="M561" i="3" s="1"/>
  <c r="N561" i="3" s="1"/>
  <c r="O561" i="3" s="1"/>
  <c r="P561" i="3" s="1"/>
  <c r="H553" i="3"/>
  <c r="I553" i="3" s="1"/>
  <c r="J553" i="3" s="1"/>
  <c r="K553" i="3" s="1"/>
  <c r="L553" i="3" s="1"/>
  <c r="M553" i="3" s="1"/>
  <c r="N553" i="3" s="1"/>
  <c r="O553" i="3" s="1"/>
  <c r="P553" i="3" s="1"/>
  <c r="H545" i="3"/>
  <c r="I545" i="3" s="1"/>
  <c r="J545" i="3" s="1"/>
  <c r="K545" i="3" s="1"/>
  <c r="L545" i="3" s="1"/>
  <c r="M545" i="3" s="1"/>
  <c r="N545" i="3" s="1"/>
  <c r="O545" i="3" s="1"/>
  <c r="P545" i="3" s="1"/>
  <c r="H537" i="3"/>
  <c r="I537" i="3" s="1"/>
  <c r="J537" i="3" s="1"/>
  <c r="K537" i="3" s="1"/>
  <c r="L537" i="3" s="1"/>
  <c r="M537" i="3" s="1"/>
  <c r="N537" i="3" s="1"/>
  <c r="O537" i="3" s="1"/>
  <c r="P537" i="3" s="1"/>
  <c r="H529" i="3"/>
  <c r="I529" i="3" s="1"/>
  <c r="J529" i="3" s="1"/>
  <c r="K529" i="3" s="1"/>
  <c r="L529" i="3" s="1"/>
  <c r="M529" i="3" s="1"/>
  <c r="N529" i="3" s="1"/>
  <c r="O529" i="3" s="1"/>
  <c r="P529" i="3" s="1"/>
  <c r="H521" i="3"/>
  <c r="I521" i="3" s="1"/>
  <c r="J521" i="3" s="1"/>
  <c r="K521" i="3" s="1"/>
  <c r="L521" i="3" s="1"/>
  <c r="M521" i="3" s="1"/>
  <c r="N521" i="3" s="1"/>
  <c r="O521" i="3" s="1"/>
  <c r="P521" i="3" s="1"/>
  <c r="H513" i="3"/>
  <c r="I513" i="3" s="1"/>
  <c r="J513" i="3" s="1"/>
  <c r="K513" i="3" s="1"/>
  <c r="L513" i="3" s="1"/>
  <c r="M513" i="3" s="1"/>
  <c r="N513" i="3" s="1"/>
  <c r="O513" i="3" s="1"/>
  <c r="P513" i="3" s="1"/>
  <c r="H505" i="3"/>
  <c r="I505" i="3" s="1"/>
  <c r="J505" i="3" s="1"/>
  <c r="K505" i="3" s="1"/>
  <c r="L505" i="3" s="1"/>
  <c r="M505" i="3" s="1"/>
  <c r="N505" i="3" s="1"/>
  <c r="O505" i="3" s="1"/>
  <c r="P505" i="3" s="1"/>
  <c r="H497" i="3"/>
  <c r="I497" i="3" s="1"/>
  <c r="J497" i="3" s="1"/>
  <c r="K497" i="3" s="1"/>
  <c r="L497" i="3" s="1"/>
  <c r="M497" i="3" s="1"/>
  <c r="N497" i="3" s="1"/>
  <c r="O497" i="3" s="1"/>
  <c r="P497" i="3" s="1"/>
  <c r="H489" i="3"/>
  <c r="I489" i="3" s="1"/>
  <c r="J489" i="3" s="1"/>
  <c r="K489" i="3" s="1"/>
  <c r="L489" i="3" s="1"/>
  <c r="M489" i="3" s="1"/>
  <c r="N489" i="3" s="1"/>
  <c r="O489" i="3" s="1"/>
  <c r="P489" i="3" s="1"/>
  <c r="H481" i="3"/>
  <c r="I481" i="3" s="1"/>
  <c r="J481" i="3" s="1"/>
  <c r="K481" i="3" s="1"/>
  <c r="L481" i="3" s="1"/>
  <c r="M481" i="3" s="1"/>
  <c r="N481" i="3" s="1"/>
  <c r="O481" i="3" s="1"/>
  <c r="P481" i="3" s="1"/>
  <c r="H473" i="3"/>
  <c r="I473" i="3" s="1"/>
  <c r="J473" i="3" s="1"/>
  <c r="K473" i="3" s="1"/>
  <c r="L473" i="3" s="1"/>
  <c r="M473" i="3" s="1"/>
  <c r="N473" i="3" s="1"/>
  <c r="O473" i="3" s="1"/>
  <c r="P473" i="3" s="1"/>
  <c r="H465" i="3"/>
  <c r="I465" i="3" s="1"/>
  <c r="J465" i="3" s="1"/>
  <c r="K465" i="3" s="1"/>
  <c r="L465" i="3" s="1"/>
  <c r="M465" i="3" s="1"/>
  <c r="N465" i="3" s="1"/>
  <c r="O465" i="3" s="1"/>
  <c r="P465" i="3" s="1"/>
  <c r="H457" i="3"/>
  <c r="I457" i="3" s="1"/>
  <c r="J457" i="3" s="1"/>
  <c r="K457" i="3" s="1"/>
  <c r="L457" i="3" s="1"/>
  <c r="M457" i="3" s="1"/>
  <c r="N457" i="3" s="1"/>
  <c r="O457" i="3" s="1"/>
  <c r="P457" i="3" s="1"/>
  <c r="H449" i="3"/>
  <c r="I449" i="3" s="1"/>
  <c r="J449" i="3" s="1"/>
  <c r="K449" i="3" s="1"/>
  <c r="L449" i="3" s="1"/>
  <c r="M449" i="3" s="1"/>
  <c r="N449" i="3" s="1"/>
  <c r="O449" i="3" s="1"/>
  <c r="P449" i="3" s="1"/>
  <c r="H441" i="3"/>
  <c r="I441" i="3" s="1"/>
  <c r="J441" i="3" s="1"/>
  <c r="K441" i="3" s="1"/>
  <c r="L441" i="3" s="1"/>
  <c r="M441" i="3" s="1"/>
  <c r="N441" i="3" s="1"/>
  <c r="O441" i="3" s="1"/>
  <c r="P441" i="3" s="1"/>
  <c r="H433" i="3"/>
  <c r="I433" i="3" s="1"/>
  <c r="J433" i="3" s="1"/>
  <c r="K433" i="3" s="1"/>
  <c r="L433" i="3" s="1"/>
  <c r="M433" i="3" s="1"/>
  <c r="N433" i="3" s="1"/>
  <c r="O433" i="3" s="1"/>
  <c r="P433" i="3" s="1"/>
  <c r="H425" i="3"/>
  <c r="I425" i="3" s="1"/>
  <c r="J425" i="3" s="1"/>
  <c r="K425" i="3" s="1"/>
  <c r="L425" i="3" s="1"/>
  <c r="M425" i="3" s="1"/>
  <c r="N425" i="3" s="1"/>
  <c r="O425" i="3" s="1"/>
  <c r="P425" i="3" s="1"/>
  <c r="H417" i="3"/>
  <c r="I417" i="3" s="1"/>
  <c r="J417" i="3" s="1"/>
  <c r="K417" i="3" s="1"/>
  <c r="L417" i="3" s="1"/>
  <c r="M417" i="3" s="1"/>
  <c r="N417" i="3" s="1"/>
  <c r="O417" i="3" s="1"/>
  <c r="P417" i="3" s="1"/>
  <c r="Q959" i="3"/>
  <c r="R959" i="3" s="1"/>
  <c r="S959" i="3" s="1"/>
  <c r="Q865" i="3"/>
  <c r="R865" i="3" s="1"/>
  <c r="S865" i="3" s="1"/>
  <c r="Q764" i="3"/>
  <c r="R764" i="3" s="1"/>
  <c r="S764" i="3" s="1"/>
  <c r="Q652" i="3"/>
  <c r="R652" i="3" s="1"/>
  <c r="S652" i="3" s="1"/>
  <c r="Q487" i="3"/>
  <c r="R487" i="3" s="1"/>
  <c r="S487" i="3" s="1"/>
  <c r="H1000" i="3"/>
  <c r="H992" i="3"/>
  <c r="I992" i="3" s="1"/>
  <c r="J992" i="3" s="1"/>
  <c r="K992" i="3" s="1"/>
  <c r="L992" i="3" s="1"/>
  <c r="M992" i="3" s="1"/>
  <c r="N992" i="3" s="1"/>
  <c r="O992" i="3" s="1"/>
  <c r="P992" i="3" s="1"/>
  <c r="H984" i="3"/>
  <c r="I984" i="3" s="1"/>
  <c r="J984" i="3" s="1"/>
  <c r="K984" i="3" s="1"/>
  <c r="L984" i="3" s="1"/>
  <c r="M984" i="3" s="1"/>
  <c r="N984" i="3" s="1"/>
  <c r="O984" i="3" s="1"/>
  <c r="P984" i="3" s="1"/>
  <c r="H976" i="3"/>
  <c r="I976" i="3" s="1"/>
  <c r="J976" i="3" s="1"/>
  <c r="K976" i="3" s="1"/>
  <c r="L976" i="3" s="1"/>
  <c r="M976" i="3" s="1"/>
  <c r="N976" i="3" s="1"/>
  <c r="O976" i="3" s="1"/>
  <c r="P976" i="3" s="1"/>
  <c r="H968" i="3"/>
  <c r="H960" i="3"/>
  <c r="I960" i="3" s="1"/>
  <c r="J960" i="3" s="1"/>
  <c r="K960" i="3" s="1"/>
  <c r="L960" i="3" s="1"/>
  <c r="M960" i="3" s="1"/>
  <c r="N960" i="3" s="1"/>
  <c r="O960" i="3" s="1"/>
  <c r="P960" i="3" s="1"/>
  <c r="H952" i="3"/>
  <c r="I952" i="3" s="1"/>
  <c r="J952" i="3" s="1"/>
  <c r="K952" i="3" s="1"/>
  <c r="L952" i="3" s="1"/>
  <c r="M952" i="3" s="1"/>
  <c r="N952" i="3" s="1"/>
  <c r="O952" i="3" s="1"/>
  <c r="P952" i="3" s="1"/>
  <c r="H944" i="3"/>
  <c r="I944" i="3" s="1"/>
  <c r="J944" i="3" s="1"/>
  <c r="K944" i="3" s="1"/>
  <c r="L944" i="3" s="1"/>
  <c r="M944" i="3" s="1"/>
  <c r="N944" i="3" s="1"/>
  <c r="O944" i="3" s="1"/>
  <c r="P944" i="3" s="1"/>
  <c r="H936" i="3"/>
  <c r="H928" i="3"/>
  <c r="I928" i="3" s="1"/>
  <c r="J928" i="3" s="1"/>
  <c r="K928" i="3" s="1"/>
  <c r="L928" i="3" s="1"/>
  <c r="M928" i="3" s="1"/>
  <c r="N928" i="3" s="1"/>
  <c r="O928" i="3" s="1"/>
  <c r="P928" i="3" s="1"/>
  <c r="H920" i="3"/>
  <c r="I920" i="3" s="1"/>
  <c r="J920" i="3" s="1"/>
  <c r="K920" i="3" s="1"/>
  <c r="L920" i="3" s="1"/>
  <c r="M920" i="3" s="1"/>
  <c r="N920" i="3" s="1"/>
  <c r="O920" i="3" s="1"/>
  <c r="P920" i="3" s="1"/>
  <c r="H912" i="3"/>
  <c r="I912" i="3" s="1"/>
  <c r="J912" i="3" s="1"/>
  <c r="K912" i="3" s="1"/>
  <c r="L912" i="3" s="1"/>
  <c r="M912" i="3" s="1"/>
  <c r="N912" i="3" s="1"/>
  <c r="O912" i="3" s="1"/>
  <c r="P912" i="3" s="1"/>
  <c r="H896" i="3"/>
  <c r="H888" i="3"/>
  <c r="I888" i="3" s="1"/>
  <c r="J888" i="3" s="1"/>
  <c r="K888" i="3" s="1"/>
  <c r="L888" i="3" s="1"/>
  <c r="M888" i="3" s="1"/>
  <c r="N888" i="3" s="1"/>
  <c r="O888" i="3" s="1"/>
  <c r="P888" i="3" s="1"/>
  <c r="H880" i="3"/>
  <c r="I880" i="3" s="1"/>
  <c r="J880" i="3" s="1"/>
  <c r="K880" i="3" s="1"/>
  <c r="L880" i="3" s="1"/>
  <c r="M880" i="3" s="1"/>
  <c r="N880" i="3" s="1"/>
  <c r="O880" i="3" s="1"/>
  <c r="P880" i="3" s="1"/>
  <c r="H872" i="3"/>
  <c r="I872" i="3" s="1"/>
  <c r="J872" i="3" s="1"/>
  <c r="K872" i="3" s="1"/>
  <c r="L872" i="3" s="1"/>
  <c r="M872" i="3" s="1"/>
  <c r="N872" i="3" s="1"/>
  <c r="O872" i="3" s="1"/>
  <c r="P872" i="3" s="1"/>
  <c r="H864" i="3"/>
  <c r="H856" i="3"/>
  <c r="I856" i="3" s="1"/>
  <c r="J856" i="3" s="1"/>
  <c r="K856" i="3" s="1"/>
  <c r="L856" i="3" s="1"/>
  <c r="M856" i="3" s="1"/>
  <c r="N856" i="3" s="1"/>
  <c r="O856" i="3" s="1"/>
  <c r="P856" i="3" s="1"/>
  <c r="H848" i="3"/>
  <c r="I848" i="3" s="1"/>
  <c r="J848" i="3" s="1"/>
  <c r="K848" i="3" s="1"/>
  <c r="L848" i="3" s="1"/>
  <c r="M848" i="3" s="1"/>
  <c r="N848" i="3" s="1"/>
  <c r="O848" i="3" s="1"/>
  <c r="P848" i="3" s="1"/>
  <c r="H832" i="3"/>
  <c r="I832" i="3" s="1"/>
  <c r="J832" i="3" s="1"/>
  <c r="K832" i="3" s="1"/>
  <c r="L832" i="3" s="1"/>
  <c r="M832" i="3" s="1"/>
  <c r="N832" i="3" s="1"/>
  <c r="O832" i="3" s="1"/>
  <c r="P832" i="3" s="1"/>
  <c r="H824" i="3"/>
  <c r="H816" i="3"/>
  <c r="I816" i="3" s="1"/>
  <c r="J816" i="3" s="1"/>
  <c r="K816" i="3" s="1"/>
  <c r="L816" i="3" s="1"/>
  <c r="M816" i="3" s="1"/>
  <c r="N816" i="3" s="1"/>
  <c r="O816" i="3" s="1"/>
  <c r="P816" i="3" s="1"/>
  <c r="H808" i="3"/>
  <c r="I808" i="3" s="1"/>
  <c r="J808" i="3" s="1"/>
  <c r="K808" i="3" s="1"/>
  <c r="L808" i="3" s="1"/>
  <c r="M808" i="3" s="1"/>
  <c r="N808" i="3" s="1"/>
  <c r="O808" i="3" s="1"/>
  <c r="P808" i="3" s="1"/>
  <c r="H800" i="3"/>
  <c r="I800" i="3" s="1"/>
  <c r="J800" i="3" s="1"/>
  <c r="K800" i="3" s="1"/>
  <c r="L800" i="3" s="1"/>
  <c r="M800" i="3" s="1"/>
  <c r="N800" i="3" s="1"/>
  <c r="O800" i="3" s="1"/>
  <c r="P800" i="3" s="1"/>
  <c r="H792" i="3"/>
  <c r="H784" i="3"/>
  <c r="I784" i="3" s="1"/>
  <c r="J784" i="3" s="1"/>
  <c r="K784" i="3" s="1"/>
  <c r="L784" i="3" s="1"/>
  <c r="M784" i="3" s="1"/>
  <c r="N784" i="3" s="1"/>
  <c r="O784" i="3" s="1"/>
  <c r="P784" i="3" s="1"/>
  <c r="H768" i="3"/>
  <c r="I768" i="3" s="1"/>
  <c r="J768" i="3" s="1"/>
  <c r="K768" i="3" s="1"/>
  <c r="L768" i="3" s="1"/>
  <c r="M768" i="3" s="1"/>
  <c r="N768" i="3" s="1"/>
  <c r="O768" i="3" s="1"/>
  <c r="P768" i="3" s="1"/>
  <c r="H760" i="3"/>
  <c r="I760" i="3" s="1"/>
  <c r="J760" i="3" s="1"/>
  <c r="K760" i="3" s="1"/>
  <c r="L760" i="3" s="1"/>
  <c r="M760" i="3" s="1"/>
  <c r="N760" i="3" s="1"/>
  <c r="O760" i="3" s="1"/>
  <c r="P760" i="3" s="1"/>
  <c r="H752" i="3"/>
  <c r="H744" i="3"/>
  <c r="I744" i="3" s="1"/>
  <c r="J744" i="3" s="1"/>
  <c r="K744" i="3" s="1"/>
  <c r="L744" i="3" s="1"/>
  <c r="M744" i="3" s="1"/>
  <c r="N744" i="3" s="1"/>
  <c r="O744" i="3" s="1"/>
  <c r="P744" i="3" s="1"/>
  <c r="H736" i="3"/>
  <c r="I736" i="3" s="1"/>
  <c r="J736" i="3" s="1"/>
  <c r="K736" i="3" s="1"/>
  <c r="L736" i="3" s="1"/>
  <c r="M736" i="3" s="1"/>
  <c r="N736" i="3" s="1"/>
  <c r="O736" i="3" s="1"/>
  <c r="P736" i="3" s="1"/>
  <c r="H728" i="3"/>
  <c r="I728" i="3" s="1"/>
  <c r="J728" i="3" s="1"/>
  <c r="K728" i="3" s="1"/>
  <c r="L728" i="3" s="1"/>
  <c r="M728" i="3" s="1"/>
  <c r="N728" i="3" s="1"/>
  <c r="O728" i="3" s="1"/>
  <c r="P728" i="3" s="1"/>
  <c r="H720" i="3"/>
  <c r="H704" i="3"/>
  <c r="I704" i="3" s="1"/>
  <c r="J704" i="3" s="1"/>
  <c r="K704" i="3" s="1"/>
  <c r="L704" i="3" s="1"/>
  <c r="M704" i="3" s="1"/>
  <c r="N704" i="3" s="1"/>
  <c r="O704" i="3" s="1"/>
  <c r="P704" i="3" s="1"/>
  <c r="H696" i="3"/>
  <c r="I696" i="3" s="1"/>
  <c r="J696" i="3" s="1"/>
  <c r="K696" i="3" s="1"/>
  <c r="L696" i="3" s="1"/>
  <c r="M696" i="3" s="1"/>
  <c r="N696" i="3" s="1"/>
  <c r="O696" i="3" s="1"/>
  <c r="P696" i="3" s="1"/>
  <c r="H688" i="3"/>
  <c r="I688" i="3" s="1"/>
  <c r="J688" i="3" s="1"/>
  <c r="K688" i="3" s="1"/>
  <c r="L688" i="3" s="1"/>
  <c r="M688" i="3" s="1"/>
  <c r="N688" i="3" s="1"/>
  <c r="O688" i="3" s="1"/>
  <c r="P688" i="3" s="1"/>
  <c r="H680" i="3"/>
  <c r="H672" i="3"/>
  <c r="I672" i="3" s="1"/>
  <c r="J672" i="3" s="1"/>
  <c r="K672" i="3" s="1"/>
  <c r="L672" i="3" s="1"/>
  <c r="M672" i="3" s="1"/>
  <c r="N672" i="3" s="1"/>
  <c r="O672" i="3" s="1"/>
  <c r="P672" i="3" s="1"/>
  <c r="H664" i="3"/>
  <c r="I664" i="3" s="1"/>
  <c r="J664" i="3" s="1"/>
  <c r="K664" i="3" s="1"/>
  <c r="L664" i="3" s="1"/>
  <c r="M664" i="3" s="1"/>
  <c r="N664" i="3" s="1"/>
  <c r="O664" i="3" s="1"/>
  <c r="P664" i="3" s="1"/>
  <c r="H656" i="3"/>
  <c r="I656" i="3" s="1"/>
  <c r="J656" i="3" s="1"/>
  <c r="K656" i="3" s="1"/>
  <c r="L656" i="3" s="1"/>
  <c r="M656" i="3" s="1"/>
  <c r="N656" i="3" s="1"/>
  <c r="O656" i="3" s="1"/>
  <c r="P656" i="3" s="1"/>
  <c r="Q656" i="3" s="1"/>
  <c r="R656" i="3" s="1"/>
  <c r="S656" i="3" s="1"/>
  <c r="H648" i="3"/>
  <c r="H640" i="3"/>
  <c r="I640" i="3" s="1"/>
  <c r="J640" i="3" s="1"/>
  <c r="K640" i="3" s="1"/>
  <c r="L640" i="3" s="1"/>
  <c r="M640" i="3" s="1"/>
  <c r="N640" i="3" s="1"/>
  <c r="O640" i="3" s="1"/>
  <c r="P640" i="3" s="1"/>
  <c r="H632" i="3"/>
  <c r="I632" i="3" s="1"/>
  <c r="J632" i="3" s="1"/>
  <c r="K632" i="3" s="1"/>
  <c r="L632" i="3" s="1"/>
  <c r="M632" i="3" s="1"/>
  <c r="N632" i="3" s="1"/>
  <c r="O632" i="3" s="1"/>
  <c r="P632" i="3" s="1"/>
  <c r="H624" i="3"/>
  <c r="I624" i="3" s="1"/>
  <c r="J624" i="3" s="1"/>
  <c r="K624" i="3" s="1"/>
  <c r="L624" i="3" s="1"/>
  <c r="M624" i="3" s="1"/>
  <c r="N624" i="3" s="1"/>
  <c r="O624" i="3" s="1"/>
  <c r="P624" i="3" s="1"/>
  <c r="H616" i="3"/>
  <c r="H608" i="3"/>
  <c r="I608" i="3" s="1"/>
  <c r="J608" i="3" s="1"/>
  <c r="K608" i="3" s="1"/>
  <c r="L608" i="3" s="1"/>
  <c r="M608" i="3" s="1"/>
  <c r="N608" i="3" s="1"/>
  <c r="O608" i="3" s="1"/>
  <c r="P608" i="3" s="1"/>
  <c r="H600" i="3"/>
  <c r="I600" i="3" s="1"/>
  <c r="J600" i="3" s="1"/>
  <c r="K600" i="3" s="1"/>
  <c r="L600" i="3" s="1"/>
  <c r="M600" i="3" s="1"/>
  <c r="N600" i="3" s="1"/>
  <c r="O600" i="3" s="1"/>
  <c r="P600" i="3" s="1"/>
  <c r="H592" i="3"/>
  <c r="I592" i="3" s="1"/>
  <c r="J592" i="3" s="1"/>
  <c r="K592" i="3" s="1"/>
  <c r="L592" i="3" s="1"/>
  <c r="M592" i="3" s="1"/>
  <c r="N592" i="3" s="1"/>
  <c r="O592" i="3" s="1"/>
  <c r="P592" i="3" s="1"/>
  <c r="H584" i="3"/>
  <c r="H576" i="3"/>
  <c r="I576" i="3" s="1"/>
  <c r="J576" i="3" s="1"/>
  <c r="K576" i="3" s="1"/>
  <c r="L576" i="3" s="1"/>
  <c r="M576" i="3" s="1"/>
  <c r="N576" i="3" s="1"/>
  <c r="O576" i="3" s="1"/>
  <c r="P576" i="3" s="1"/>
  <c r="H568" i="3"/>
  <c r="I568" i="3" s="1"/>
  <c r="J568" i="3" s="1"/>
  <c r="K568" i="3" s="1"/>
  <c r="L568" i="3" s="1"/>
  <c r="M568" i="3" s="1"/>
  <c r="N568" i="3" s="1"/>
  <c r="O568" i="3" s="1"/>
  <c r="P568" i="3" s="1"/>
  <c r="H560" i="3"/>
  <c r="I560" i="3" s="1"/>
  <c r="J560" i="3" s="1"/>
  <c r="K560" i="3" s="1"/>
  <c r="L560" i="3" s="1"/>
  <c r="M560" i="3" s="1"/>
  <c r="N560" i="3" s="1"/>
  <c r="O560" i="3" s="1"/>
  <c r="P560" i="3" s="1"/>
  <c r="H552" i="3"/>
  <c r="H544" i="3"/>
  <c r="I544" i="3" s="1"/>
  <c r="J544" i="3" s="1"/>
  <c r="K544" i="3" s="1"/>
  <c r="L544" i="3" s="1"/>
  <c r="M544" i="3" s="1"/>
  <c r="N544" i="3" s="1"/>
  <c r="O544" i="3" s="1"/>
  <c r="P544" i="3" s="1"/>
  <c r="H536" i="3"/>
  <c r="I536" i="3" s="1"/>
  <c r="J536" i="3" s="1"/>
  <c r="K536" i="3" s="1"/>
  <c r="L536" i="3" s="1"/>
  <c r="M536" i="3" s="1"/>
  <c r="N536" i="3" s="1"/>
  <c r="O536" i="3" s="1"/>
  <c r="P536" i="3" s="1"/>
  <c r="H528" i="3"/>
  <c r="I528" i="3" s="1"/>
  <c r="J528" i="3" s="1"/>
  <c r="K528" i="3" s="1"/>
  <c r="L528" i="3" s="1"/>
  <c r="M528" i="3" s="1"/>
  <c r="N528" i="3" s="1"/>
  <c r="O528" i="3" s="1"/>
  <c r="P528" i="3" s="1"/>
  <c r="H520" i="3"/>
  <c r="H512" i="3"/>
  <c r="I512" i="3" s="1"/>
  <c r="J512" i="3" s="1"/>
  <c r="K512" i="3" s="1"/>
  <c r="L512" i="3" s="1"/>
  <c r="M512" i="3" s="1"/>
  <c r="N512" i="3" s="1"/>
  <c r="O512" i="3" s="1"/>
  <c r="P512" i="3" s="1"/>
  <c r="H504" i="3"/>
  <c r="I504" i="3" s="1"/>
  <c r="J504" i="3" s="1"/>
  <c r="K504" i="3" s="1"/>
  <c r="L504" i="3" s="1"/>
  <c r="M504" i="3" s="1"/>
  <c r="N504" i="3" s="1"/>
  <c r="O504" i="3" s="1"/>
  <c r="P504" i="3" s="1"/>
  <c r="H496" i="3"/>
  <c r="I496" i="3" s="1"/>
  <c r="J496" i="3" s="1"/>
  <c r="K496" i="3" s="1"/>
  <c r="L496" i="3" s="1"/>
  <c r="M496" i="3" s="1"/>
  <c r="N496" i="3" s="1"/>
  <c r="O496" i="3" s="1"/>
  <c r="P496" i="3" s="1"/>
  <c r="H488" i="3"/>
  <c r="H480" i="3"/>
  <c r="I480" i="3" s="1"/>
  <c r="J480" i="3" s="1"/>
  <c r="K480" i="3" s="1"/>
  <c r="L480" i="3" s="1"/>
  <c r="M480" i="3" s="1"/>
  <c r="N480" i="3" s="1"/>
  <c r="O480" i="3" s="1"/>
  <c r="P480" i="3" s="1"/>
  <c r="H472" i="3"/>
  <c r="I472" i="3" s="1"/>
  <c r="J472" i="3" s="1"/>
  <c r="K472" i="3" s="1"/>
  <c r="L472" i="3" s="1"/>
  <c r="M472" i="3" s="1"/>
  <c r="N472" i="3" s="1"/>
  <c r="O472" i="3" s="1"/>
  <c r="P472" i="3" s="1"/>
  <c r="H456" i="3"/>
  <c r="I456" i="3" s="1"/>
  <c r="J456" i="3" s="1"/>
  <c r="K456" i="3" s="1"/>
  <c r="L456" i="3" s="1"/>
  <c r="M456" i="3" s="1"/>
  <c r="N456" i="3" s="1"/>
  <c r="O456" i="3" s="1"/>
  <c r="P456" i="3" s="1"/>
  <c r="H448" i="3"/>
  <c r="H440" i="3"/>
  <c r="I440" i="3" s="1"/>
  <c r="J440" i="3" s="1"/>
  <c r="K440" i="3" s="1"/>
  <c r="L440" i="3" s="1"/>
  <c r="M440" i="3" s="1"/>
  <c r="N440" i="3" s="1"/>
  <c r="O440" i="3" s="1"/>
  <c r="P440" i="3" s="1"/>
  <c r="H432" i="3"/>
  <c r="I432" i="3" s="1"/>
  <c r="J432" i="3" s="1"/>
  <c r="K432" i="3" s="1"/>
  <c r="L432" i="3" s="1"/>
  <c r="M432" i="3" s="1"/>
  <c r="N432" i="3" s="1"/>
  <c r="O432" i="3" s="1"/>
  <c r="P432" i="3" s="1"/>
  <c r="H416" i="3"/>
  <c r="I416" i="3" s="1"/>
  <c r="J416" i="3" s="1"/>
  <c r="K416" i="3" s="1"/>
  <c r="L416" i="3" s="1"/>
  <c r="M416" i="3" s="1"/>
  <c r="N416" i="3" s="1"/>
  <c r="O416" i="3" s="1"/>
  <c r="P416" i="3" s="1"/>
  <c r="H408" i="3"/>
  <c r="H400" i="3"/>
  <c r="I400" i="3" s="1"/>
  <c r="J400" i="3" s="1"/>
  <c r="K400" i="3" s="1"/>
  <c r="L400" i="3" s="1"/>
  <c r="M400" i="3" s="1"/>
  <c r="N400" i="3" s="1"/>
  <c r="O400" i="3" s="1"/>
  <c r="P400" i="3" s="1"/>
  <c r="H392" i="3"/>
  <c r="I392" i="3" s="1"/>
  <c r="J392" i="3" s="1"/>
  <c r="K392" i="3" s="1"/>
  <c r="L392" i="3" s="1"/>
  <c r="M392" i="3" s="1"/>
  <c r="N392" i="3" s="1"/>
  <c r="O392" i="3" s="1"/>
  <c r="P392" i="3" s="1"/>
  <c r="H376" i="3"/>
  <c r="I376" i="3" s="1"/>
  <c r="J376" i="3" s="1"/>
  <c r="K376" i="3" s="1"/>
  <c r="L376" i="3" s="1"/>
  <c r="M376" i="3" s="1"/>
  <c r="N376" i="3" s="1"/>
  <c r="O376" i="3" s="1"/>
  <c r="P376" i="3" s="1"/>
  <c r="H368" i="3"/>
  <c r="H360" i="3"/>
  <c r="I360" i="3" s="1"/>
  <c r="J360" i="3" s="1"/>
  <c r="K360" i="3" s="1"/>
  <c r="L360" i="3" s="1"/>
  <c r="M360" i="3" s="1"/>
  <c r="N360" i="3" s="1"/>
  <c r="O360" i="3" s="1"/>
  <c r="P360" i="3" s="1"/>
  <c r="H352" i="3"/>
  <c r="I352" i="3" s="1"/>
  <c r="J352" i="3" s="1"/>
  <c r="K352" i="3" s="1"/>
  <c r="L352" i="3" s="1"/>
  <c r="M352" i="3" s="1"/>
  <c r="N352" i="3" s="1"/>
  <c r="O352" i="3" s="1"/>
  <c r="P352" i="3" s="1"/>
  <c r="H336" i="3"/>
  <c r="I336" i="3" s="1"/>
  <c r="J336" i="3" s="1"/>
  <c r="K336" i="3" s="1"/>
  <c r="L336" i="3" s="1"/>
  <c r="M336" i="3" s="1"/>
  <c r="N336" i="3" s="1"/>
  <c r="O336" i="3" s="1"/>
  <c r="P336" i="3" s="1"/>
  <c r="H328" i="3"/>
  <c r="H320" i="3"/>
  <c r="I320" i="3" s="1"/>
  <c r="J320" i="3" s="1"/>
  <c r="K320" i="3" s="1"/>
  <c r="L320" i="3" s="1"/>
  <c r="M320" i="3" s="1"/>
  <c r="N320" i="3" s="1"/>
  <c r="O320" i="3" s="1"/>
  <c r="P320" i="3" s="1"/>
  <c r="H312" i="3"/>
  <c r="I312" i="3" s="1"/>
  <c r="J312" i="3" s="1"/>
  <c r="K312" i="3" s="1"/>
  <c r="L312" i="3" s="1"/>
  <c r="M312" i="3" s="1"/>
  <c r="N312" i="3" s="1"/>
  <c r="O312" i="3" s="1"/>
  <c r="P312" i="3" s="1"/>
  <c r="H304" i="3"/>
  <c r="I304" i="3" s="1"/>
  <c r="J304" i="3" s="1"/>
  <c r="K304" i="3" s="1"/>
  <c r="L304" i="3" s="1"/>
  <c r="M304" i="3" s="1"/>
  <c r="N304" i="3" s="1"/>
  <c r="O304" i="3" s="1"/>
  <c r="P304" i="3" s="1"/>
  <c r="H296" i="3"/>
  <c r="H288" i="3"/>
  <c r="I288" i="3" s="1"/>
  <c r="J288" i="3" s="1"/>
  <c r="K288" i="3" s="1"/>
  <c r="L288" i="3" s="1"/>
  <c r="M288" i="3" s="1"/>
  <c r="N288" i="3" s="1"/>
  <c r="O288" i="3" s="1"/>
  <c r="P288" i="3" s="1"/>
  <c r="H280" i="3"/>
  <c r="I280" i="3" s="1"/>
  <c r="J280" i="3" s="1"/>
  <c r="K280" i="3" s="1"/>
  <c r="L280" i="3" s="1"/>
  <c r="M280" i="3" s="1"/>
  <c r="N280" i="3" s="1"/>
  <c r="O280" i="3" s="1"/>
  <c r="P280" i="3" s="1"/>
  <c r="H272" i="3"/>
  <c r="I272" i="3" s="1"/>
  <c r="J272" i="3" s="1"/>
  <c r="K272" i="3" s="1"/>
  <c r="L272" i="3" s="1"/>
  <c r="M272" i="3" s="1"/>
  <c r="N272" i="3" s="1"/>
  <c r="O272" i="3" s="1"/>
  <c r="P272" i="3" s="1"/>
  <c r="H264" i="3"/>
  <c r="H256" i="3"/>
  <c r="I256" i="3" s="1"/>
  <c r="J256" i="3" s="1"/>
  <c r="K256" i="3" s="1"/>
  <c r="L256" i="3" s="1"/>
  <c r="M256" i="3" s="1"/>
  <c r="N256" i="3" s="1"/>
  <c r="O256" i="3" s="1"/>
  <c r="P256" i="3" s="1"/>
  <c r="H248" i="3"/>
  <c r="I248" i="3" s="1"/>
  <c r="J248" i="3" s="1"/>
  <c r="K248" i="3" s="1"/>
  <c r="L248" i="3" s="1"/>
  <c r="M248" i="3" s="1"/>
  <c r="N248" i="3" s="1"/>
  <c r="O248" i="3" s="1"/>
  <c r="P248" i="3" s="1"/>
  <c r="H240" i="3"/>
  <c r="I240" i="3" s="1"/>
  <c r="J240" i="3" s="1"/>
  <c r="K240" i="3" s="1"/>
  <c r="L240" i="3" s="1"/>
  <c r="M240" i="3" s="1"/>
  <c r="N240" i="3" s="1"/>
  <c r="O240" i="3" s="1"/>
  <c r="P240" i="3" s="1"/>
  <c r="H232" i="3"/>
  <c r="H224" i="3"/>
  <c r="I224" i="3" s="1"/>
  <c r="J224" i="3" s="1"/>
  <c r="K224" i="3" s="1"/>
  <c r="L224" i="3" s="1"/>
  <c r="M224" i="3" s="1"/>
  <c r="N224" i="3" s="1"/>
  <c r="O224" i="3" s="1"/>
  <c r="P224" i="3" s="1"/>
  <c r="H216" i="3"/>
  <c r="I216" i="3" s="1"/>
  <c r="J216" i="3" s="1"/>
  <c r="K216" i="3" s="1"/>
  <c r="L216" i="3" s="1"/>
  <c r="M216" i="3" s="1"/>
  <c r="N216" i="3" s="1"/>
  <c r="O216" i="3" s="1"/>
  <c r="P216" i="3" s="1"/>
  <c r="H208" i="3"/>
  <c r="I208" i="3" s="1"/>
  <c r="J208" i="3" s="1"/>
  <c r="K208" i="3" s="1"/>
  <c r="L208" i="3" s="1"/>
  <c r="M208" i="3" s="1"/>
  <c r="N208" i="3" s="1"/>
  <c r="O208" i="3" s="1"/>
  <c r="P208" i="3" s="1"/>
  <c r="H192" i="3"/>
  <c r="H184" i="3"/>
  <c r="I184" i="3" s="1"/>
  <c r="J184" i="3" s="1"/>
  <c r="K184" i="3" s="1"/>
  <c r="L184" i="3" s="1"/>
  <c r="M184" i="3" s="1"/>
  <c r="N184" i="3" s="1"/>
  <c r="O184" i="3" s="1"/>
  <c r="P184" i="3" s="1"/>
  <c r="H176" i="3"/>
  <c r="I176" i="3" s="1"/>
  <c r="J176" i="3" s="1"/>
  <c r="K176" i="3" s="1"/>
  <c r="L176" i="3" s="1"/>
  <c r="M176" i="3" s="1"/>
  <c r="N176" i="3" s="1"/>
  <c r="O176" i="3" s="1"/>
  <c r="P176" i="3" s="1"/>
  <c r="H168" i="3"/>
  <c r="I168" i="3" s="1"/>
  <c r="J168" i="3" s="1"/>
  <c r="K168" i="3" s="1"/>
  <c r="L168" i="3" s="1"/>
  <c r="M168" i="3" s="1"/>
  <c r="N168" i="3" s="1"/>
  <c r="O168" i="3" s="1"/>
  <c r="P168" i="3" s="1"/>
  <c r="H160" i="3"/>
  <c r="H152" i="3"/>
  <c r="I152" i="3" s="1"/>
  <c r="J152" i="3" s="1"/>
  <c r="K152" i="3" s="1"/>
  <c r="L152" i="3" s="1"/>
  <c r="M152" i="3" s="1"/>
  <c r="N152" i="3" s="1"/>
  <c r="O152" i="3" s="1"/>
  <c r="P152" i="3" s="1"/>
  <c r="H144" i="3"/>
  <c r="I144" i="3" s="1"/>
  <c r="J144" i="3" s="1"/>
  <c r="K144" i="3" s="1"/>
  <c r="L144" i="3" s="1"/>
  <c r="M144" i="3" s="1"/>
  <c r="N144" i="3" s="1"/>
  <c r="O144" i="3" s="1"/>
  <c r="P144" i="3" s="1"/>
  <c r="H136" i="3"/>
  <c r="I136" i="3" s="1"/>
  <c r="J136" i="3" s="1"/>
  <c r="K136" i="3" s="1"/>
  <c r="L136" i="3" s="1"/>
  <c r="M136" i="3" s="1"/>
  <c r="N136" i="3" s="1"/>
  <c r="O136" i="3" s="1"/>
  <c r="P136" i="3" s="1"/>
  <c r="H128" i="3"/>
  <c r="H120" i="3"/>
  <c r="I120" i="3" s="1"/>
  <c r="J120" i="3" s="1"/>
  <c r="K120" i="3" s="1"/>
  <c r="L120" i="3" s="1"/>
  <c r="M120" i="3" s="1"/>
  <c r="N120" i="3" s="1"/>
  <c r="O120" i="3" s="1"/>
  <c r="P120" i="3" s="1"/>
  <c r="H112" i="3"/>
  <c r="I112" i="3" s="1"/>
  <c r="J112" i="3" s="1"/>
  <c r="K112" i="3" s="1"/>
  <c r="L112" i="3" s="1"/>
  <c r="M112" i="3" s="1"/>
  <c r="N112" i="3" s="1"/>
  <c r="O112" i="3" s="1"/>
  <c r="P112" i="3" s="1"/>
  <c r="H104" i="3"/>
  <c r="I104" i="3" s="1"/>
  <c r="J104" i="3" s="1"/>
  <c r="K104" i="3" s="1"/>
  <c r="L104" i="3" s="1"/>
  <c r="M104" i="3" s="1"/>
  <c r="N104" i="3" s="1"/>
  <c r="O104" i="3" s="1"/>
  <c r="P104" i="3" s="1"/>
  <c r="H96" i="3"/>
  <c r="H88" i="3"/>
  <c r="I88" i="3" s="1"/>
  <c r="J88" i="3" s="1"/>
  <c r="K88" i="3" s="1"/>
  <c r="L88" i="3" s="1"/>
  <c r="M88" i="3" s="1"/>
  <c r="N88" i="3" s="1"/>
  <c r="O88" i="3" s="1"/>
  <c r="P88" i="3" s="1"/>
  <c r="H80" i="3"/>
  <c r="I80" i="3" s="1"/>
  <c r="J80" i="3" s="1"/>
  <c r="K80" i="3" s="1"/>
  <c r="L80" i="3" s="1"/>
  <c r="M80" i="3" s="1"/>
  <c r="N80" i="3" s="1"/>
  <c r="O80" i="3" s="1"/>
  <c r="P80" i="3" s="1"/>
  <c r="H72" i="3"/>
  <c r="I72" i="3" s="1"/>
  <c r="J72" i="3" s="1"/>
  <c r="K72" i="3" s="1"/>
  <c r="L72" i="3" s="1"/>
  <c r="M72" i="3" s="1"/>
  <c r="N72" i="3" s="1"/>
  <c r="O72" i="3" s="1"/>
  <c r="P72" i="3" s="1"/>
  <c r="H64" i="3"/>
  <c r="H56" i="3"/>
  <c r="I56" i="3" s="1"/>
  <c r="J56" i="3" s="1"/>
  <c r="K56" i="3" s="1"/>
  <c r="L56" i="3" s="1"/>
  <c r="M56" i="3" s="1"/>
  <c r="N56" i="3" s="1"/>
  <c r="O56" i="3" s="1"/>
  <c r="P56" i="3" s="1"/>
  <c r="H48" i="3"/>
  <c r="I48" i="3" s="1"/>
  <c r="J48" i="3" s="1"/>
  <c r="K48" i="3" s="1"/>
  <c r="L48" i="3" s="1"/>
  <c r="M48" i="3" s="1"/>
  <c r="N48" i="3" s="1"/>
  <c r="O48" i="3" s="1"/>
  <c r="P48" i="3" s="1"/>
  <c r="H40" i="3"/>
  <c r="I40" i="3" s="1"/>
  <c r="J40" i="3" s="1"/>
  <c r="K40" i="3" s="1"/>
  <c r="L40" i="3" s="1"/>
  <c r="M40" i="3" s="1"/>
  <c r="N40" i="3" s="1"/>
  <c r="O40" i="3" s="1"/>
  <c r="P40" i="3" s="1"/>
  <c r="H32" i="3"/>
  <c r="H24" i="3"/>
  <c r="I24" i="3" s="1"/>
  <c r="J24" i="3" s="1"/>
  <c r="K24" i="3" s="1"/>
  <c r="L24" i="3" s="1"/>
  <c r="M24" i="3" s="1"/>
  <c r="N24" i="3" s="1"/>
  <c r="O24" i="3" s="1"/>
  <c r="P24" i="3" s="1"/>
  <c r="H16" i="3"/>
  <c r="I16" i="3" s="1"/>
  <c r="J16" i="3" s="1"/>
  <c r="K16" i="3" s="1"/>
  <c r="L16" i="3" s="1"/>
  <c r="M16" i="3" s="1"/>
  <c r="N16" i="3" s="1"/>
  <c r="O16" i="3" s="1"/>
  <c r="P16" i="3" s="1"/>
  <c r="H8" i="3"/>
  <c r="I8" i="3" s="1"/>
  <c r="J8" i="3" s="1"/>
  <c r="K8" i="3" s="1"/>
  <c r="L8" i="3" s="1"/>
  <c r="M8" i="3" s="1"/>
  <c r="N8" i="3" s="1"/>
  <c r="O8" i="3" s="1"/>
  <c r="P8" i="3" s="1"/>
  <c r="Q951" i="3"/>
  <c r="R951" i="3" s="1"/>
  <c r="S951" i="3" s="1"/>
  <c r="Q854" i="3"/>
  <c r="R854" i="3" s="1"/>
  <c r="S854" i="3" s="1"/>
  <c r="Q751" i="3"/>
  <c r="R751" i="3" s="1"/>
  <c r="S751" i="3" s="1"/>
  <c r="Q630" i="3"/>
  <c r="R630" i="3" s="1"/>
  <c r="S630" i="3" s="1"/>
  <c r="Q464" i="3"/>
  <c r="R464" i="3" s="1"/>
  <c r="S464" i="3" s="1"/>
  <c r="H943" i="3"/>
  <c r="I943" i="3" s="1"/>
  <c r="J943" i="3" s="1"/>
  <c r="K943" i="3" s="1"/>
  <c r="L943" i="3" s="1"/>
  <c r="M943" i="3" s="1"/>
  <c r="N943" i="3" s="1"/>
  <c r="O943" i="3" s="1"/>
  <c r="P943" i="3" s="1"/>
  <c r="H935" i="3"/>
  <c r="I935" i="3" s="1"/>
  <c r="J935" i="3" s="1"/>
  <c r="K935" i="3" s="1"/>
  <c r="L935" i="3" s="1"/>
  <c r="M935" i="3" s="1"/>
  <c r="N935" i="3" s="1"/>
  <c r="O935" i="3" s="1"/>
  <c r="P935" i="3" s="1"/>
  <c r="H927" i="3"/>
  <c r="I927" i="3" s="1"/>
  <c r="J927" i="3" s="1"/>
  <c r="K927" i="3" s="1"/>
  <c r="L927" i="3" s="1"/>
  <c r="M927" i="3" s="1"/>
  <c r="N927" i="3" s="1"/>
  <c r="O927" i="3" s="1"/>
  <c r="P927" i="3" s="1"/>
  <c r="H919" i="3"/>
  <c r="I919" i="3" s="1"/>
  <c r="J919" i="3" s="1"/>
  <c r="K919" i="3" s="1"/>
  <c r="L919" i="3" s="1"/>
  <c r="M919" i="3" s="1"/>
  <c r="N919" i="3" s="1"/>
  <c r="O919" i="3" s="1"/>
  <c r="P919" i="3" s="1"/>
  <c r="H911" i="3"/>
  <c r="I911" i="3" s="1"/>
  <c r="J911" i="3" s="1"/>
  <c r="K911" i="3" s="1"/>
  <c r="L911" i="3" s="1"/>
  <c r="M911" i="3" s="1"/>
  <c r="N911" i="3" s="1"/>
  <c r="O911" i="3" s="1"/>
  <c r="P911" i="3" s="1"/>
  <c r="H903" i="3"/>
  <c r="I903" i="3" s="1"/>
  <c r="J903" i="3" s="1"/>
  <c r="K903" i="3" s="1"/>
  <c r="L903" i="3" s="1"/>
  <c r="M903" i="3" s="1"/>
  <c r="N903" i="3" s="1"/>
  <c r="O903" i="3" s="1"/>
  <c r="P903" i="3" s="1"/>
  <c r="H895" i="3"/>
  <c r="I895" i="3" s="1"/>
  <c r="J895" i="3" s="1"/>
  <c r="K895" i="3" s="1"/>
  <c r="L895" i="3" s="1"/>
  <c r="M895" i="3" s="1"/>
  <c r="N895" i="3" s="1"/>
  <c r="O895" i="3" s="1"/>
  <c r="P895" i="3" s="1"/>
  <c r="H887" i="3"/>
  <c r="I887" i="3" s="1"/>
  <c r="J887" i="3" s="1"/>
  <c r="K887" i="3" s="1"/>
  <c r="L887" i="3" s="1"/>
  <c r="M887" i="3" s="1"/>
  <c r="N887" i="3" s="1"/>
  <c r="O887" i="3" s="1"/>
  <c r="P887" i="3" s="1"/>
  <c r="H871" i="3"/>
  <c r="I871" i="3" s="1"/>
  <c r="J871" i="3" s="1"/>
  <c r="K871" i="3" s="1"/>
  <c r="L871" i="3" s="1"/>
  <c r="M871" i="3" s="1"/>
  <c r="N871" i="3" s="1"/>
  <c r="O871" i="3" s="1"/>
  <c r="P871" i="3" s="1"/>
  <c r="H863" i="3"/>
  <c r="I863" i="3" s="1"/>
  <c r="J863" i="3" s="1"/>
  <c r="K863" i="3" s="1"/>
  <c r="L863" i="3" s="1"/>
  <c r="M863" i="3" s="1"/>
  <c r="N863" i="3" s="1"/>
  <c r="O863" i="3" s="1"/>
  <c r="P863" i="3" s="1"/>
  <c r="H855" i="3"/>
  <c r="I855" i="3" s="1"/>
  <c r="J855" i="3" s="1"/>
  <c r="K855" i="3" s="1"/>
  <c r="L855" i="3" s="1"/>
  <c r="M855" i="3" s="1"/>
  <c r="N855" i="3" s="1"/>
  <c r="O855" i="3" s="1"/>
  <c r="P855" i="3" s="1"/>
  <c r="H847" i="3"/>
  <c r="I847" i="3" s="1"/>
  <c r="J847" i="3" s="1"/>
  <c r="K847" i="3" s="1"/>
  <c r="L847" i="3" s="1"/>
  <c r="M847" i="3" s="1"/>
  <c r="N847" i="3" s="1"/>
  <c r="O847" i="3" s="1"/>
  <c r="P847" i="3" s="1"/>
  <c r="H839" i="3"/>
  <c r="I839" i="3" s="1"/>
  <c r="J839" i="3" s="1"/>
  <c r="K839" i="3" s="1"/>
  <c r="L839" i="3" s="1"/>
  <c r="M839" i="3" s="1"/>
  <c r="N839" i="3" s="1"/>
  <c r="O839" i="3" s="1"/>
  <c r="P839" i="3" s="1"/>
  <c r="H831" i="3"/>
  <c r="I831" i="3" s="1"/>
  <c r="J831" i="3" s="1"/>
  <c r="K831" i="3" s="1"/>
  <c r="L831" i="3" s="1"/>
  <c r="M831" i="3" s="1"/>
  <c r="N831" i="3" s="1"/>
  <c r="O831" i="3" s="1"/>
  <c r="P831" i="3" s="1"/>
  <c r="H823" i="3"/>
  <c r="I823" i="3" s="1"/>
  <c r="J823" i="3" s="1"/>
  <c r="K823" i="3" s="1"/>
  <c r="L823" i="3" s="1"/>
  <c r="M823" i="3" s="1"/>
  <c r="N823" i="3" s="1"/>
  <c r="O823" i="3" s="1"/>
  <c r="P823" i="3" s="1"/>
  <c r="H807" i="3"/>
  <c r="I807" i="3" s="1"/>
  <c r="J807" i="3" s="1"/>
  <c r="K807" i="3" s="1"/>
  <c r="L807" i="3" s="1"/>
  <c r="M807" i="3" s="1"/>
  <c r="N807" i="3" s="1"/>
  <c r="O807" i="3" s="1"/>
  <c r="P807" i="3" s="1"/>
  <c r="H799" i="3"/>
  <c r="I799" i="3" s="1"/>
  <c r="J799" i="3" s="1"/>
  <c r="K799" i="3" s="1"/>
  <c r="L799" i="3" s="1"/>
  <c r="M799" i="3" s="1"/>
  <c r="N799" i="3" s="1"/>
  <c r="O799" i="3" s="1"/>
  <c r="P799" i="3" s="1"/>
  <c r="H791" i="3"/>
  <c r="I791" i="3" s="1"/>
  <c r="J791" i="3" s="1"/>
  <c r="K791" i="3" s="1"/>
  <c r="L791" i="3" s="1"/>
  <c r="M791" i="3" s="1"/>
  <c r="N791" i="3" s="1"/>
  <c r="O791" i="3" s="1"/>
  <c r="P791" i="3" s="1"/>
  <c r="H783" i="3"/>
  <c r="I783" i="3" s="1"/>
  <c r="J783" i="3" s="1"/>
  <c r="K783" i="3" s="1"/>
  <c r="L783" i="3" s="1"/>
  <c r="M783" i="3" s="1"/>
  <c r="N783" i="3" s="1"/>
  <c r="O783" i="3" s="1"/>
  <c r="P783" i="3" s="1"/>
  <c r="H775" i="3"/>
  <c r="I775" i="3" s="1"/>
  <c r="J775" i="3" s="1"/>
  <c r="K775" i="3" s="1"/>
  <c r="L775" i="3" s="1"/>
  <c r="M775" i="3" s="1"/>
  <c r="N775" i="3" s="1"/>
  <c r="O775" i="3" s="1"/>
  <c r="P775" i="3" s="1"/>
  <c r="H767" i="3"/>
  <c r="I767" i="3" s="1"/>
  <c r="J767" i="3" s="1"/>
  <c r="K767" i="3" s="1"/>
  <c r="L767" i="3" s="1"/>
  <c r="M767" i="3" s="1"/>
  <c r="N767" i="3" s="1"/>
  <c r="O767" i="3" s="1"/>
  <c r="P767" i="3" s="1"/>
  <c r="H759" i="3"/>
  <c r="I759" i="3" s="1"/>
  <c r="J759" i="3" s="1"/>
  <c r="K759" i="3" s="1"/>
  <c r="L759" i="3" s="1"/>
  <c r="M759" i="3" s="1"/>
  <c r="N759" i="3" s="1"/>
  <c r="O759" i="3" s="1"/>
  <c r="P759" i="3" s="1"/>
  <c r="H743" i="3"/>
  <c r="I743" i="3" s="1"/>
  <c r="J743" i="3" s="1"/>
  <c r="K743" i="3" s="1"/>
  <c r="L743" i="3" s="1"/>
  <c r="M743" i="3" s="1"/>
  <c r="N743" i="3" s="1"/>
  <c r="O743" i="3" s="1"/>
  <c r="P743" i="3" s="1"/>
  <c r="H735" i="3"/>
  <c r="I735" i="3" s="1"/>
  <c r="J735" i="3" s="1"/>
  <c r="K735" i="3" s="1"/>
  <c r="L735" i="3" s="1"/>
  <c r="M735" i="3" s="1"/>
  <c r="N735" i="3" s="1"/>
  <c r="O735" i="3" s="1"/>
  <c r="P735" i="3" s="1"/>
  <c r="H727" i="3"/>
  <c r="I727" i="3" s="1"/>
  <c r="J727" i="3" s="1"/>
  <c r="K727" i="3" s="1"/>
  <c r="L727" i="3" s="1"/>
  <c r="M727" i="3" s="1"/>
  <c r="N727" i="3" s="1"/>
  <c r="O727" i="3" s="1"/>
  <c r="P727" i="3" s="1"/>
  <c r="H719" i="3"/>
  <c r="I719" i="3" s="1"/>
  <c r="J719" i="3" s="1"/>
  <c r="K719" i="3" s="1"/>
  <c r="L719" i="3" s="1"/>
  <c r="M719" i="3" s="1"/>
  <c r="N719" i="3" s="1"/>
  <c r="O719" i="3" s="1"/>
  <c r="P719" i="3" s="1"/>
  <c r="H711" i="3"/>
  <c r="I711" i="3" s="1"/>
  <c r="J711" i="3" s="1"/>
  <c r="K711" i="3" s="1"/>
  <c r="L711" i="3" s="1"/>
  <c r="M711" i="3" s="1"/>
  <c r="N711" i="3" s="1"/>
  <c r="O711" i="3" s="1"/>
  <c r="P711" i="3" s="1"/>
  <c r="H703" i="3"/>
  <c r="I703" i="3" s="1"/>
  <c r="J703" i="3" s="1"/>
  <c r="K703" i="3" s="1"/>
  <c r="L703" i="3" s="1"/>
  <c r="M703" i="3" s="1"/>
  <c r="N703" i="3" s="1"/>
  <c r="O703" i="3" s="1"/>
  <c r="P703" i="3" s="1"/>
  <c r="H695" i="3"/>
  <c r="I695" i="3" s="1"/>
  <c r="J695" i="3" s="1"/>
  <c r="K695" i="3" s="1"/>
  <c r="L695" i="3" s="1"/>
  <c r="M695" i="3" s="1"/>
  <c r="N695" i="3" s="1"/>
  <c r="O695" i="3" s="1"/>
  <c r="P695" i="3" s="1"/>
  <c r="H679" i="3"/>
  <c r="I679" i="3" s="1"/>
  <c r="J679" i="3" s="1"/>
  <c r="K679" i="3" s="1"/>
  <c r="L679" i="3" s="1"/>
  <c r="M679" i="3" s="1"/>
  <c r="N679" i="3" s="1"/>
  <c r="O679" i="3" s="1"/>
  <c r="P679" i="3" s="1"/>
  <c r="H671" i="3"/>
  <c r="I671" i="3" s="1"/>
  <c r="J671" i="3" s="1"/>
  <c r="K671" i="3" s="1"/>
  <c r="L671" i="3" s="1"/>
  <c r="M671" i="3" s="1"/>
  <c r="N671" i="3" s="1"/>
  <c r="O671" i="3" s="1"/>
  <c r="P671" i="3" s="1"/>
  <c r="H663" i="3"/>
  <c r="I663" i="3" s="1"/>
  <c r="J663" i="3" s="1"/>
  <c r="K663" i="3" s="1"/>
  <c r="L663" i="3" s="1"/>
  <c r="M663" i="3" s="1"/>
  <c r="N663" i="3" s="1"/>
  <c r="O663" i="3" s="1"/>
  <c r="P663" i="3" s="1"/>
  <c r="H655" i="3"/>
  <c r="I655" i="3" s="1"/>
  <c r="J655" i="3" s="1"/>
  <c r="K655" i="3" s="1"/>
  <c r="L655" i="3" s="1"/>
  <c r="M655" i="3" s="1"/>
  <c r="N655" i="3" s="1"/>
  <c r="O655" i="3" s="1"/>
  <c r="P655" i="3" s="1"/>
  <c r="H647" i="3"/>
  <c r="I647" i="3" s="1"/>
  <c r="J647" i="3" s="1"/>
  <c r="K647" i="3" s="1"/>
  <c r="L647" i="3" s="1"/>
  <c r="M647" i="3" s="1"/>
  <c r="N647" i="3" s="1"/>
  <c r="O647" i="3" s="1"/>
  <c r="P647" i="3" s="1"/>
  <c r="H639" i="3"/>
  <c r="I639" i="3" s="1"/>
  <c r="J639" i="3" s="1"/>
  <c r="K639" i="3" s="1"/>
  <c r="L639" i="3" s="1"/>
  <c r="M639" i="3" s="1"/>
  <c r="N639" i="3" s="1"/>
  <c r="O639" i="3" s="1"/>
  <c r="P639" i="3" s="1"/>
  <c r="H631" i="3"/>
  <c r="I631" i="3" s="1"/>
  <c r="J631" i="3" s="1"/>
  <c r="K631" i="3" s="1"/>
  <c r="L631" i="3" s="1"/>
  <c r="M631" i="3" s="1"/>
  <c r="N631" i="3" s="1"/>
  <c r="O631" i="3" s="1"/>
  <c r="P631" i="3" s="1"/>
  <c r="H623" i="3"/>
  <c r="I623" i="3" s="1"/>
  <c r="J623" i="3" s="1"/>
  <c r="K623" i="3" s="1"/>
  <c r="L623" i="3" s="1"/>
  <c r="M623" i="3" s="1"/>
  <c r="N623" i="3" s="1"/>
  <c r="O623" i="3" s="1"/>
  <c r="P623" i="3" s="1"/>
  <c r="H615" i="3"/>
  <c r="I615" i="3" s="1"/>
  <c r="J615" i="3" s="1"/>
  <c r="K615" i="3" s="1"/>
  <c r="L615" i="3" s="1"/>
  <c r="M615" i="3" s="1"/>
  <c r="N615" i="3" s="1"/>
  <c r="O615" i="3" s="1"/>
  <c r="P615" i="3" s="1"/>
  <c r="H607" i="3"/>
  <c r="I607" i="3" s="1"/>
  <c r="J607" i="3" s="1"/>
  <c r="K607" i="3" s="1"/>
  <c r="L607" i="3" s="1"/>
  <c r="M607" i="3" s="1"/>
  <c r="N607" i="3" s="1"/>
  <c r="O607" i="3" s="1"/>
  <c r="P607" i="3" s="1"/>
  <c r="H599" i="3"/>
  <c r="I599" i="3" s="1"/>
  <c r="J599" i="3" s="1"/>
  <c r="K599" i="3" s="1"/>
  <c r="L599" i="3" s="1"/>
  <c r="M599" i="3" s="1"/>
  <c r="N599" i="3" s="1"/>
  <c r="O599" i="3" s="1"/>
  <c r="P599" i="3" s="1"/>
  <c r="H591" i="3"/>
  <c r="I591" i="3" s="1"/>
  <c r="J591" i="3" s="1"/>
  <c r="K591" i="3" s="1"/>
  <c r="L591" i="3" s="1"/>
  <c r="M591" i="3" s="1"/>
  <c r="N591" i="3" s="1"/>
  <c r="O591" i="3" s="1"/>
  <c r="P591" i="3" s="1"/>
  <c r="H583" i="3"/>
  <c r="I583" i="3" s="1"/>
  <c r="J583" i="3" s="1"/>
  <c r="K583" i="3" s="1"/>
  <c r="L583" i="3" s="1"/>
  <c r="M583" i="3" s="1"/>
  <c r="N583" i="3" s="1"/>
  <c r="O583" i="3" s="1"/>
  <c r="P583" i="3" s="1"/>
  <c r="H575" i="3"/>
  <c r="I575" i="3" s="1"/>
  <c r="J575" i="3" s="1"/>
  <c r="K575" i="3" s="1"/>
  <c r="L575" i="3" s="1"/>
  <c r="M575" i="3" s="1"/>
  <c r="N575" i="3" s="1"/>
  <c r="O575" i="3" s="1"/>
  <c r="P575" i="3" s="1"/>
  <c r="H559" i="3"/>
  <c r="I559" i="3" s="1"/>
  <c r="J559" i="3" s="1"/>
  <c r="K559" i="3" s="1"/>
  <c r="L559" i="3" s="1"/>
  <c r="M559" i="3" s="1"/>
  <c r="N559" i="3" s="1"/>
  <c r="O559" i="3" s="1"/>
  <c r="P559" i="3" s="1"/>
  <c r="H551" i="3"/>
  <c r="I551" i="3" s="1"/>
  <c r="J551" i="3" s="1"/>
  <c r="K551" i="3" s="1"/>
  <c r="L551" i="3" s="1"/>
  <c r="M551" i="3" s="1"/>
  <c r="N551" i="3" s="1"/>
  <c r="O551" i="3" s="1"/>
  <c r="P551" i="3" s="1"/>
  <c r="H543" i="3"/>
  <c r="I543" i="3" s="1"/>
  <c r="J543" i="3" s="1"/>
  <c r="K543" i="3" s="1"/>
  <c r="L543" i="3" s="1"/>
  <c r="M543" i="3" s="1"/>
  <c r="N543" i="3" s="1"/>
  <c r="O543" i="3" s="1"/>
  <c r="P543" i="3" s="1"/>
  <c r="H535" i="3"/>
  <c r="I535" i="3" s="1"/>
  <c r="J535" i="3" s="1"/>
  <c r="K535" i="3" s="1"/>
  <c r="L535" i="3" s="1"/>
  <c r="M535" i="3" s="1"/>
  <c r="N535" i="3" s="1"/>
  <c r="O535" i="3" s="1"/>
  <c r="P535" i="3" s="1"/>
  <c r="H519" i="3"/>
  <c r="I519" i="3" s="1"/>
  <c r="J519" i="3" s="1"/>
  <c r="K519" i="3" s="1"/>
  <c r="L519" i="3" s="1"/>
  <c r="M519" i="3" s="1"/>
  <c r="N519" i="3" s="1"/>
  <c r="O519" i="3" s="1"/>
  <c r="P519" i="3" s="1"/>
  <c r="H511" i="3"/>
  <c r="I511" i="3" s="1"/>
  <c r="J511" i="3" s="1"/>
  <c r="K511" i="3" s="1"/>
  <c r="L511" i="3" s="1"/>
  <c r="M511" i="3" s="1"/>
  <c r="N511" i="3" s="1"/>
  <c r="O511" i="3" s="1"/>
  <c r="P511" i="3" s="1"/>
  <c r="H503" i="3"/>
  <c r="I503" i="3" s="1"/>
  <c r="J503" i="3" s="1"/>
  <c r="K503" i="3" s="1"/>
  <c r="L503" i="3" s="1"/>
  <c r="M503" i="3" s="1"/>
  <c r="N503" i="3" s="1"/>
  <c r="O503" i="3" s="1"/>
  <c r="P503" i="3" s="1"/>
  <c r="H495" i="3"/>
  <c r="I495" i="3" s="1"/>
  <c r="J495" i="3" s="1"/>
  <c r="K495" i="3" s="1"/>
  <c r="L495" i="3" s="1"/>
  <c r="M495" i="3" s="1"/>
  <c r="N495" i="3" s="1"/>
  <c r="O495" i="3" s="1"/>
  <c r="P495" i="3" s="1"/>
  <c r="H479" i="3"/>
  <c r="I479" i="3" s="1"/>
  <c r="J479" i="3" s="1"/>
  <c r="K479" i="3" s="1"/>
  <c r="L479" i="3" s="1"/>
  <c r="M479" i="3" s="1"/>
  <c r="N479" i="3" s="1"/>
  <c r="O479" i="3" s="1"/>
  <c r="P479" i="3" s="1"/>
  <c r="H471" i="3"/>
  <c r="I471" i="3" s="1"/>
  <c r="J471" i="3" s="1"/>
  <c r="K471" i="3" s="1"/>
  <c r="L471" i="3" s="1"/>
  <c r="M471" i="3" s="1"/>
  <c r="N471" i="3" s="1"/>
  <c r="O471" i="3" s="1"/>
  <c r="P471" i="3" s="1"/>
  <c r="H463" i="3"/>
  <c r="I463" i="3" s="1"/>
  <c r="J463" i="3" s="1"/>
  <c r="K463" i="3" s="1"/>
  <c r="L463" i="3" s="1"/>
  <c r="M463" i="3" s="1"/>
  <c r="N463" i="3" s="1"/>
  <c r="O463" i="3" s="1"/>
  <c r="P463" i="3" s="1"/>
  <c r="H455" i="3"/>
  <c r="I455" i="3" s="1"/>
  <c r="J455" i="3" s="1"/>
  <c r="K455" i="3" s="1"/>
  <c r="L455" i="3" s="1"/>
  <c r="M455" i="3" s="1"/>
  <c r="N455" i="3" s="1"/>
  <c r="O455" i="3" s="1"/>
  <c r="P455" i="3" s="1"/>
  <c r="Q455" i="3" s="1"/>
  <c r="R455" i="3" s="1"/>
  <c r="S455" i="3" s="1"/>
  <c r="H439" i="3"/>
  <c r="I439" i="3" s="1"/>
  <c r="J439" i="3" s="1"/>
  <c r="K439" i="3" s="1"/>
  <c r="L439" i="3" s="1"/>
  <c r="M439" i="3" s="1"/>
  <c r="N439" i="3" s="1"/>
  <c r="O439" i="3" s="1"/>
  <c r="P439" i="3" s="1"/>
  <c r="Q942" i="3"/>
  <c r="R942" i="3" s="1"/>
  <c r="S942" i="3" s="1"/>
  <c r="Q840" i="3"/>
  <c r="R840" i="3" s="1"/>
  <c r="S840" i="3" s="1"/>
  <c r="Q447" i="3"/>
  <c r="R447" i="3" s="1"/>
  <c r="S447" i="3" s="1"/>
  <c r="H998" i="3"/>
  <c r="H990" i="3"/>
  <c r="I990" i="3" s="1"/>
  <c r="J990" i="3" s="1"/>
  <c r="K990" i="3" s="1"/>
  <c r="L990" i="3" s="1"/>
  <c r="M990" i="3" s="1"/>
  <c r="N990" i="3" s="1"/>
  <c r="O990" i="3" s="1"/>
  <c r="P990" i="3" s="1"/>
  <c r="H982" i="3"/>
  <c r="I982" i="3" s="1"/>
  <c r="J982" i="3" s="1"/>
  <c r="K982" i="3" s="1"/>
  <c r="L982" i="3" s="1"/>
  <c r="M982" i="3" s="1"/>
  <c r="N982" i="3" s="1"/>
  <c r="O982" i="3" s="1"/>
  <c r="P982" i="3" s="1"/>
  <c r="H974" i="3"/>
  <c r="I974" i="3" s="1"/>
  <c r="J974" i="3" s="1"/>
  <c r="K974" i="3" s="1"/>
  <c r="L974" i="3" s="1"/>
  <c r="M974" i="3" s="1"/>
  <c r="N974" i="3" s="1"/>
  <c r="O974" i="3" s="1"/>
  <c r="P974" i="3" s="1"/>
  <c r="H966" i="3"/>
  <c r="H958" i="3"/>
  <c r="I958" i="3" s="1"/>
  <c r="J958" i="3" s="1"/>
  <c r="K958" i="3" s="1"/>
  <c r="L958" i="3" s="1"/>
  <c r="M958" i="3" s="1"/>
  <c r="N958" i="3" s="1"/>
  <c r="O958" i="3" s="1"/>
  <c r="P958" i="3" s="1"/>
  <c r="H950" i="3"/>
  <c r="I950" i="3" s="1"/>
  <c r="J950" i="3" s="1"/>
  <c r="K950" i="3" s="1"/>
  <c r="L950" i="3" s="1"/>
  <c r="M950" i="3" s="1"/>
  <c r="N950" i="3" s="1"/>
  <c r="O950" i="3" s="1"/>
  <c r="P950" i="3" s="1"/>
  <c r="H934" i="3"/>
  <c r="I934" i="3" s="1"/>
  <c r="J934" i="3" s="1"/>
  <c r="K934" i="3" s="1"/>
  <c r="L934" i="3" s="1"/>
  <c r="M934" i="3" s="1"/>
  <c r="N934" i="3" s="1"/>
  <c r="O934" i="3" s="1"/>
  <c r="P934" i="3" s="1"/>
  <c r="H926" i="3"/>
  <c r="H910" i="3"/>
  <c r="I910" i="3" s="1"/>
  <c r="J910" i="3" s="1"/>
  <c r="K910" i="3" s="1"/>
  <c r="L910" i="3" s="1"/>
  <c r="M910" i="3" s="1"/>
  <c r="N910" i="3" s="1"/>
  <c r="O910" i="3" s="1"/>
  <c r="P910" i="3" s="1"/>
  <c r="H902" i="3"/>
  <c r="I902" i="3" s="1"/>
  <c r="J902" i="3" s="1"/>
  <c r="K902" i="3" s="1"/>
  <c r="L902" i="3" s="1"/>
  <c r="M902" i="3" s="1"/>
  <c r="N902" i="3" s="1"/>
  <c r="O902" i="3" s="1"/>
  <c r="P902" i="3" s="1"/>
  <c r="H894" i="3"/>
  <c r="H886" i="3"/>
  <c r="H878" i="3"/>
  <c r="H870" i="3"/>
  <c r="H862" i="3"/>
  <c r="H846" i="3"/>
  <c r="H838" i="3"/>
  <c r="H830" i="3"/>
  <c r="H822" i="3"/>
  <c r="H814" i="3"/>
  <c r="H806" i="3"/>
  <c r="H798" i="3"/>
  <c r="H782" i="3"/>
  <c r="H774" i="3"/>
  <c r="H766" i="3"/>
  <c r="H758" i="3"/>
  <c r="H750" i="3"/>
  <c r="H742" i="3"/>
  <c r="H734" i="3"/>
  <c r="H718" i="3"/>
  <c r="H710" i="3"/>
  <c r="H702" i="3"/>
  <c r="H694" i="3"/>
  <c r="H686" i="3"/>
  <c r="H678" i="3"/>
  <c r="H670" i="3"/>
  <c r="H662" i="3"/>
  <c r="H654" i="3"/>
  <c r="H646" i="3"/>
  <c r="H638" i="3"/>
  <c r="H622" i="3"/>
  <c r="H614" i="3"/>
  <c r="H606" i="3"/>
  <c r="H598" i="3"/>
  <c r="H582" i="3"/>
  <c r="H574" i="3"/>
  <c r="H566" i="3"/>
  <c r="H558" i="3"/>
  <c r="H542" i="3"/>
  <c r="H534" i="3"/>
  <c r="H526" i="3"/>
  <c r="H518" i="3"/>
  <c r="H510" i="3"/>
  <c r="H502" i="3"/>
  <c r="H494" i="3"/>
  <c r="H486" i="3"/>
  <c r="H478" i="3"/>
  <c r="H470" i="3"/>
  <c r="H462" i="3"/>
  <c r="H454" i="3"/>
  <c r="H446" i="3"/>
  <c r="H438" i="3"/>
  <c r="H430" i="3"/>
  <c r="H422" i="3"/>
  <c r="H414" i="3"/>
  <c r="Q999" i="3"/>
  <c r="R999" i="3" s="1"/>
  <c r="S999" i="3" s="1"/>
  <c r="Q929" i="3"/>
  <c r="R929" i="3" s="1"/>
  <c r="S929" i="3" s="1"/>
  <c r="Q828" i="3"/>
  <c r="R828" i="3" s="1"/>
  <c r="S828" i="3" s="1"/>
  <c r="Q726" i="3"/>
  <c r="R726" i="3" s="1"/>
  <c r="S726" i="3" s="1"/>
  <c r="Q590" i="3"/>
  <c r="R590" i="3" s="1"/>
  <c r="S590" i="3" s="1"/>
  <c r="Q424" i="3"/>
  <c r="R424" i="3" s="1"/>
  <c r="S424" i="3" s="1"/>
  <c r="Q991" i="3"/>
  <c r="R991" i="3" s="1"/>
  <c r="S991" i="3" s="1"/>
  <c r="Q918" i="3"/>
  <c r="R918" i="3" s="1"/>
  <c r="S918" i="3" s="1"/>
  <c r="Q815" i="3"/>
  <c r="R815" i="3" s="1"/>
  <c r="S815" i="3" s="1"/>
  <c r="Q712" i="3"/>
  <c r="R712" i="3" s="1"/>
  <c r="S712" i="3" s="1"/>
  <c r="Q567" i="3"/>
  <c r="R567" i="3" s="1"/>
  <c r="S567" i="3" s="1"/>
  <c r="Q406" i="3"/>
  <c r="R406" i="3" s="1"/>
  <c r="S406" i="3" s="1"/>
  <c r="H415" i="3"/>
  <c r="H407" i="3"/>
  <c r="H391" i="3"/>
  <c r="H351" i="3"/>
  <c r="H343" i="3"/>
  <c r="H327" i="3"/>
  <c r="H287" i="3"/>
  <c r="H279" i="3"/>
  <c r="H263" i="3"/>
  <c r="H223" i="3"/>
  <c r="H215" i="3"/>
  <c r="H199" i="3"/>
  <c r="H159" i="3"/>
  <c r="H151" i="3"/>
  <c r="H135" i="3"/>
  <c r="H111" i="3"/>
  <c r="H103" i="3"/>
  <c r="H95" i="3"/>
  <c r="H87" i="3"/>
  <c r="H71" i="3"/>
  <c r="H47" i="3"/>
  <c r="H39" i="3"/>
  <c r="H31" i="3"/>
  <c r="H23" i="3"/>
  <c r="H7" i="3"/>
  <c r="Q423" i="3"/>
  <c r="R423" i="3" s="1"/>
  <c r="S423" i="3" s="1"/>
  <c r="Q383" i="3"/>
  <c r="R383" i="3" s="1"/>
  <c r="S383" i="3" s="1"/>
  <c r="Q342" i="3"/>
  <c r="R342" i="3" s="1"/>
  <c r="S342" i="3" s="1"/>
  <c r="Q297" i="3"/>
  <c r="R297" i="3" s="1"/>
  <c r="S297" i="3" s="1"/>
  <c r="Q257" i="3"/>
  <c r="R257" i="3" s="1"/>
  <c r="S257" i="3" s="1"/>
  <c r="Q239" i="3"/>
  <c r="R239" i="3" s="1"/>
  <c r="S239" i="3" s="1"/>
  <c r="Q217" i="3"/>
  <c r="R217" i="3" s="1"/>
  <c r="S217" i="3" s="1"/>
  <c r="Q196" i="3"/>
  <c r="R196" i="3" s="1"/>
  <c r="S196" i="3" s="1"/>
  <c r="Q177" i="3"/>
  <c r="R177" i="3" s="1"/>
  <c r="S177" i="3" s="1"/>
  <c r="Q156" i="3"/>
  <c r="R156" i="3" s="1"/>
  <c r="S156" i="3" s="1"/>
  <c r="Q105" i="3"/>
  <c r="R105" i="3" s="1"/>
  <c r="S105" i="3" s="1"/>
  <c r="Q76" i="3"/>
  <c r="R76" i="3" s="1"/>
  <c r="S76" i="3" s="1"/>
  <c r="H390" i="3"/>
  <c r="H382" i="3"/>
  <c r="H366" i="3"/>
  <c r="H326" i="3"/>
  <c r="H318" i="3"/>
  <c r="H302" i="3"/>
  <c r="H262" i="3"/>
  <c r="H254" i="3"/>
  <c r="H238" i="3"/>
  <c r="H198" i="3"/>
  <c r="H190" i="3"/>
  <c r="H174" i="3"/>
  <c r="H134" i="3"/>
  <c r="H126" i="3"/>
  <c r="H110" i="3"/>
  <c r="H86" i="3"/>
  <c r="H78" i="3"/>
  <c r="H70" i="3"/>
  <c r="H62" i="3"/>
  <c r="H46" i="3"/>
  <c r="H22" i="3"/>
  <c r="H14" i="3"/>
  <c r="Q1005" i="3"/>
  <c r="R1005" i="3" s="1"/>
  <c r="S1005" i="3" s="1"/>
  <c r="Q997" i="3"/>
  <c r="R997" i="3" s="1"/>
  <c r="S997" i="3" s="1"/>
  <c r="Q989" i="3"/>
  <c r="R989" i="3" s="1"/>
  <c r="S989" i="3" s="1"/>
  <c r="Q981" i="3"/>
  <c r="R981" i="3" s="1"/>
  <c r="S981" i="3" s="1"/>
  <c r="Q973" i="3"/>
  <c r="R973" i="3" s="1"/>
  <c r="S973" i="3" s="1"/>
  <c r="Q965" i="3"/>
  <c r="R965" i="3" s="1"/>
  <c r="S965" i="3" s="1"/>
  <c r="Q957" i="3"/>
  <c r="R957" i="3" s="1"/>
  <c r="S957" i="3" s="1"/>
  <c r="Q949" i="3"/>
  <c r="R949" i="3" s="1"/>
  <c r="S949" i="3" s="1"/>
  <c r="Q399" i="3"/>
  <c r="R399" i="3" s="1"/>
  <c r="S399" i="3" s="1"/>
  <c r="Q380" i="3"/>
  <c r="R380" i="3" s="1"/>
  <c r="S380" i="3" s="1"/>
  <c r="Q359" i="3"/>
  <c r="R359" i="3" s="1"/>
  <c r="S359" i="3" s="1"/>
  <c r="Q319" i="3"/>
  <c r="R319" i="3" s="1"/>
  <c r="S319" i="3" s="1"/>
  <c r="Q278" i="3"/>
  <c r="R278" i="3" s="1"/>
  <c r="S278" i="3" s="1"/>
  <c r="Q233" i="3"/>
  <c r="R233" i="3" s="1"/>
  <c r="S233" i="3" s="1"/>
  <c r="Q193" i="3"/>
  <c r="R193" i="3" s="1"/>
  <c r="S193" i="3" s="1"/>
  <c r="Q175" i="3"/>
  <c r="R175" i="3" s="1"/>
  <c r="S175" i="3" s="1"/>
  <c r="Q153" i="3"/>
  <c r="R153" i="3" s="1"/>
  <c r="S153" i="3" s="1"/>
  <c r="Q132" i="3"/>
  <c r="R132" i="3" s="1"/>
  <c r="S132" i="3" s="1"/>
  <c r="Q68" i="3"/>
  <c r="R68" i="3" s="1"/>
  <c r="S68" i="3" s="1"/>
  <c r="Q38" i="3"/>
  <c r="R38" i="3" s="1"/>
  <c r="S38" i="3" s="1"/>
  <c r="H941" i="3"/>
  <c r="H933" i="3"/>
  <c r="H925" i="3"/>
  <c r="I925" i="3" s="1"/>
  <c r="J925" i="3" s="1"/>
  <c r="K925" i="3" s="1"/>
  <c r="L925" i="3" s="1"/>
  <c r="M925" i="3" s="1"/>
  <c r="N925" i="3" s="1"/>
  <c r="O925" i="3" s="1"/>
  <c r="P925" i="3" s="1"/>
  <c r="H917" i="3"/>
  <c r="H909" i="3"/>
  <c r="H901" i="3"/>
  <c r="H893" i="3"/>
  <c r="I893" i="3" s="1"/>
  <c r="J893" i="3" s="1"/>
  <c r="K893" i="3" s="1"/>
  <c r="L893" i="3" s="1"/>
  <c r="M893" i="3" s="1"/>
  <c r="N893" i="3" s="1"/>
  <c r="O893" i="3" s="1"/>
  <c r="P893" i="3" s="1"/>
  <c r="H885" i="3"/>
  <c r="H877" i="3"/>
  <c r="H869" i="3"/>
  <c r="I869" i="3" s="1"/>
  <c r="J869" i="3" s="1"/>
  <c r="K869" i="3" s="1"/>
  <c r="L869" i="3" s="1"/>
  <c r="M869" i="3" s="1"/>
  <c r="N869" i="3" s="1"/>
  <c r="O869" i="3" s="1"/>
  <c r="P869" i="3" s="1"/>
  <c r="H861" i="3"/>
  <c r="I861" i="3" s="1"/>
  <c r="J861" i="3" s="1"/>
  <c r="K861" i="3" s="1"/>
  <c r="L861" i="3" s="1"/>
  <c r="M861" i="3" s="1"/>
  <c r="N861" i="3" s="1"/>
  <c r="O861" i="3" s="1"/>
  <c r="P861" i="3" s="1"/>
  <c r="H853" i="3"/>
  <c r="H845" i="3"/>
  <c r="H837" i="3"/>
  <c r="I837" i="3" s="1"/>
  <c r="J837" i="3" s="1"/>
  <c r="K837" i="3" s="1"/>
  <c r="L837" i="3" s="1"/>
  <c r="M837" i="3" s="1"/>
  <c r="N837" i="3" s="1"/>
  <c r="O837" i="3" s="1"/>
  <c r="P837" i="3" s="1"/>
  <c r="H829" i="3"/>
  <c r="I829" i="3" s="1"/>
  <c r="J829" i="3" s="1"/>
  <c r="K829" i="3" s="1"/>
  <c r="L829" i="3" s="1"/>
  <c r="M829" i="3" s="1"/>
  <c r="N829" i="3" s="1"/>
  <c r="O829" i="3" s="1"/>
  <c r="P829" i="3" s="1"/>
  <c r="H821" i="3"/>
  <c r="H813" i="3"/>
  <c r="H805" i="3"/>
  <c r="I805" i="3" s="1"/>
  <c r="J805" i="3" s="1"/>
  <c r="K805" i="3" s="1"/>
  <c r="L805" i="3" s="1"/>
  <c r="M805" i="3" s="1"/>
  <c r="N805" i="3" s="1"/>
  <c r="O805" i="3" s="1"/>
  <c r="P805" i="3" s="1"/>
  <c r="H797" i="3"/>
  <c r="I797" i="3" s="1"/>
  <c r="J797" i="3" s="1"/>
  <c r="K797" i="3" s="1"/>
  <c r="L797" i="3" s="1"/>
  <c r="M797" i="3" s="1"/>
  <c r="N797" i="3" s="1"/>
  <c r="O797" i="3" s="1"/>
  <c r="P797" i="3" s="1"/>
  <c r="H789" i="3"/>
  <c r="H781" i="3"/>
  <c r="H773" i="3"/>
  <c r="I773" i="3" s="1"/>
  <c r="J773" i="3" s="1"/>
  <c r="K773" i="3" s="1"/>
  <c r="L773" i="3" s="1"/>
  <c r="M773" i="3" s="1"/>
  <c r="N773" i="3" s="1"/>
  <c r="O773" i="3" s="1"/>
  <c r="P773" i="3" s="1"/>
  <c r="H765" i="3"/>
  <c r="I765" i="3" s="1"/>
  <c r="J765" i="3" s="1"/>
  <c r="K765" i="3" s="1"/>
  <c r="L765" i="3" s="1"/>
  <c r="M765" i="3" s="1"/>
  <c r="N765" i="3" s="1"/>
  <c r="O765" i="3" s="1"/>
  <c r="P765" i="3" s="1"/>
  <c r="H757" i="3"/>
  <c r="H749" i="3"/>
  <c r="H741" i="3"/>
  <c r="I741" i="3" s="1"/>
  <c r="J741" i="3" s="1"/>
  <c r="K741" i="3" s="1"/>
  <c r="L741" i="3" s="1"/>
  <c r="M741" i="3" s="1"/>
  <c r="N741" i="3" s="1"/>
  <c r="O741" i="3" s="1"/>
  <c r="P741" i="3" s="1"/>
  <c r="H733" i="3"/>
  <c r="I733" i="3" s="1"/>
  <c r="J733" i="3" s="1"/>
  <c r="K733" i="3" s="1"/>
  <c r="L733" i="3" s="1"/>
  <c r="M733" i="3" s="1"/>
  <c r="N733" i="3" s="1"/>
  <c r="O733" i="3" s="1"/>
  <c r="P733" i="3" s="1"/>
  <c r="H725" i="3"/>
  <c r="H717" i="3"/>
  <c r="H709" i="3"/>
  <c r="I709" i="3" s="1"/>
  <c r="J709" i="3" s="1"/>
  <c r="K709" i="3" s="1"/>
  <c r="L709" i="3" s="1"/>
  <c r="M709" i="3" s="1"/>
  <c r="N709" i="3" s="1"/>
  <c r="O709" i="3" s="1"/>
  <c r="P709" i="3" s="1"/>
  <c r="H701" i="3"/>
  <c r="I701" i="3" s="1"/>
  <c r="J701" i="3" s="1"/>
  <c r="K701" i="3" s="1"/>
  <c r="L701" i="3" s="1"/>
  <c r="M701" i="3" s="1"/>
  <c r="N701" i="3" s="1"/>
  <c r="O701" i="3" s="1"/>
  <c r="P701" i="3" s="1"/>
  <c r="H693" i="3"/>
  <c r="H685" i="3"/>
  <c r="H661" i="3"/>
  <c r="I661" i="3" s="1"/>
  <c r="J661" i="3" s="1"/>
  <c r="K661" i="3" s="1"/>
  <c r="L661" i="3" s="1"/>
  <c r="M661" i="3" s="1"/>
  <c r="N661" i="3" s="1"/>
  <c r="O661" i="3" s="1"/>
  <c r="P661" i="3" s="1"/>
  <c r="H653" i="3"/>
  <c r="I653" i="3" s="1"/>
  <c r="J653" i="3" s="1"/>
  <c r="K653" i="3" s="1"/>
  <c r="L653" i="3" s="1"/>
  <c r="M653" i="3" s="1"/>
  <c r="N653" i="3" s="1"/>
  <c r="O653" i="3" s="1"/>
  <c r="P653" i="3" s="1"/>
  <c r="H645" i="3"/>
  <c r="H637" i="3"/>
  <c r="H629" i="3"/>
  <c r="I629" i="3" s="1"/>
  <c r="J629" i="3" s="1"/>
  <c r="K629" i="3" s="1"/>
  <c r="L629" i="3" s="1"/>
  <c r="M629" i="3" s="1"/>
  <c r="N629" i="3" s="1"/>
  <c r="O629" i="3" s="1"/>
  <c r="P629" i="3" s="1"/>
  <c r="H621" i="3"/>
  <c r="I621" i="3" s="1"/>
  <c r="J621" i="3" s="1"/>
  <c r="K621" i="3" s="1"/>
  <c r="L621" i="3" s="1"/>
  <c r="M621" i="3" s="1"/>
  <c r="N621" i="3" s="1"/>
  <c r="O621" i="3" s="1"/>
  <c r="P621" i="3" s="1"/>
  <c r="H613" i="3"/>
  <c r="H605" i="3"/>
  <c r="H597" i="3"/>
  <c r="I597" i="3" s="1"/>
  <c r="J597" i="3" s="1"/>
  <c r="K597" i="3" s="1"/>
  <c r="L597" i="3" s="1"/>
  <c r="M597" i="3" s="1"/>
  <c r="N597" i="3" s="1"/>
  <c r="O597" i="3" s="1"/>
  <c r="P597" i="3" s="1"/>
  <c r="H589" i="3"/>
  <c r="I589" i="3" s="1"/>
  <c r="J589" i="3" s="1"/>
  <c r="K589" i="3" s="1"/>
  <c r="L589" i="3" s="1"/>
  <c r="M589" i="3" s="1"/>
  <c r="N589" i="3" s="1"/>
  <c r="O589" i="3" s="1"/>
  <c r="P589" i="3" s="1"/>
  <c r="H581" i="3"/>
  <c r="H573" i="3"/>
  <c r="H565" i="3"/>
  <c r="I565" i="3" s="1"/>
  <c r="J565" i="3" s="1"/>
  <c r="K565" i="3" s="1"/>
  <c r="L565" i="3" s="1"/>
  <c r="M565" i="3" s="1"/>
  <c r="N565" i="3" s="1"/>
  <c r="O565" i="3" s="1"/>
  <c r="P565" i="3" s="1"/>
  <c r="H557" i="3"/>
  <c r="I557" i="3" s="1"/>
  <c r="J557" i="3" s="1"/>
  <c r="K557" i="3" s="1"/>
  <c r="L557" i="3" s="1"/>
  <c r="M557" i="3" s="1"/>
  <c r="N557" i="3" s="1"/>
  <c r="O557" i="3" s="1"/>
  <c r="P557" i="3" s="1"/>
  <c r="H549" i="3"/>
  <c r="H541" i="3"/>
  <c r="H533" i="3"/>
  <c r="I533" i="3" s="1"/>
  <c r="J533" i="3" s="1"/>
  <c r="K533" i="3" s="1"/>
  <c r="L533" i="3" s="1"/>
  <c r="M533" i="3" s="1"/>
  <c r="N533" i="3" s="1"/>
  <c r="O533" i="3" s="1"/>
  <c r="P533" i="3" s="1"/>
  <c r="H525" i="3"/>
  <c r="I525" i="3" s="1"/>
  <c r="J525" i="3" s="1"/>
  <c r="K525" i="3" s="1"/>
  <c r="L525" i="3" s="1"/>
  <c r="M525" i="3" s="1"/>
  <c r="N525" i="3" s="1"/>
  <c r="O525" i="3" s="1"/>
  <c r="P525" i="3" s="1"/>
  <c r="H517" i="3"/>
  <c r="H509" i="3"/>
  <c r="H501" i="3"/>
  <c r="I501" i="3" s="1"/>
  <c r="J501" i="3" s="1"/>
  <c r="K501" i="3" s="1"/>
  <c r="L501" i="3" s="1"/>
  <c r="M501" i="3" s="1"/>
  <c r="N501" i="3" s="1"/>
  <c r="O501" i="3" s="1"/>
  <c r="P501" i="3" s="1"/>
  <c r="H493" i="3"/>
  <c r="I493" i="3" s="1"/>
  <c r="J493" i="3" s="1"/>
  <c r="K493" i="3" s="1"/>
  <c r="L493" i="3" s="1"/>
  <c r="M493" i="3" s="1"/>
  <c r="N493" i="3" s="1"/>
  <c r="O493" i="3" s="1"/>
  <c r="P493" i="3" s="1"/>
  <c r="H485" i="3"/>
  <c r="H477" i="3"/>
  <c r="H469" i="3"/>
  <c r="I469" i="3" s="1"/>
  <c r="J469" i="3" s="1"/>
  <c r="K469" i="3" s="1"/>
  <c r="L469" i="3" s="1"/>
  <c r="M469" i="3" s="1"/>
  <c r="N469" i="3" s="1"/>
  <c r="O469" i="3" s="1"/>
  <c r="P469" i="3" s="1"/>
  <c r="H461" i="3"/>
  <c r="I461" i="3" s="1"/>
  <c r="J461" i="3" s="1"/>
  <c r="K461" i="3" s="1"/>
  <c r="L461" i="3" s="1"/>
  <c r="M461" i="3" s="1"/>
  <c r="N461" i="3" s="1"/>
  <c r="O461" i="3" s="1"/>
  <c r="P461" i="3" s="1"/>
  <c r="H453" i="3"/>
  <c r="H445" i="3"/>
  <c r="H437" i="3"/>
  <c r="I437" i="3" s="1"/>
  <c r="J437" i="3" s="1"/>
  <c r="K437" i="3" s="1"/>
  <c r="L437" i="3" s="1"/>
  <c r="M437" i="3" s="1"/>
  <c r="N437" i="3" s="1"/>
  <c r="O437" i="3" s="1"/>
  <c r="P437" i="3" s="1"/>
  <c r="H429" i="3"/>
  <c r="I429" i="3" s="1"/>
  <c r="J429" i="3" s="1"/>
  <c r="K429" i="3" s="1"/>
  <c r="L429" i="3" s="1"/>
  <c r="M429" i="3" s="1"/>
  <c r="N429" i="3" s="1"/>
  <c r="O429" i="3" s="1"/>
  <c r="P429" i="3" s="1"/>
  <c r="H421" i="3"/>
  <c r="H413" i="3"/>
  <c r="H405" i="3"/>
  <c r="I405" i="3" s="1"/>
  <c r="J405" i="3" s="1"/>
  <c r="K405" i="3" s="1"/>
  <c r="L405" i="3" s="1"/>
  <c r="M405" i="3" s="1"/>
  <c r="N405" i="3" s="1"/>
  <c r="O405" i="3" s="1"/>
  <c r="P405" i="3" s="1"/>
  <c r="H397" i="3"/>
  <c r="I397" i="3" s="1"/>
  <c r="J397" i="3" s="1"/>
  <c r="K397" i="3" s="1"/>
  <c r="L397" i="3" s="1"/>
  <c r="M397" i="3" s="1"/>
  <c r="N397" i="3" s="1"/>
  <c r="O397" i="3" s="1"/>
  <c r="P397" i="3" s="1"/>
  <c r="H389" i="3"/>
  <c r="H381" i="3"/>
  <c r="H373" i="3"/>
  <c r="I373" i="3" s="1"/>
  <c r="J373" i="3" s="1"/>
  <c r="K373" i="3" s="1"/>
  <c r="L373" i="3" s="1"/>
  <c r="M373" i="3" s="1"/>
  <c r="N373" i="3" s="1"/>
  <c r="O373" i="3" s="1"/>
  <c r="P373" i="3" s="1"/>
  <c r="H365" i="3"/>
  <c r="I365" i="3" s="1"/>
  <c r="J365" i="3" s="1"/>
  <c r="K365" i="3" s="1"/>
  <c r="L365" i="3" s="1"/>
  <c r="M365" i="3" s="1"/>
  <c r="N365" i="3" s="1"/>
  <c r="O365" i="3" s="1"/>
  <c r="P365" i="3" s="1"/>
  <c r="H357" i="3"/>
  <c r="H349" i="3"/>
  <c r="H341" i="3"/>
  <c r="I341" i="3" s="1"/>
  <c r="J341" i="3" s="1"/>
  <c r="K341" i="3" s="1"/>
  <c r="L341" i="3" s="1"/>
  <c r="M341" i="3" s="1"/>
  <c r="N341" i="3" s="1"/>
  <c r="O341" i="3" s="1"/>
  <c r="P341" i="3" s="1"/>
  <c r="H333" i="3"/>
  <c r="I333" i="3" s="1"/>
  <c r="J333" i="3" s="1"/>
  <c r="K333" i="3" s="1"/>
  <c r="L333" i="3" s="1"/>
  <c r="M333" i="3" s="1"/>
  <c r="N333" i="3" s="1"/>
  <c r="O333" i="3" s="1"/>
  <c r="P333" i="3" s="1"/>
  <c r="H325" i="3"/>
  <c r="H317" i="3"/>
  <c r="H309" i="3"/>
  <c r="I309" i="3" s="1"/>
  <c r="J309" i="3" s="1"/>
  <c r="K309" i="3" s="1"/>
  <c r="L309" i="3" s="1"/>
  <c r="M309" i="3" s="1"/>
  <c r="N309" i="3" s="1"/>
  <c r="O309" i="3" s="1"/>
  <c r="P309" i="3" s="1"/>
  <c r="H301" i="3"/>
  <c r="I301" i="3" s="1"/>
  <c r="J301" i="3" s="1"/>
  <c r="K301" i="3" s="1"/>
  <c r="L301" i="3" s="1"/>
  <c r="M301" i="3" s="1"/>
  <c r="N301" i="3" s="1"/>
  <c r="O301" i="3" s="1"/>
  <c r="P301" i="3" s="1"/>
  <c r="H293" i="3"/>
  <c r="H285" i="3"/>
  <c r="H277" i="3"/>
  <c r="I277" i="3" s="1"/>
  <c r="J277" i="3" s="1"/>
  <c r="K277" i="3" s="1"/>
  <c r="L277" i="3" s="1"/>
  <c r="M277" i="3" s="1"/>
  <c r="N277" i="3" s="1"/>
  <c r="O277" i="3" s="1"/>
  <c r="P277" i="3" s="1"/>
  <c r="H269" i="3"/>
  <c r="I269" i="3" s="1"/>
  <c r="J269" i="3" s="1"/>
  <c r="K269" i="3" s="1"/>
  <c r="L269" i="3" s="1"/>
  <c r="M269" i="3" s="1"/>
  <c r="N269" i="3" s="1"/>
  <c r="O269" i="3" s="1"/>
  <c r="P269" i="3" s="1"/>
  <c r="H261" i="3"/>
  <c r="H253" i="3"/>
  <c r="H245" i="3"/>
  <c r="I245" i="3" s="1"/>
  <c r="J245" i="3" s="1"/>
  <c r="K245" i="3" s="1"/>
  <c r="L245" i="3" s="1"/>
  <c r="M245" i="3" s="1"/>
  <c r="N245" i="3" s="1"/>
  <c r="O245" i="3" s="1"/>
  <c r="P245" i="3" s="1"/>
  <c r="H237" i="3"/>
  <c r="I237" i="3" s="1"/>
  <c r="J237" i="3" s="1"/>
  <c r="K237" i="3" s="1"/>
  <c r="L237" i="3" s="1"/>
  <c r="M237" i="3" s="1"/>
  <c r="N237" i="3" s="1"/>
  <c r="O237" i="3" s="1"/>
  <c r="P237" i="3" s="1"/>
  <c r="H229" i="3"/>
  <c r="H221" i="3"/>
  <c r="H213" i="3"/>
  <c r="I213" i="3" s="1"/>
  <c r="J213" i="3" s="1"/>
  <c r="K213" i="3" s="1"/>
  <c r="L213" i="3" s="1"/>
  <c r="M213" i="3" s="1"/>
  <c r="N213" i="3" s="1"/>
  <c r="O213" i="3" s="1"/>
  <c r="P213" i="3" s="1"/>
  <c r="H205" i="3"/>
  <c r="I205" i="3" s="1"/>
  <c r="J205" i="3" s="1"/>
  <c r="K205" i="3" s="1"/>
  <c r="L205" i="3" s="1"/>
  <c r="M205" i="3" s="1"/>
  <c r="N205" i="3" s="1"/>
  <c r="O205" i="3" s="1"/>
  <c r="P205" i="3" s="1"/>
  <c r="H197" i="3"/>
  <c r="H189" i="3"/>
  <c r="H181" i="3"/>
  <c r="I181" i="3" s="1"/>
  <c r="J181" i="3" s="1"/>
  <c r="K181" i="3" s="1"/>
  <c r="L181" i="3" s="1"/>
  <c r="M181" i="3" s="1"/>
  <c r="N181" i="3" s="1"/>
  <c r="O181" i="3" s="1"/>
  <c r="P181" i="3" s="1"/>
  <c r="H173" i="3"/>
  <c r="I173" i="3" s="1"/>
  <c r="J173" i="3" s="1"/>
  <c r="K173" i="3" s="1"/>
  <c r="L173" i="3" s="1"/>
  <c r="M173" i="3" s="1"/>
  <c r="N173" i="3" s="1"/>
  <c r="O173" i="3" s="1"/>
  <c r="P173" i="3" s="1"/>
  <c r="H165" i="3"/>
  <c r="H157" i="3"/>
  <c r="H149" i="3"/>
  <c r="I149" i="3" s="1"/>
  <c r="J149" i="3" s="1"/>
  <c r="K149" i="3" s="1"/>
  <c r="L149" i="3" s="1"/>
  <c r="M149" i="3" s="1"/>
  <c r="N149" i="3" s="1"/>
  <c r="O149" i="3" s="1"/>
  <c r="P149" i="3" s="1"/>
  <c r="H141" i="3"/>
  <c r="I141" i="3" s="1"/>
  <c r="J141" i="3" s="1"/>
  <c r="K141" i="3" s="1"/>
  <c r="L141" i="3" s="1"/>
  <c r="M141" i="3" s="1"/>
  <c r="N141" i="3" s="1"/>
  <c r="O141" i="3" s="1"/>
  <c r="P141" i="3" s="1"/>
  <c r="H133" i="3"/>
  <c r="H125" i="3"/>
  <c r="H117" i="3"/>
  <c r="I117" i="3" s="1"/>
  <c r="J117" i="3" s="1"/>
  <c r="K117" i="3" s="1"/>
  <c r="L117" i="3" s="1"/>
  <c r="M117" i="3" s="1"/>
  <c r="N117" i="3" s="1"/>
  <c r="O117" i="3" s="1"/>
  <c r="P117" i="3" s="1"/>
  <c r="H109" i="3"/>
  <c r="I109" i="3" s="1"/>
  <c r="J109" i="3" s="1"/>
  <c r="K109" i="3" s="1"/>
  <c r="L109" i="3" s="1"/>
  <c r="M109" i="3" s="1"/>
  <c r="N109" i="3" s="1"/>
  <c r="O109" i="3" s="1"/>
  <c r="P109" i="3" s="1"/>
  <c r="H101" i="3"/>
  <c r="H93" i="3"/>
  <c r="H85" i="3"/>
  <c r="I85" i="3" s="1"/>
  <c r="J85" i="3" s="1"/>
  <c r="K85" i="3" s="1"/>
  <c r="L85" i="3" s="1"/>
  <c r="M85" i="3" s="1"/>
  <c r="N85" i="3" s="1"/>
  <c r="O85" i="3" s="1"/>
  <c r="P85" i="3" s="1"/>
  <c r="H77" i="3"/>
  <c r="I77" i="3" s="1"/>
  <c r="J77" i="3" s="1"/>
  <c r="K77" i="3" s="1"/>
  <c r="L77" i="3" s="1"/>
  <c r="M77" i="3" s="1"/>
  <c r="N77" i="3" s="1"/>
  <c r="O77" i="3" s="1"/>
  <c r="P77" i="3" s="1"/>
  <c r="H69" i="3"/>
  <c r="H61" i="3"/>
  <c r="H53" i="3"/>
  <c r="I53" i="3" s="1"/>
  <c r="J53" i="3" s="1"/>
  <c r="K53" i="3" s="1"/>
  <c r="L53" i="3" s="1"/>
  <c r="M53" i="3" s="1"/>
  <c r="N53" i="3" s="1"/>
  <c r="O53" i="3" s="1"/>
  <c r="P53" i="3" s="1"/>
  <c r="H45" i="3"/>
  <c r="I45" i="3" s="1"/>
  <c r="J45" i="3" s="1"/>
  <c r="K45" i="3" s="1"/>
  <c r="L45" i="3" s="1"/>
  <c r="M45" i="3" s="1"/>
  <c r="N45" i="3" s="1"/>
  <c r="O45" i="3" s="1"/>
  <c r="P45" i="3" s="1"/>
  <c r="H37" i="3"/>
  <c r="H29" i="3"/>
  <c r="H21" i="3"/>
  <c r="I21" i="3" s="1"/>
  <c r="J21" i="3" s="1"/>
  <c r="K21" i="3" s="1"/>
  <c r="L21" i="3" s="1"/>
  <c r="M21" i="3" s="1"/>
  <c r="N21" i="3" s="1"/>
  <c r="O21" i="3" s="1"/>
  <c r="P21" i="3" s="1"/>
  <c r="H13" i="3"/>
  <c r="I13" i="3" s="1"/>
  <c r="J13" i="3" s="1"/>
  <c r="K13" i="3" s="1"/>
  <c r="L13" i="3" s="1"/>
  <c r="M13" i="3" s="1"/>
  <c r="N13" i="3" s="1"/>
  <c r="O13" i="3" s="1"/>
  <c r="P13" i="3" s="1"/>
  <c r="Q398" i="3"/>
  <c r="R398" i="3" s="1"/>
  <c r="S398" i="3" s="1"/>
  <c r="Q375" i="3"/>
  <c r="R375" i="3" s="1"/>
  <c r="S375" i="3" s="1"/>
  <c r="Q358" i="3"/>
  <c r="R358" i="3" s="1"/>
  <c r="S358" i="3" s="1"/>
  <c r="Q335" i="3"/>
  <c r="R335" i="3" s="1"/>
  <c r="S335" i="3" s="1"/>
  <c r="Q316" i="3"/>
  <c r="R316" i="3" s="1"/>
  <c r="S316" i="3" s="1"/>
  <c r="Q295" i="3"/>
  <c r="R295" i="3" s="1"/>
  <c r="S295" i="3" s="1"/>
  <c r="Q255" i="3"/>
  <c r="R255" i="3" s="1"/>
  <c r="S255" i="3" s="1"/>
  <c r="Q214" i="3"/>
  <c r="R214" i="3" s="1"/>
  <c r="S214" i="3" s="1"/>
  <c r="Q169" i="3"/>
  <c r="R169" i="3" s="1"/>
  <c r="S169" i="3" s="1"/>
  <c r="Q129" i="3"/>
  <c r="R129" i="3" s="1"/>
  <c r="S129" i="3" s="1"/>
  <c r="Q102" i="3"/>
  <c r="R102" i="3" s="1"/>
  <c r="S102" i="3" s="1"/>
  <c r="Q65" i="3"/>
  <c r="R65" i="3" s="1"/>
  <c r="S65" i="3" s="1"/>
  <c r="Q30" i="3"/>
  <c r="R30" i="3" s="1"/>
  <c r="S30" i="3" s="1"/>
  <c r="H428" i="3"/>
  <c r="I428" i="3" s="1"/>
  <c r="J428" i="3" s="1"/>
  <c r="K428" i="3" s="1"/>
  <c r="L428" i="3" s="1"/>
  <c r="M428" i="3" s="1"/>
  <c r="N428" i="3" s="1"/>
  <c r="O428" i="3" s="1"/>
  <c r="P428" i="3" s="1"/>
  <c r="H420" i="3"/>
  <c r="I420" i="3" s="1"/>
  <c r="J420" i="3" s="1"/>
  <c r="K420" i="3" s="1"/>
  <c r="L420" i="3" s="1"/>
  <c r="M420" i="3" s="1"/>
  <c r="N420" i="3" s="1"/>
  <c r="O420" i="3" s="1"/>
  <c r="P420" i="3" s="1"/>
  <c r="H404" i="3"/>
  <c r="I404" i="3" s="1"/>
  <c r="J404" i="3" s="1"/>
  <c r="K404" i="3" s="1"/>
  <c r="L404" i="3" s="1"/>
  <c r="M404" i="3" s="1"/>
  <c r="N404" i="3" s="1"/>
  <c r="O404" i="3" s="1"/>
  <c r="P404" i="3" s="1"/>
  <c r="H364" i="3"/>
  <c r="I364" i="3" s="1"/>
  <c r="J364" i="3" s="1"/>
  <c r="K364" i="3" s="1"/>
  <c r="L364" i="3" s="1"/>
  <c r="M364" i="3" s="1"/>
  <c r="N364" i="3" s="1"/>
  <c r="O364" i="3" s="1"/>
  <c r="P364" i="3" s="1"/>
  <c r="H356" i="3"/>
  <c r="I356" i="3" s="1"/>
  <c r="J356" i="3" s="1"/>
  <c r="K356" i="3" s="1"/>
  <c r="L356" i="3" s="1"/>
  <c r="M356" i="3" s="1"/>
  <c r="N356" i="3" s="1"/>
  <c r="O356" i="3" s="1"/>
  <c r="P356" i="3" s="1"/>
  <c r="H340" i="3"/>
  <c r="I340" i="3" s="1"/>
  <c r="J340" i="3" s="1"/>
  <c r="K340" i="3" s="1"/>
  <c r="L340" i="3" s="1"/>
  <c r="M340" i="3" s="1"/>
  <c r="N340" i="3" s="1"/>
  <c r="O340" i="3" s="1"/>
  <c r="P340" i="3" s="1"/>
  <c r="H300" i="3"/>
  <c r="I300" i="3" s="1"/>
  <c r="J300" i="3" s="1"/>
  <c r="K300" i="3" s="1"/>
  <c r="L300" i="3" s="1"/>
  <c r="M300" i="3" s="1"/>
  <c r="N300" i="3" s="1"/>
  <c r="O300" i="3" s="1"/>
  <c r="P300" i="3" s="1"/>
  <c r="H292" i="3"/>
  <c r="I292" i="3" s="1"/>
  <c r="J292" i="3" s="1"/>
  <c r="K292" i="3" s="1"/>
  <c r="L292" i="3" s="1"/>
  <c r="M292" i="3" s="1"/>
  <c r="N292" i="3" s="1"/>
  <c r="O292" i="3" s="1"/>
  <c r="P292" i="3" s="1"/>
  <c r="H276" i="3"/>
  <c r="I276" i="3" s="1"/>
  <c r="J276" i="3" s="1"/>
  <c r="K276" i="3" s="1"/>
  <c r="L276" i="3" s="1"/>
  <c r="M276" i="3" s="1"/>
  <c r="N276" i="3" s="1"/>
  <c r="O276" i="3" s="1"/>
  <c r="P276" i="3" s="1"/>
  <c r="H236" i="3"/>
  <c r="I236" i="3" s="1"/>
  <c r="J236" i="3" s="1"/>
  <c r="K236" i="3" s="1"/>
  <c r="L236" i="3" s="1"/>
  <c r="M236" i="3" s="1"/>
  <c r="N236" i="3" s="1"/>
  <c r="O236" i="3" s="1"/>
  <c r="P236" i="3" s="1"/>
  <c r="H228" i="3"/>
  <c r="I228" i="3" s="1"/>
  <c r="J228" i="3" s="1"/>
  <c r="K228" i="3" s="1"/>
  <c r="L228" i="3" s="1"/>
  <c r="M228" i="3" s="1"/>
  <c r="N228" i="3" s="1"/>
  <c r="O228" i="3" s="1"/>
  <c r="P228" i="3" s="1"/>
  <c r="H212" i="3"/>
  <c r="I212" i="3" s="1"/>
  <c r="J212" i="3" s="1"/>
  <c r="K212" i="3" s="1"/>
  <c r="L212" i="3" s="1"/>
  <c r="M212" i="3" s="1"/>
  <c r="N212" i="3" s="1"/>
  <c r="O212" i="3" s="1"/>
  <c r="P212" i="3" s="1"/>
  <c r="H172" i="3"/>
  <c r="I172" i="3" s="1"/>
  <c r="J172" i="3" s="1"/>
  <c r="K172" i="3" s="1"/>
  <c r="L172" i="3" s="1"/>
  <c r="M172" i="3" s="1"/>
  <c r="N172" i="3" s="1"/>
  <c r="O172" i="3" s="1"/>
  <c r="P172" i="3" s="1"/>
  <c r="H164" i="3"/>
  <c r="I164" i="3" s="1"/>
  <c r="J164" i="3" s="1"/>
  <c r="K164" i="3" s="1"/>
  <c r="L164" i="3" s="1"/>
  <c r="M164" i="3" s="1"/>
  <c r="N164" i="3" s="1"/>
  <c r="O164" i="3" s="1"/>
  <c r="P164" i="3" s="1"/>
  <c r="H148" i="3"/>
  <c r="I148" i="3" s="1"/>
  <c r="J148" i="3" s="1"/>
  <c r="K148" i="3" s="1"/>
  <c r="L148" i="3" s="1"/>
  <c r="M148" i="3" s="1"/>
  <c r="N148" i="3" s="1"/>
  <c r="O148" i="3" s="1"/>
  <c r="P148" i="3" s="1"/>
  <c r="H124" i="3"/>
  <c r="I124" i="3" s="1"/>
  <c r="J124" i="3" s="1"/>
  <c r="K124" i="3" s="1"/>
  <c r="L124" i="3" s="1"/>
  <c r="M124" i="3" s="1"/>
  <c r="N124" i="3" s="1"/>
  <c r="O124" i="3" s="1"/>
  <c r="P124" i="3" s="1"/>
  <c r="H116" i="3"/>
  <c r="I116" i="3" s="1"/>
  <c r="J116" i="3" s="1"/>
  <c r="K116" i="3" s="1"/>
  <c r="L116" i="3" s="1"/>
  <c r="M116" i="3" s="1"/>
  <c r="N116" i="3" s="1"/>
  <c r="O116" i="3" s="1"/>
  <c r="P116" i="3" s="1"/>
  <c r="H108" i="3"/>
  <c r="I108" i="3" s="1"/>
  <c r="J108" i="3" s="1"/>
  <c r="K108" i="3" s="1"/>
  <c r="L108" i="3" s="1"/>
  <c r="M108" i="3" s="1"/>
  <c r="N108" i="3" s="1"/>
  <c r="O108" i="3" s="1"/>
  <c r="P108" i="3" s="1"/>
  <c r="H100" i="3"/>
  <c r="I100" i="3" s="1"/>
  <c r="J100" i="3" s="1"/>
  <c r="K100" i="3" s="1"/>
  <c r="L100" i="3" s="1"/>
  <c r="M100" i="3" s="1"/>
  <c r="N100" i="3" s="1"/>
  <c r="O100" i="3" s="1"/>
  <c r="P100" i="3" s="1"/>
  <c r="H84" i="3"/>
  <c r="I84" i="3" s="1"/>
  <c r="J84" i="3" s="1"/>
  <c r="K84" i="3" s="1"/>
  <c r="L84" i="3" s="1"/>
  <c r="M84" i="3" s="1"/>
  <c r="N84" i="3" s="1"/>
  <c r="O84" i="3" s="1"/>
  <c r="P84" i="3" s="1"/>
  <c r="H60" i="3"/>
  <c r="I60" i="3" s="1"/>
  <c r="J60" i="3" s="1"/>
  <c r="K60" i="3" s="1"/>
  <c r="L60" i="3" s="1"/>
  <c r="M60" i="3" s="1"/>
  <c r="N60" i="3" s="1"/>
  <c r="O60" i="3" s="1"/>
  <c r="P60" i="3" s="1"/>
  <c r="H52" i="3"/>
  <c r="I52" i="3" s="1"/>
  <c r="J52" i="3" s="1"/>
  <c r="K52" i="3" s="1"/>
  <c r="L52" i="3" s="1"/>
  <c r="M52" i="3" s="1"/>
  <c r="N52" i="3" s="1"/>
  <c r="O52" i="3" s="1"/>
  <c r="P52" i="3" s="1"/>
  <c r="H44" i="3"/>
  <c r="I44" i="3" s="1"/>
  <c r="J44" i="3" s="1"/>
  <c r="K44" i="3" s="1"/>
  <c r="L44" i="3" s="1"/>
  <c r="M44" i="3" s="1"/>
  <c r="N44" i="3" s="1"/>
  <c r="O44" i="3" s="1"/>
  <c r="P44" i="3" s="1"/>
  <c r="H36" i="3"/>
  <c r="I36" i="3" s="1"/>
  <c r="J36" i="3" s="1"/>
  <c r="K36" i="3" s="1"/>
  <c r="L36" i="3" s="1"/>
  <c r="M36" i="3" s="1"/>
  <c r="N36" i="3" s="1"/>
  <c r="O36" i="3" s="1"/>
  <c r="P36" i="3" s="1"/>
  <c r="H20" i="3"/>
  <c r="I20" i="3" s="1"/>
  <c r="J20" i="3" s="1"/>
  <c r="K20" i="3" s="1"/>
  <c r="L20" i="3" s="1"/>
  <c r="M20" i="3" s="1"/>
  <c r="N20" i="3" s="1"/>
  <c r="O20" i="3" s="1"/>
  <c r="P20" i="3" s="1"/>
  <c r="H12" i="3"/>
  <c r="I12" i="3" s="1"/>
  <c r="J12" i="3" s="1"/>
  <c r="K12" i="3" s="1"/>
  <c r="L12" i="3" s="1"/>
  <c r="M12" i="3" s="1"/>
  <c r="N12" i="3" s="1"/>
  <c r="O12" i="3" s="1"/>
  <c r="P12" i="3" s="1"/>
  <c r="Q436" i="3"/>
  <c r="R436" i="3" s="1"/>
  <c r="S436" i="3" s="1"/>
  <c r="Q396" i="3"/>
  <c r="R396" i="3" s="1"/>
  <c r="S396" i="3" s="1"/>
  <c r="Q374" i="3"/>
  <c r="R374" i="3" s="1"/>
  <c r="S374" i="3" s="1"/>
  <c r="Q353" i="3"/>
  <c r="R353" i="3" s="1"/>
  <c r="S353" i="3" s="1"/>
  <c r="Q334" i="3"/>
  <c r="R334" i="3" s="1"/>
  <c r="S334" i="3" s="1"/>
  <c r="Q311" i="3"/>
  <c r="R311" i="3" s="1"/>
  <c r="S311" i="3" s="1"/>
  <c r="Q294" i="3"/>
  <c r="R294" i="3" s="1"/>
  <c r="S294" i="3" s="1"/>
  <c r="Q271" i="3"/>
  <c r="R271" i="3" s="1"/>
  <c r="S271" i="3" s="1"/>
  <c r="Q252" i="3"/>
  <c r="R252" i="3" s="1"/>
  <c r="S252" i="3" s="1"/>
  <c r="Q231" i="3"/>
  <c r="R231" i="3" s="1"/>
  <c r="S231" i="3" s="1"/>
  <c r="Q191" i="3"/>
  <c r="R191" i="3" s="1"/>
  <c r="S191" i="3" s="1"/>
  <c r="Q150" i="3"/>
  <c r="R150" i="3" s="1"/>
  <c r="S150" i="3" s="1"/>
  <c r="Q94" i="3"/>
  <c r="R94" i="3" s="1"/>
  <c r="S94" i="3" s="1"/>
  <c r="Q63" i="3"/>
  <c r="R63" i="3" s="1"/>
  <c r="S63" i="3" s="1"/>
  <c r="Q28" i="3"/>
  <c r="R28" i="3" s="1"/>
  <c r="S28" i="3" s="1"/>
  <c r="H619" i="3"/>
  <c r="H611" i="3"/>
  <c r="I611" i="3" s="1"/>
  <c r="J611" i="3" s="1"/>
  <c r="K611" i="3" s="1"/>
  <c r="L611" i="3" s="1"/>
  <c r="M611" i="3" s="1"/>
  <c r="N611" i="3" s="1"/>
  <c r="O611" i="3" s="1"/>
  <c r="P611" i="3" s="1"/>
  <c r="H603" i="3"/>
  <c r="I603" i="3" s="1"/>
  <c r="J603" i="3" s="1"/>
  <c r="K603" i="3" s="1"/>
  <c r="L603" i="3" s="1"/>
  <c r="M603" i="3" s="1"/>
  <c r="N603" i="3" s="1"/>
  <c r="O603" i="3" s="1"/>
  <c r="P603" i="3" s="1"/>
  <c r="H595" i="3"/>
  <c r="I595" i="3" s="1"/>
  <c r="J595" i="3" s="1"/>
  <c r="K595" i="3" s="1"/>
  <c r="L595" i="3" s="1"/>
  <c r="M595" i="3" s="1"/>
  <c r="N595" i="3" s="1"/>
  <c r="O595" i="3" s="1"/>
  <c r="P595" i="3" s="1"/>
  <c r="H587" i="3"/>
  <c r="I587" i="3" s="1"/>
  <c r="J587" i="3" s="1"/>
  <c r="K587" i="3" s="1"/>
  <c r="L587" i="3" s="1"/>
  <c r="M587" i="3" s="1"/>
  <c r="N587" i="3" s="1"/>
  <c r="O587" i="3" s="1"/>
  <c r="P587" i="3" s="1"/>
  <c r="H579" i="3"/>
  <c r="I579" i="3" s="1"/>
  <c r="J579" i="3" s="1"/>
  <c r="K579" i="3" s="1"/>
  <c r="L579" i="3" s="1"/>
  <c r="M579" i="3" s="1"/>
  <c r="N579" i="3" s="1"/>
  <c r="O579" i="3" s="1"/>
  <c r="P579" i="3" s="1"/>
  <c r="H571" i="3"/>
  <c r="I571" i="3" s="1"/>
  <c r="J571" i="3" s="1"/>
  <c r="K571" i="3" s="1"/>
  <c r="L571" i="3" s="1"/>
  <c r="M571" i="3" s="1"/>
  <c r="N571" i="3" s="1"/>
  <c r="O571" i="3" s="1"/>
  <c r="P571" i="3" s="1"/>
  <c r="H563" i="3"/>
  <c r="I563" i="3" s="1"/>
  <c r="J563" i="3" s="1"/>
  <c r="K563" i="3" s="1"/>
  <c r="L563" i="3" s="1"/>
  <c r="M563" i="3" s="1"/>
  <c r="N563" i="3" s="1"/>
  <c r="O563" i="3" s="1"/>
  <c r="P563" i="3" s="1"/>
  <c r="H555" i="3"/>
  <c r="I555" i="3" s="1"/>
  <c r="J555" i="3" s="1"/>
  <c r="K555" i="3" s="1"/>
  <c r="L555" i="3" s="1"/>
  <c r="M555" i="3" s="1"/>
  <c r="N555" i="3" s="1"/>
  <c r="O555" i="3" s="1"/>
  <c r="P555" i="3" s="1"/>
  <c r="H547" i="3"/>
  <c r="I547" i="3" s="1"/>
  <c r="J547" i="3" s="1"/>
  <c r="K547" i="3" s="1"/>
  <c r="L547" i="3" s="1"/>
  <c r="M547" i="3" s="1"/>
  <c r="N547" i="3" s="1"/>
  <c r="O547" i="3" s="1"/>
  <c r="P547" i="3" s="1"/>
  <c r="H539" i="3"/>
  <c r="I539" i="3" s="1"/>
  <c r="J539" i="3" s="1"/>
  <c r="K539" i="3" s="1"/>
  <c r="L539" i="3" s="1"/>
  <c r="M539" i="3" s="1"/>
  <c r="N539" i="3" s="1"/>
  <c r="O539" i="3" s="1"/>
  <c r="P539" i="3" s="1"/>
  <c r="H531" i="3"/>
  <c r="I531" i="3" s="1"/>
  <c r="J531" i="3" s="1"/>
  <c r="K531" i="3" s="1"/>
  <c r="L531" i="3" s="1"/>
  <c r="M531" i="3" s="1"/>
  <c r="N531" i="3" s="1"/>
  <c r="O531" i="3" s="1"/>
  <c r="P531" i="3" s="1"/>
  <c r="H523" i="3"/>
  <c r="I523" i="3" s="1"/>
  <c r="J523" i="3" s="1"/>
  <c r="K523" i="3" s="1"/>
  <c r="L523" i="3" s="1"/>
  <c r="M523" i="3" s="1"/>
  <c r="N523" i="3" s="1"/>
  <c r="O523" i="3" s="1"/>
  <c r="P523" i="3" s="1"/>
  <c r="H515" i="3"/>
  <c r="I515" i="3" s="1"/>
  <c r="J515" i="3" s="1"/>
  <c r="K515" i="3" s="1"/>
  <c r="L515" i="3" s="1"/>
  <c r="M515" i="3" s="1"/>
  <c r="N515" i="3" s="1"/>
  <c r="O515" i="3" s="1"/>
  <c r="P515" i="3" s="1"/>
  <c r="H507" i="3"/>
  <c r="I507" i="3" s="1"/>
  <c r="J507" i="3" s="1"/>
  <c r="K507" i="3" s="1"/>
  <c r="L507" i="3" s="1"/>
  <c r="M507" i="3" s="1"/>
  <c r="N507" i="3" s="1"/>
  <c r="O507" i="3" s="1"/>
  <c r="P507" i="3" s="1"/>
  <c r="H499" i="3"/>
  <c r="I499" i="3" s="1"/>
  <c r="J499" i="3" s="1"/>
  <c r="K499" i="3" s="1"/>
  <c r="L499" i="3" s="1"/>
  <c r="M499" i="3" s="1"/>
  <c r="N499" i="3" s="1"/>
  <c r="O499" i="3" s="1"/>
  <c r="P499" i="3" s="1"/>
  <c r="H491" i="3"/>
  <c r="I491" i="3" s="1"/>
  <c r="J491" i="3" s="1"/>
  <c r="K491" i="3" s="1"/>
  <c r="L491" i="3" s="1"/>
  <c r="M491" i="3" s="1"/>
  <c r="N491" i="3" s="1"/>
  <c r="O491" i="3" s="1"/>
  <c r="P491" i="3" s="1"/>
  <c r="H483" i="3"/>
  <c r="I483" i="3" s="1"/>
  <c r="J483" i="3" s="1"/>
  <c r="K483" i="3" s="1"/>
  <c r="L483" i="3" s="1"/>
  <c r="M483" i="3" s="1"/>
  <c r="N483" i="3" s="1"/>
  <c r="O483" i="3" s="1"/>
  <c r="P483" i="3" s="1"/>
  <c r="H475" i="3"/>
  <c r="I475" i="3" s="1"/>
  <c r="J475" i="3" s="1"/>
  <c r="K475" i="3" s="1"/>
  <c r="L475" i="3" s="1"/>
  <c r="M475" i="3" s="1"/>
  <c r="N475" i="3" s="1"/>
  <c r="O475" i="3" s="1"/>
  <c r="P475" i="3" s="1"/>
  <c r="H467" i="3"/>
  <c r="I467" i="3" s="1"/>
  <c r="J467" i="3" s="1"/>
  <c r="K467" i="3" s="1"/>
  <c r="L467" i="3" s="1"/>
  <c r="M467" i="3" s="1"/>
  <c r="N467" i="3" s="1"/>
  <c r="O467" i="3" s="1"/>
  <c r="P467" i="3" s="1"/>
  <c r="H459" i="3"/>
  <c r="I459" i="3" s="1"/>
  <c r="J459" i="3" s="1"/>
  <c r="K459" i="3" s="1"/>
  <c r="L459" i="3" s="1"/>
  <c r="M459" i="3" s="1"/>
  <c r="N459" i="3" s="1"/>
  <c r="O459" i="3" s="1"/>
  <c r="P459" i="3" s="1"/>
  <c r="H451" i="3"/>
  <c r="I451" i="3" s="1"/>
  <c r="J451" i="3" s="1"/>
  <c r="K451" i="3" s="1"/>
  <c r="L451" i="3" s="1"/>
  <c r="M451" i="3" s="1"/>
  <c r="N451" i="3" s="1"/>
  <c r="O451" i="3" s="1"/>
  <c r="P451" i="3" s="1"/>
  <c r="H443" i="3"/>
  <c r="I443" i="3" s="1"/>
  <c r="J443" i="3" s="1"/>
  <c r="K443" i="3" s="1"/>
  <c r="L443" i="3" s="1"/>
  <c r="M443" i="3" s="1"/>
  <c r="N443" i="3" s="1"/>
  <c r="O443" i="3" s="1"/>
  <c r="P443" i="3" s="1"/>
  <c r="H435" i="3"/>
  <c r="I435" i="3" s="1"/>
  <c r="J435" i="3" s="1"/>
  <c r="K435" i="3" s="1"/>
  <c r="L435" i="3" s="1"/>
  <c r="M435" i="3" s="1"/>
  <c r="N435" i="3" s="1"/>
  <c r="O435" i="3" s="1"/>
  <c r="P435" i="3" s="1"/>
  <c r="H427" i="3"/>
  <c r="I427" i="3" s="1"/>
  <c r="J427" i="3" s="1"/>
  <c r="K427" i="3" s="1"/>
  <c r="L427" i="3" s="1"/>
  <c r="M427" i="3" s="1"/>
  <c r="N427" i="3" s="1"/>
  <c r="O427" i="3" s="1"/>
  <c r="P427" i="3" s="1"/>
  <c r="H419" i="3"/>
  <c r="I419" i="3" s="1"/>
  <c r="J419" i="3" s="1"/>
  <c r="K419" i="3" s="1"/>
  <c r="L419" i="3" s="1"/>
  <c r="M419" i="3" s="1"/>
  <c r="N419" i="3" s="1"/>
  <c r="O419" i="3" s="1"/>
  <c r="P419" i="3" s="1"/>
  <c r="H411" i="3"/>
  <c r="I411" i="3" s="1"/>
  <c r="J411" i="3" s="1"/>
  <c r="K411" i="3" s="1"/>
  <c r="L411" i="3" s="1"/>
  <c r="M411" i="3" s="1"/>
  <c r="N411" i="3" s="1"/>
  <c r="O411" i="3" s="1"/>
  <c r="P411" i="3" s="1"/>
  <c r="H403" i="3"/>
  <c r="I403" i="3" s="1"/>
  <c r="J403" i="3" s="1"/>
  <c r="K403" i="3" s="1"/>
  <c r="L403" i="3" s="1"/>
  <c r="M403" i="3" s="1"/>
  <c r="N403" i="3" s="1"/>
  <c r="O403" i="3" s="1"/>
  <c r="P403" i="3" s="1"/>
  <c r="H395" i="3"/>
  <c r="I395" i="3" s="1"/>
  <c r="J395" i="3" s="1"/>
  <c r="K395" i="3" s="1"/>
  <c r="L395" i="3" s="1"/>
  <c r="M395" i="3" s="1"/>
  <c r="N395" i="3" s="1"/>
  <c r="O395" i="3" s="1"/>
  <c r="P395" i="3" s="1"/>
  <c r="H387" i="3"/>
  <c r="I387" i="3" s="1"/>
  <c r="J387" i="3" s="1"/>
  <c r="K387" i="3" s="1"/>
  <c r="L387" i="3" s="1"/>
  <c r="M387" i="3" s="1"/>
  <c r="N387" i="3" s="1"/>
  <c r="O387" i="3" s="1"/>
  <c r="P387" i="3" s="1"/>
  <c r="H379" i="3"/>
  <c r="I379" i="3" s="1"/>
  <c r="J379" i="3" s="1"/>
  <c r="K379" i="3" s="1"/>
  <c r="L379" i="3" s="1"/>
  <c r="M379" i="3" s="1"/>
  <c r="N379" i="3" s="1"/>
  <c r="O379" i="3" s="1"/>
  <c r="P379" i="3" s="1"/>
  <c r="H371" i="3"/>
  <c r="I371" i="3" s="1"/>
  <c r="J371" i="3" s="1"/>
  <c r="K371" i="3" s="1"/>
  <c r="L371" i="3" s="1"/>
  <c r="M371" i="3" s="1"/>
  <c r="N371" i="3" s="1"/>
  <c r="O371" i="3" s="1"/>
  <c r="P371" i="3" s="1"/>
  <c r="H363" i="3"/>
  <c r="I363" i="3" s="1"/>
  <c r="J363" i="3" s="1"/>
  <c r="K363" i="3" s="1"/>
  <c r="L363" i="3" s="1"/>
  <c r="M363" i="3" s="1"/>
  <c r="N363" i="3" s="1"/>
  <c r="O363" i="3" s="1"/>
  <c r="P363" i="3" s="1"/>
  <c r="H355" i="3"/>
  <c r="I355" i="3" s="1"/>
  <c r="J355" i="3" s="1"/>
  <c r="K355" i="3" s="1"/>
  <c r="L355" i="3" s="1"/>
  <c r="M355" i="3" s="1"/>
  <c r="N355" i="3" s="1"/>
  <c r="O355" i="3" s="1"/>
  <c r="P355" i="3" s="1"/>
  <c r="H347" i="3"/>
  <c r="I347" i="3" s="1"/>
  <c r="J347" i="3" s="1"/>
  <c r="K347" i="3" s="1"/>
  <c r="L347" i="3" s="1"/>
  <c r="M347" i="3" s="1"/>
  <c r="N347" i="3" s="1"/>
  <c r="O347" i="3" s="1"/>
  <c r="P347" i="3" s="1"/>
  <c r="H339" i="3"/>
  <c r="I339" i="3" s="1"/>
  <c r="J339" i="3" s="1"/>
  <c r="K339" i="3" s="1"/>
  <c r="L339" i="3" s="1"/>
  <c r="M339" i="3" s="1"/>
  <c r="N339" i="3" s="1"/>
  <c r="O339" i="3" s="1"/>
  <c r="P339" i="3" s="1"/>
  <c r="Q339" i="3" s="1"/>
  <c r="R339" i="3" s="1"/>
  <c r="S339" i="3" s="1"/>
  <c r="H331" i="3"/>
  <c r="I331" i="3" s="1"/>
  <c r="J331" i="3" s="1"/>
  <c r="K331" i="3" s="1"/>
  <c r="L331" i="3" s="1"/>
  <c r="M331" i="3" s="1"/>
  <c r="N331" i="3" s="1"/>
  <c r="O331" i="3" s="1"/>
  <c r="P331" i="3" s="1"/>
  <c r="H323" i="3"/>
  <c r="I323" i="3" s="1"/>
  <c r="J323" i="3" s="1"/>
  <c r="K323" i="3" s="1"/>
  <c r="L323" i="3" s="1"/>
  <c r="M323" i="3" s="1"/>
  <c r="N323" i="3" s="1"/>
  <c r="O323" i="3" s="1"/>
  <c r="P323" i="3" s="1"/>
  <c r="H315" i="3"/>
  <c r="I315" i="3" s="1"/>
  <c r="J315" i="3" s="1"/>
  <c r="K315" i="3" s="1"/>
  <c r="L315" i="3" s="1"/>
  <c r="M315" i="3" s="1"/>
  <c r="N315" i="3" s="1"/>
  <c r="O315" i="3" s="1"/>
  <c r="P315" i="3" s="1"/>
  <c r="H307" i="3"/>
  <c r="I307" i="3" s="1"/>
  <c r="J307" i="3" s="1"/>
  <c r="K307" i="3" s="1"/>
  <c r="L307" i="3" s="1"/>
  <c r="M307" i="3" s="1"/>
  <c r="N307" i="3" s="1"/>
  <c r="O307" i="3" s="1"/>
  <c r="P307" i="3" s="1"/>
  <c r="H299" i="3"/>
  <c r="I299" i="3" s="1"/>
  <c r="J299" i="3" s="1"/>
  <c r="K299" i="3" s="1"/>
  <c r="L299" i="3" s="1"/>
  <c r="M299" i="3" s="1"/>
  <c r="N299" i="3" s="1"/>
  <c r="O299" i="3" s="1"/>
  <c r="P299" i="3" s="1"/>
  <c r="H291" i="3"/>
  <c r="I291" i="3" s="1"/>
  <c r="J291" i="3" s="1"/>
  <c r="K291" i="3" s="1"/>
  <c r="L291" i="3" s="1"/>
  <c r="M291" i="3" s="1"/>
  <c r="N291" i="3" s="1"/>
  <c r="O291" i="3" s="1"/>
  <c r="P291" i="3" s="1"/>
  <c r="H283" i="3"/>
  <c r="I283" i="3" s="1"/>
  <c r="J283" i="3" s="1"/>
  <c r="K283" i="3" s="1"/>
  <c r="L283" i="3" s="1"/>
  <c r="M283" i="3" s="1"/>
  <c r="N283" i="3" s="1"/>
  <c r="O283" i="3" s="1"/>
  <c r="P283" i="3" s="1"/>
  <c r="H275" i="3"/>
  <c r="I275" i="3" s="1"/>
  <c r="J275" i="3" s="1"/>
  <c r="K275" i="3" s="1"/>
  <c r="L275" i="3" s="1"/>
  <c r="M275" i="3" s="1"/>
  <c r="N275" i="3" s="1"/>
  <c r="O275" i="3" s="1"/>
  <c r="P275" i="3" s="1"/>
  <c r="H267" i="3"/>
  <c r="I267" i="3" s="1"/>
  <c r="J267" i="3" s="1"/>
  <c r="K267" i="3" s="1"/>
  <c r="L267" i="3" s="1"/>
  <c r="M267" i="3" s="1"/>
  <c r="N267" i="3" s="1"/>
  <c r="O267" i="3" s="1"/>
  <c r="P267" i="3" s="1"/>
  <c r="H259" i="3"/>
  <c r="I259" i="3" s="1"/>
  <c r="J259" i="3" s="1"/>
  <c r="K259" i="3" s="1"/>
  <c r="L259" i="3" s="1"/>
  <c r="M259" i="3" s="1"/>
  <c r="N259" i="3" s="1"/>
  <c r="O259" i="3" s="1"/>
  <c r="P259" i="3" s="1"/>
  <c r="H251" i="3"/>
  <c r="I251" i="3" s="1"/>
  <c r="J251" i="3" s="1"/>
  <c r="K251" i="3" s="1"/>
  <c r="L251" i="3" s="1"/>
  <c r="M251" i="3" s="1"/>
  <c r="N251" i="3" s="1"/>
  <c r="O251" i="3" s="1"/>
  <c r="P251" i="3" s="1"/>
  <c r="H243" i="3"/>
  <c r="I243" i="3" s="1"/>
  <c r="J243" i="3" s="1"/>
  <c r="K243" i="3" s="1"/>
  <c r="L243" i="3" s="1"/>
  <c r="M243" i="3" s="1"/>
  <c r="N243" i="3" s="1"/>
  <c r="O243" i="3" s="1"/>
  <c r="P243" i="3" s="1"/>
  <c r="H235" i="3"/>
  <c r="I235" i="3" s="1"/>
  <c r="J235" i="3" s="1"/>
  <c r="K235" i="3" s="1"/>
  <c r="L235" i="3" s="1"/>
  <c r="M235" i="3" s="1"/>
  <c r="N235" i="3" s="1"/>
  <c r="O235" i="3" s="1"/>
  <c r="P235" i="3" s="1"/>
  <c r="H227" i="3"/>
  <c r="I227" i="3" s="1"/>
  <c r="J227" i="3" s="1"/>
  <c r="K227" i="3" s="1"/>
  <c r="L227" i="3" s="1"/>
  <c r="M227" i="3" s="1"/>
  <c r="N227" i="3" s="1"/>
  <c r="O227" i="3" s="1"/>
  <c r="P227" i="3" s="1"/>
  <c r="H219" i="3"/>
  <c r="I219" i="3" s="1"/>
  <c r="J219" i="3" s="1"/>
  <c r="K219" i="3" s="1"/>
  <c r="L219" i="3" s="1"/>
  <c r="M219" i="3" s="1"/>
  <c r="N219" i="3" s="1"/>
  <c r="O219" i="3" s="1"/>
  <c r="P219" i="3" s="1"/>
  <c r="H211" i="3"/>
  <c r="I211" i="3" s="1"/>
  <c r="J211" i="3" s="1"/>
  <c r="K211" i="3" s="1"/>
  <c r="L211" i="3" s="1"/>
  <c r="M211" i="3" s="1"/>
  <c r="N211" i="3" s="1"/>
  <c r="O211" i="3" s="1"/>
  <c r="P211" i="3" s="1"/>
  <c r="H203" i="3"/>
  <c r="I203" i="3" s="1"/>
  <c r="J203" i="3" s="1"/>
  <c r="K203" i="3" s="1"/>
  <c r="L203" i="3" s="1"/>
  <c r="M203" i="3" s="1"/>
  <c r="N203" i="3" s="1"/>
  <c r="O203" i="3" s="1"/>
  <c r="P203" i="3" s="1"/>
  <c r="H195" i="3"/>
  <c r="I195" i="3" s="1"/>
  <c r="J195" i="3" s="1"/>
  <c r="K195" i="3" s="1"/>
  <c r="L195" i="3" s="1"/>
  <c r="M195" i="3" s="1"/>
  <c r="N195" i="3" s="1"/>
  <c r="O195" i="3" s="1"/>
  <c r="P195" i="3" s="1"/>
  <c r="H187" i="3"/>
  <c r="I187" i="3" s="1"/>
  <c r="J187" i="3" s="1"/>
  <c r="K187" i="3" s="1"/>
  <c r="L187" i="3" s="1"/>
  <c r="M187" i="3" s="1"/>
  <c r="N187" i="3" s="1"/>
  <c r="O187" i="3" s="1"/>
  <c r="P187" i="3" s="1"/>
  <c r="H179" i="3"/>
  <c r="I179" i="3" s="1"/>
  <c r="J179" i="3" s="1"/>
  <c r="K179" i="3" s="1"/>
  <c r="L179" i="3" s="1"/>
  <c r="M179" i="3" s="1"/>
  <c r="N179" i="3" s="1"/>
  <c r="O179" i="3" s="1"/>
  <c r="P179" i="3" s="1"/>
  <c r="H171" i="3"/>
  <c r="I171" i="3" s="1"/>
  <c r="J171" i="3" s="1"/>
  <c r="K171" i="3" s="1"/>
  <c r="L171" i="3" s="1"/>
  <c r="M171" i="3" s="1"/>
  <c r="N171" i="3" s="1"/>
  <c r="O171" i="3" s="1"/>
  <c r="P171" i="3" s="1"/>
  <c r="H163" i="3"/>
  <c r="I163" i="3" s="1"/>
  <c r="J163" i="3" s="1"/>
  <c r="K163" i="3" s="1"/>
  <c r="L163" i="3" s="1"/>
  <c r="M163" i="3" s="1"/>
  <c r="N163" i="3" s="1"/>
  <c r="O163" i="3" s="1"/>
  <c r="P163" i="3" s="1"/>
  <c r="H155" i="3"/>
  <c r="I155" i="3" s="1"/>
  <c r="J155" i="3" s="1"/>
  <c r="K155" i="3" s="1"/>
  <c r="L155" i="3" s="1"/>
  <c r="M155" i="3" s="1"/>
  <c r="N155" i="3" s="1"/>
  <c r="O155" i="3" s="1"/>
  <c r="P155" i="3" s="1"/>
  <c r="H147" i="3"/>
  <c r="I147" i="3" s="1"/>
  <c r="J147" i="3" s="1"/>
  <c r="K147" i="3" s="1"/>
  <c r="L147" i="3" s="1"/>
  <c r="M147" i="3" s="1"/>
  <c r="N147" i="3" s="1"/>
  <c r="O147" i="3" s="1"/>
  <c r="P147" i="3" s="1"/>
  <c r="H139" i="3"/>
  <c r="I139" i="3" s="1"/>
  <c r="J139" i="3" s="1"/>
  <c r="K139" i="3" s="1"/>
  <c r="L139" i="3" s="1"/>
  <c r="M139" i="3" s="1"/>
  <c r="N139" i="3" s="1"/>
  <c r="O139" i="3" s="1"/>
  <c r="P139" i="3" s="1"/>
  <c r="H131" i="3"/>
  <c r="I131" i="3" s="1"/>
  <c r="J131" i="3" s="1"/>
  <c r="K131" i="3" s="1"/>
  <c r="L131" i="3" s="1"/>
  <c r="M131" i="3" s="1"/>
  <c r="N131" i="3" s="1"/>
  <c r="O131" i="3" s="1"/>
  <c r="P131" i="3" s="1"/>
  <c r="H123" i="3"/>
  <c r="I123" i="3" s="1"/>
  <c r="J123" i="3" s="1"/>
  <c r="K123" i="3" s="1"/>
  <c r="L123" i="3" s="1"/>
  <c r="M123" i="3" s="1"/>
  <c r="N123" i="3" s="1"/>
  <c r="O123" i="3" s="1"/>
  <c r="P123" i="3" s="1"/>
  <c r="H115" i="3"/>
  <c r="I115" i="3" s="1"/>
  <c r="J115" i="3" s="1"/>
  <c r="K115" i="3" s="1"/>
  <c r="L115" i="3" s="1"/>
  <c r="M115" i="3" s="1"/>
  <c r="N115" i="3" s="1"/>
  <c r="O115" i="3" s="1"/>
  <c r="P115" i="3" s="1"/>
  <c r="H107" i="3"/>
  <c r="I107" i="3" s="1"/>
  <c r="J107" i="3" s="1"/>
  <c r="K107" i="3" s="1"/>
  <c r="L107" i="3" s="1"/>
  <c r="M107" i="3" s="1"/>
  <c r="N107" i="3" s="1"/>
  <c r="O107" i="3" s="1"/>
  <c r="P107" i="3" s="1"/>
  <c r="H99" i="3"/>
  <c r="I99" i="3" s="1"/>
  <c r="J99" i="3" s="1"/>
  <c r="K99" i="3" s="1"/>
  <c r="L99" i="3" s="1"/>
  <c r="M99" i="3" s="1"/>
  <c r="N99" i="3" s="1"/>
  <c r="O99" i="3" s="1"/>
  <c r="P99" i="3" s="1"/>
  <c r="H91" i="3"/>
  <c r="I91" i="3" s="1"/>
  <c r="J91" i="3" s="1"/>
  <c r="K91" i="3" s="1"/>
  <c r="L91" i="3" s="1"/>
  <c r="M91" i="3" s="1"/>
  <c r="N91" i="3" s="1"/>
  <c r="O91" i="3" s="1"/>
  <c r="P91" i="3" s="1"/>
  <c r="H83" i="3"/>
  <c r="I83" i="3" s="1"/>
  <c r="J83" i="3" s="1"/>
  <c r="K83" i="3" s="1"/>
  <c r="L83" i="3" s="1"/>
  <c r="M83" i="3" s="1"/>
  <c r="N83" i="3" s="1"/>
  <c r="O83" i="3" s="1"/>
  <c r="P83" i="3" s="1"/>
  <c r="H75" i="3"/>
  <c r="I75" i="3" s="1"/>
  <c r="J75" i="3" s="1"/>
  <c r="K75" i="3" s="1"/>
  <c r="L75" i="3" s="1"/>
  <c r="M75" i="3" s="1"/>
  <c r="N75" i="3" s="1"/>
  <c r="O75" i="3" s="1"/>
  <c r="P75" i="3" s="1"/>
  <c r="H67" i="3"/>
  <c r="I67" i="3" s="1"/>
  <c r="J67" i="3" s="1"/>
  <c r="K67" i="3" s="1"/>
  <c r="L67" i="3" s="1"/>
  <c r="M67" i="3" s="1"/>
  <c r="N67" i="3" s="1"/>
  <c r="O67" i="3" s="1"/>
  <c r="P67" i="3" s="1"/>
  <c r="H59" i="3"/>
  <c r="I59" i="3" s="1"/>
  <c r="J59" i="3" s="1"/>
  <c r="K59" i="3" s="1"/>
  <c r="L59" i="3" s="1"/>
  <c r="M59" i="3" s="1"/>
  <c r="N59" i="3" s="1"/>
  <c r="O59" i="3" s="1"/>
  <c r="P59" i="3" s="1"/>
  <c r="H51" i="3"/>
  <c r="I51" i="3" s="1"/>
  <c r="J51" i="3" s="1"/>
  <c r="K51" i="3" s="1"/>
  <c r="L51" i="3" s="1"/>
  <c r="M51" i="3" s="1"/>
  <c r="N51" i="3" s="1"/>
  <c r="O51" i="3" s="1"/>
  <c r="P51" i="3" s="1"/>
  <c r="H43" i="3"/>
  <c r="I43" i="3" s="1"/>
  <c r="J43" i="3" s="1"/>
  <c r="K43" i="3" s="1"/>
  <c r="L43" i="3" s="1"/>
  <c r="M43" i="3" s="1"/>
  <c r="N43" i="3" s="1"/>
  <c r="O43" i="3" s="1"/>
  <c r="P43" i="3" s="1"/>
  <c r="H35" i="3"/>
  <c r="I35" i="3" s="1"/>
  <c r="J35" i="3" s="1"/>
  <c r="K35" i="3" s="1"/>
  <c r="L35" i="3" s="1"/>
  <c r="M35" i="3" s="1"/>
  <c r="N35" i="3" s="1"/>
  <c r="O35" i="3" s="1"/>
  <c r="P35" i="3" s="1"/>
  <c r="H27" i="3"/>
  <c r="I27" i="3" s="1"/>
  <c r="J27" i="3" s="1"/>
  <c r="K27" i="3" s="1"/>
  <c r="L27" i="3" s="1"/>
  <c r="M27" i="3" s="1"/>
  <c r="N27" i="3" s="1"/>
  <c r="O27" i="3" s="1"/>
  <c r="P27" i="3" s="1"/>
  <c r="H19" i="3"/>
  <c r="I19" i="3" s="1"/>
  <c r="J19" i="3" s="1"/>
  <c r="K19" i="3" s="1"/>
  <c r="L19" i="3" s="1"/>
  <c r="M19" i="3" s="1"/>
  <c r="N19" i="3" s="1"/>
  <c r="O19" i="3" s="1"/>
  <c r="P19" i="3" s="1"/>
  <c r="H11" i="3"/>
  <c r="I11" i="3" s="1"/>
  <c r="J11" i="3" s="1"/>
  <c r="K11" i="3" s="1"/>
  <c r="L11" i="3" s="1"/>
  <c r="M11" i="3" s="1"/>
  <c r="N11" i="3" s="1"/>
  <c r="O11" i="3" s="1"/>
  <c r="P11" i="3" s="1"/>
  <c r="Q677" i="3"/>
  <c r="R677" i="3" s="1"/>
  <c r="S677" i="3" s="1"/>
  <c r="Q412" i="3"/>
  <c r="R412" i="3" s="1"/>
  <c r="S412" i="3" s="1"/>
  <c r="Q372" i="3"/>
  <c r="R372" i="3" s="1"/>
  <c r="S372" i="3" s="1"/>
  <c r="Q350" i="3"/>
  <c r="R350" i="3" s="1"/>
  <c r="S350" i="3" s="1"/>
  <c r="Q332" i="3"/>
  <c r="R332" i="3" s="1"/>
  <c r="S332" i="3" s="1"/>
  <c r="Q310" i="3"/>
  <c r="R310" i="3" s="1"/>
  <c r="S310" i="3" s="1"/>
  <c r="Q289" i="3"/>
  <c r="R289" i="3" s="1"/>
  <c r="S289" i="3" s="1"/>
  <c r="Q270" i="3"/>
  <c r="R270" i="3" s="1"/>
  <c r="S270" i="3" s="1"/>
  <c r="Q247" i="3"/>
  <c r="R247" i="3" s="1"/>
  <c r="S247" i="3" s="1"/>
  <c r="Q230" i="3"/>
  <c r="R230" i="3" s="1"/>
  <c r="S230" i="3" s="1"/>
  <c r="Q207" i="3"/>
  <c r="R207" i="3" s="1"/>
  <c r="S207" i="3" s="1"/>
  <c r="Q188" i="3"/>
  <c r="R188" i="3" s="1"/>
  <c r="S188" i="3" s="1"/>
  <c r="Q167" i="3"/>
  <c r="R167" i="3" s="1"/>
  <c r="S167" i="3" s="1"/>
  <c r="Q127" i="3"/>
  <c r="R127" i="3" s="1"/>
  <c r="S127" i="3" s="1"/>
  <c r="Q92" i="3"/>
  <c r="R92" i="3" s="1"/>
  <c r="S92" i="3" s="1"/>
  <c r="Q55" i="3"/>
  <c r="R55" i="3" s="1"/>
  <c r="S55" i="3" s="1"/>
  <c r="H610" i="3"/>
  <c r="I610" i="3" s="1"/>
  <c r="J610" i="3" s="1"/>
  <c r="K610" i="3" s="1"/>
  <c r="L610" i="3" s="1"/>
  <c r="M610" i="3" s="1"/>
  <c r="N610" i="3" s="1"/>
  <c r="O610" i="3" s="1"/>
  <c r="P610" i="3" s="1"/>
  <c r="H602" i="3"/>
  <c r="I602" i="3" s="1"/>
  <c r="J602" i="3" s="1"/>
  <c r="K602" i="3" s="1"/>
  <c r="L602" i="3" s="1"/>
  <c r="M602" i="3" s="1"/>
  <c r="N602" i="3" s="1"/>
  <c r="O602" i="3" s="1"/>
  <c r="P602" i="3" s="1"/>
  <c r="H594" i="3"/>
  <c r="I594" i="3" s="1"/>
  <c r="J594" i="3" s="1"/>
  <c r="K594" i="3" s="1"/>
  <c r="L594" i="3" s="1"/>
  <c r="M594" i="3" s="1"/>
  <c r="N594" i="3" s="1"/>
  <c r="O594" i="3" s="1"/>
  <c r="P594" i="3" s="1"/>
  <c r="H586" i="3"/>
  <c r="I586" i="3" s="1"/>
  <c r="J586" i="3" s="1"/>
  <c r="K586" i="3" s="1"/>
  <c r="L586" i="3" s="1"/>
  <c r="M586" i="3" s="1"/>
  <c r="N586" i="3" s="1"/>
  <c r="O586" i="3" s="1"/>
  <c r="P586" i="3" s="1"/>
  <c r="H578" i="3"/>
  <c r="I578" i="3" s="1"/>
  <c r="J578" i="3" s="1"/>
  <c r="K578" i="3" s="1"/>
  <c r="L578" i="3" s="1"/>
  <c r="M578" i="3" s="1"/>
  <c r="N578" i="3" s="1"/>
  <c r="O578" i="3" s="1"/>
  <c r="P578" i="3" s="1"/>
  <c r="H570" i="3"/>
  <c r="I570" i="3" s="1"/>
  <c r="J570" i="3" s="1"/>
  <c r="K570" i="3" s="1"/>
  <c r="L570" i="3" s="1"/>
  <c r="M570" i="3" s="1"/>
  <c r="N570" i="3" s="1"/>
  <c r="O570" i="3" s="1"/>
  <c r="P570" i="3" s="1"/>
  <c r="H562" i="3"/>
  <c r="I562" i="3" s="1"/>
  <c r="J562" i="3" s="1"/>
  <c r="K562" i="3" s="1"/>
  <c r="L562" i="3" s="1"/>
  <c r="M562" i="3" s="1"/>
  <c r="N562" i="3" s="1"/>
  <c r="O562" i="3" s="1"/>
  <c r="P562" i="3" s="1"/>
  <c r="H554" i="3"/>
  <c r="I554" i="3" s="1"/>
  <c r="J554" i="3" s="1"/>
  <c r="K554" i="3" s="1"/>
  <c r="L554" i="3" s="1"/>
  <c r="M554" i="3" s="1"/>
  <c r="N554" i="3" s="1"/>
  <c r="O554" i="3" s="1"/>
  <c r="P554" i="3" s="1"/>
  <c r="H546" i="3"/>
  <c r="I546" i="3" s="1"/>
  <c r="J546" i="3" s="1"/>
  <c r="K546" i="3" s="1"/>
  <c r="L546" i="3" s="1"/>
  <c r="M546" i="3" s="1"/>
  <c r="N546" i="3" s="1"/>
  <c r="O546" i="3" s="1"/>
  <c r="P546" i="3" s="1"/>
  <c r="H538" i="3"/>
  <c r="I538" i="3" s="1"/>
  <c r="J538" i="3" s="1"/>
  <c r="K538" i="3" s="1"/>
  <c r="L538" i="3" s="1"/>
  <c r="M538" i="3" s="1"/>
  <c r="N538" i="3" s="1"/>
  <c r="O538" i="3" s="1"/>
  <c r="P538" i="3" s="1"/>
  <c r="H530" i="3"/>
  <c r="I530" i="3" s="1"/>
  <c r="J530" i="3" s="1"/>
  <c r="K530" i="3" s="1"/>
  <c r="L530" i="3" s="1"/>
  <c r="M530" i="3" s="1"/>
  <c r="N530" i="3" s="1"/>
  <c r="O530" i="3" s="1"/>
  <c r="P530" i="3" s="1"/>
  <c r="H522" i="3"/>
  <c r="I522" i="3" s="1"/>
  <c r="J522" i="3" s="1"/>
  <c r="K522" i="3" s="1"/>
  <c r="L522" i="3" s="1"/>
  <c r="M522" i="3" s="1"/>
  <c r="N522" i="3" s="1"/>
  <c r="O522" i="3" s="1"/>
  <c r="P522" i="3" s="1"/>
  <c r="H514" i="3"/>
  <c r="I514" i="3" s="1"/>
  <c r="J514" i="3" s="1"/>
  <c r="K514" i="3" s="1"/>
  <c r="L514" i="3" s="1"/>
  <c r="M514" i="3" s="1"/>
  <c r="N514" i="3" s="1"/>
  <c r="O514" i="3" s="1"/>
  <c r="P514" i="3" s="1"/>
  <c r="H506" i="3"/>
  <c r="I506" i="3" s="1"/>
  <c r="J506" i="3" s="1"/>
  <c r="K506" i="3" s="1"/>
  <c r="L506" i="3" s="1"/>
  <c r="M506" i="3" s="1"/>
  <c r="N506" i="3" s="1"/>
  <c r="O506" i="3" s="1"/>
  <c r="P506" i="3" s="1"/>
  <c r="H498" i="3"/>
  <c r="I498" i="3" s="1"/>
  <c r="J498" i="3" s="1"/>
  <c r="K498" i="3" s="1"/>
  <c r="L498" i="3" s="1"/>
  <c r="M498" i="3" s="1"/>
  <c r="N498" i="3" s="1"/>
  <c r="O498" i="3" s="1"/>
  <c r="P498" i="3" s="1"/>
  <c r="H490" i="3"/>
  <c r="I490" i="3" s="1"/>
  <c r="J490" i="3" s="1"/>
  <c r="K490" i="3" s="1"/>
  <c r="L490" i="3" s="1"/>
  <c r="M490" i="3" s="1"/>
  <c r="N490" i="3" s="1"/>
  <c r="O490" i="3" s="1"/>
  <c r="P490" i="3" s="1"/>
  <c r="H482" i="3"/>
  <c r="I482" i="3" s="1"/>
  <c r="J482" i="3" s="1"/>
  <c r="K482" i="3" s="1"/>
  <c r="L482" i="3" s="1"/>
  <c r="M482" i="3" s="1"/>
  <c r="N482" i="3" s="1"/>
  <c r="O482" i="3" s="1"/>
  <c r="P482" i="3" s="1"/>
  <c r="H474" i="3"/>
  <c r="I474" i="3" s="1"/>
  <c r="J474" i="3" s="1"/>
  <c r="K474" i="3" s="1"/>
  <c r="L474" i="3" s="1"/>
  <c r="M474" i="3" s="1"/>
  <c r="N474" i="3" s="1"/>
  <c r="O474" i="3" s="1"/>
  <c r="P474" i="3" s="1"/>
  <c r="H466" i="3"/>
  <c r="I466" i="3" s="1"/>
  <c r="J466" i="3" s="1"/>
  <c r="K466" i="3" s="1"/>
  <c r="L466" i="3" s="1"/>
  <c r="M466" i="3" s="1"/>
  <c r="N466" i="3" s="1"/>
  <c r="O466" i="3" s="1"/>
  <c r="P466" i="3" s="1"/>
  <c r="H458" i="3"/>
  <c r="I458" i="3" s="1"/>
  <c r="J458" i="3" s="1"/>
  <c r="K458" i="3" s="1"/>
  <c r="L458" i="3" s="1"/>
  <c r="M458" i="3" s="1"/>
  <c r="N458" i="3" s="1"/>
  <c r="O458" i="3" s="1"/>
  <c r="P458" i="3" s="1"/>
  <c r="H450" i="3"/>
  <c r="I450" i="3" s="1"/>
  <c r="J450" i="3" s="1"/>
  <c r="K450" i="3" s="1"/>
  <c r="L450" i="3" s="1"/>
  <c r="M450" i="3" s="1"/>
  <c r="N450" i="3" s="1"/>
  <c r="O450" i="3" s="1"/>
  <c r="P450" i="3" s="1"/>
  <c r="H442" i="3"/>
  <c r="I442" i="3" s="1"/>
  <c r="J442" i="3" s="1"/>
  <c r="K442" i="3" s="1"/>
  <c r="L442" i="3" s="1"/>
  <c r="M442" i="3" s="1"/>
  <c r="N442" i="3" s="1"/>
  <c r="O442" i="3" s="1"/>
  <c r="P442" i="3" s="1"/>
  <c r="H434" i="3"/>
  <c r="I434" i="3" s="1"/>
  <c r="J434" i="3" s="1"/>
  <c r="K434" i="3" s="1"/>
  <c r="L434" i="3" s="1"/>
  <c r="M434" i="3" s="1"/>
  <c r="N434" i="3" s="1"/>
  <c r="O434" i="3" s="1"/>
  <c r="P434" i="3" s="1"/>
  <c r="H426" i="3"/>
  <c r="I426" i="3" s="1"/>
  <c r="J426" i="3" s="1"/>
  <c r="K426" i="3" s="1"/>
  <c r="L426" i="3" s="1"/>
  <c r="M426" i="3" s="1"/>
  <c r="N426" i="3" s="1"/>
  <c r="O426" i="3" s="1"/>
  <c r="P426" i="3" s="1"/>
  <c r="H418" i="3"/>
  <c r="I418" i="3" s="1"/>
  <c r="J418" i="3" s="1"/>
  <c r="K418" i="3" s="1"/>
  <c r="L418" i="3" s="1"/>
  <c r="M418" i="3" s="1"/>
  <c r="N418" i="3" s="1"/>
  <c r="O418" i="3" s="1"/>
  <c r="P418" i="3" s="1"/>
  <c r="H410" i="3"/>
  <c r="I410" i="3" s="1"/>
  <c r="J410" i="3" s="1"/>
  <c r="K410" i="3" s="1"/>
  <c r="L410" i="3" s="1"/>
  <c r="M410" i="3" s="1"/>
  <c r="N410" i="3" s="1"/>
  <c r="O410" i="3" s="1"/>
  <c r="P410" i="3" s="1"/>
  <c r="H402" i="3"/>
  <c r="I402" i="3" s="1"/>
  <c r="J402" i="3" s="1"/>
  <c r="K402" i="3" s="1"/>
  <c r="L402" i="3" s="1"/>
  <c r="M402" i="3" s="1"/>
  <c r="N402" i="3" s="1"/>
  <c r="O402" i="3" s="1"/>
  <c r="P402" i="3" s="1"/>
  <c r="H394" i="3"/>
  <c r="I394" i="3" s="1"/>
  <c r="J394" i="3" s="1"/>
  <c r="K394" i="3" s="1"/>
  <c r="L394" i="3" s="1"/>
  <c r="M394" i="3" s="1"/>
  <c r="N394" i="3" s="1"/>
  <c r="O394" i="3" s="1"/>
  <c r="P394" i="3" s="1"/>
  <c r="H386" i="3"/>
  <c r="I386" i="3" s="1"/>
  <c r="J386" i="3" s="1"/>
  <c r="K386" i="3" s="1"/>
  <c r="L386" i="3" s="1"/>
  <c r="M386" i="3" s="1"/>
  <c r="N386" i="3" s="1"/>
  <c r="O386" i="3" s="1"/>
  <c r="P386" i="3" s="1"/>
  <c r="H378" i="3"/>
  <c r="I378" i="3" s="1"/>
  <c r="J378" i="3" s="1"/>
  <c r="K378" i="3" s="1"/>
  <c r="L378" i="3" s="1"/>
  <c r="M378" i="3" s="1"/>
  <c r="N378" i="3" s="1"/>
  <c r="O378" i="3" s="1"/>
  <c r="P378" i="3" s="1"/>
  <c r="H370" i="3"/>
  <c r="I370" i="3" s="1"/>
  <c r="J370" i="3" s="1"/>
  <c r="K370" i="3" s="1"/>
  <c r="L370" i="3" s="1"/>
  <c r="M370" i="3" s="1"/>
  <c r="N370" i="3" s="1"/>
  <c r="O370" i="3" s="1"/>
  <c r="P370" i="3" s="1"/>
  <c r="H362" i="3"/>
  <c r="I362" i="3" s="1"/>
  <c r="J362" i="3" s="1"/>
  <c r="K362" i="3" s="1"/>
  <c r="L362" i="3" s="1"/>
  <c r="M362" i="3" s="1"/>
  <c r="N362" i="3" s="1"/>
  <c r="O362" i="3" s="1"/>
  <c r="P362" i="3" s="1"/>
  <c r="H354" i="3"/>
  <c r="I354" i="3" s="1"/>
  <c r="J354" i="3" s="1"/>
  <c r="K354" i="3" s="1"/>
  <c r="L354" i="3" s="1"/>
  <c r="M354" i="3" s="1"/>
  <c r="N354" i="3" s="1"/>
  <c r="O354" i="3" s="1"/>
  <c r="P354" i="3" s="1"/>
  <c r="H346" i="3"/>
  <c r="I346" i="3" s="1"/>
  <c r="J346" i="3" s="1"/>
  <c r="K346" i="3" s="1"/>
  <c r="L346" i="3" s="1"/>
  <c r="M346" i="3" s="1"/>
  <c r="N346" i="3" s="1"/>
  <c r="O346" i="3" s="1"/>
  <c r="P346" i="3" s="1"/>
  <c r="H338" i="3"/>
  <c r="I338" i="3" s="1"/>
  <c r="J338" i="3" s="1"/>
  <c r="K338" i="3" s="1"/>
  <c r="L338" i="3" s="1"/>
  <c r="M338" i="3" s="1"/>
  <c r="N338" i="3" s="1"/>
  <c r="O338" i="3" s="1"/>
  <c r="P338" i="3" s="1"/>
  <c r="H330" i="3"/>
  <c r="I330" i="3" s="1"/>
  <c r="J330" i="3" s="1"/>
  <c r="K330" i="3" s="1"/>
  <c r="L330" i="3" s="1"/>
  <c r="M330" i="3" s="1"/>
  <c r="N330" i="3" s="1"/>
  <c r="O330" i="3" s="1"/>
  <c r="P330" i="3" s="1"/>
  <c r="H322" i="3"/>
  <c r="I322" i="3" s="1"/>
  <c r="J322" i="3" s="1"/>
  <c r="K322" i="3" s="1"/>
  <c r="L322" i="3" s="1"/>
  <c r="M322" i="3" s="1"/>
  <c r="N322" i="3" s="1"/>
  <c r="O322" i="3" s="1"/>
  <c r="P322" i="3" s="1"/>
  <c r="H314" i="3"/>
  <c r="I314" i="3" s="1"/>
  <c r="J314" i="3" s="1"/>
  <c r="K314" i="3" s="1"/>
  <c r="L314" i="3" s="1"/>
  <c r="M314" i="3" s="1"/>
  <c r="N314" i="3" s="1"/>
  <c r="O314" i="3" s="1"/>
  <c r="P314" i="3" s="1"/>
  <c r="H306" i="3"/>
  <c r="I306" i="3" s="1"/>
  <c r="J306" i="3" s="1"/>
  <c r="K306" i="3" s="1"/>
  <c r="L306" i="3" s="1"/>
  <c r="M306" i="3" s="1"/>
  <c r="N306" i="3" s="1"/>
  <c r="O306" i="3" s="1"/>
  <c r="P306" i="3" s="1"/>
  <c r="H298" i="3"/>
  <c r="I298" i="3" s="1"/>
  <c r="J298" i="3" s="1"/>
  <c r="K298" i="3" s="1"/>
  <c r="L298" i="3" s="1"/>
  <c r="M298" i="3" s="1"/>
  <c r="N298" i="3" s="1"/>
  <c r="O298" i="3" s="1"/>
  <c r="P298" i="3" s="1"/>
  <c r="H290" i="3"/>
  <c r="I290" i="3" s="1"/>
  <c r="J290" i="3" s="1"/>
  <c r="K290" i="3" s="1"/>
  <c r="L290" i="3" s="1"/>
  <c r="M290" i="3" s="1"/>
  <c r="N290" i="3" s="1"/>
  <c r="O290" i="3" s="1"/>
  <c r="P290" i="3" s="1"/>
  <c r="H282" i="3"/>
  <c r="I282" i="3" s="1"/>
  <c r="J282" i="3" s="1"/>
  <c r="K282" i="3" s="1"/>
  <c r="L282" i="3" s="1"/>
  <c r="M282" i="3" s="1"/>
  <c r="N282" i="3" s="1"/>
  <c r="O282" i="3" s="1"/>
  <c r="P282" i="3" s="1"/>
  <c r="H274" i="3"/>
  <c r="I274" i="3" s="1"/>
  <c r="J274" i="3" s="1"/>
  <c r="K274" i="3" s="1"/>
  <c r="L274" i="3" s="1"/>
  <c r="M274" i="3" s="1"/>
  <c r="N274" i="3" s="1"/>
  <c r="O274" i="3" s="1"/>
  <c r="P274" i="3" s="1"/>
  <c r="H266" i="3"/>
  <c r="I266" i="3" s="1"/>
  <c r="J266" i="3" s="1"/>
  <c r="K266" i="3" s="1"/>
  <c r="L266" i="3" s="1"/>
  <c r="M266" i="3" s="1"/>
  <c r="N266" i="3" s="1"/>
  <c r="O266" i="3" s="1"/>
  <c r="P266" i="3" s="1"/>
  <c r="H258" i="3"/>
  <c r="I258" i="3" s="1"/>
  <c r="J258" i="3" s="1"/>
  <c r="K258" i="3" s="1"/>
  <c r="L258" i="3" s="1"/>
  <c r="M258" i="3" s="1"/>
  <c r="N258" i="3" s="1"/>
  <c r="O258" i="3" s="1"/>
  <c r="P258" i="3" s="1"/>
  <c r="H250" i="3"/>
  <c r="I250" i="3" s="1"/>
  <c r="J250" i="3" s="1"/>
  <c r="K250" i="3" s="1"/>
  <c r="L250" i="3" s="1"/>
  <c r="M250" i="3" s="1"/>
  <c r="N250" i="3" s="1"/>
  <c r="O250" i="3" s="1"/>
  <c r="P250" i="3" s="1"/>
  <c r="H242" i="3"/>
  <c r="I242" i="3" s="1"/>
  <c r="J242" i="3" s="1"/>
  <c r="K242" i="3" s="1"/>
  <c r="L242" i="3" s="1"/>
  <c r="M242" i="3" s="1"/>
  <c r="N242" i="3" s="1"/>
  <c r="O242" i="3" s="1"/>
  <c r="P242" i="3" s="1"/>
  <c r="H234" i="3"/>
  <c r="I234" i="3" s="1"/>
  <c r="J234" i="3" s="1"/>
  <c r="K234" i="3" s="1"/>
  <c r="L234" i="3" s="1"/>
  <c r="M234" i="3" s="1"/>
  <c r="N234" i="3" s="1"/>
  <c r="O234" i="3" s="1"/>
  <c r="P234" i="3" s="1"/>
  <c r="H226" i="3"/>
  <c r="I226" i="3" s="1"/>
  <c r="J226" i="3" s="1"/>
  <c r="K226" i="3" s="1"/>
  <c r="L226" i="3" s="1"/>
  <c r="M226" i="3" s="1"/>
  <c r="N226" i="3" s="1"/>
  <c r="O226" i="3" s="1"/>
  <c r="P226" i="3" s="1"/>
  <c r="H218" i="3"/>
  <c r="I218" i="3" s="1"/>
  <c r="J218" i="3" s="1"/>
  <c r="K218" i="3" s="1"/>
  <c r="L218" i="3" s="1"/>
  <c r="M218" i="3" s="1"/>
  <c r="N218" i="3" s="1"/>
  <c r="O218" i="3" s="1"/>
  <c r="P218" i="3" s="1"/>
  <c r="H210" i="3"/>
  <c r="I210" i="3" s="1"/>
  <c r="J210" i="3" s="1"/>
  <c r="K210" i="3" s="1"/>
  <c r="L210" i="3" s="1"/>
  <c r="M210" i="3" s="1"/>
  <c r="N210" i="3" s="1"/>
  <c r="O210" i="3" s="1"/>
  <c r="P210" i="3" s="1"/>
  <c r="H202" i="3"/>
  <c r="I202" i="3" s="1"/>
  <c r="J202" i="3" s="1"/>
  <c r="K202" i="3" s="1"/>
  <c r="L202" i="3" s="1"/>
  <c r="M202" i="3" s="1"/>
  <c r="N202" i="3" s="1"/>
  <c r="O202" i="3" s="1"/>
  <c r="P202" i="3" s="1"/>
  <c r="H194" i="3"/>
  <c r="I194" i="3" s="1"/>
  <c r="J194" i="3" s="1"/>
  <c r="K194" i="3" s="1"/>
  <c r="L194" i="3" s="1"/>
  <c r="M194" i="3" s="1"/>
  <c r="N194" i="3" s="1"/>
  <c r="O194" i="3" s="1"/>
  <c r="P194" i="3" s="1"/>
  <c r="H186" i="3"/>
  <c r="I186" i="3" s="1"/>
  <c r="J186" i="3" s="1"/>
  <c r="K186" i="3" s="1"/>
  <c r="L186" i="3" s="1"/>
  <c r="M186" i="3" s="1"/>
  <c r="N186" i="3" s="1"/>
  <c r="O186" i="3" s="1"/>
  <c r="P186" i="3" s="1"/>
  <c r="H178" i="3"/>
  <c r="I178" i="3" s="1"/>
  <c r="J178" i="3" s="1"/>
  <c r="K178" i="3" s="1"/>
  <c r="L178" i="3" s="1"/>
  <c r="M178" i="3" s="1"/>
  <c r="N178" i="3" s="1"/>
  <c r="O178" i="3" s="1"/>
  <c r="P178" i="3" s="1"/>
  <c r="H170" i="3"/>
  <c r="I170" i="3" s="1"/>
  <c r="J170" i="3" s="1"/>
  <c r="K170" i="3" s="1"/>
  <c r="L170" i="3" s="1"/>
  <c r="M170" i="3" s="1"/>
  <c r="N170" i="3" s="1"/>
  <c r="O170" i="3" s="1"/>
  <c r="P170" i="3" s="1"/>
  <c r="H162" i="3"/>
  <c r="I162" i="3" s="1"/>
  <c r="J162" i="3" s="1"/>
  <c r="K162" i="3" s="1"/>
  <c r="L162" i="3" s="1"/>
  <c r="M162" i="3" s="1"/>
  <c r="N162" i="3" s="1"/>
  <c r="O162" i="3" s="1"/>
  <c r="P162" i="3" s="1"/>
  <c r="H154" i="3"/>
  <c r="I154" i="3" s="1"/>
  <c r="J154" i="3" s="1"/>
  <c r="K154" i="3" s="1"/>
  <c r="L154" i="3" s="1"/>
  <c r="M154" i="3" s="1"/>
  <c r="N154" i="3" s="1"/>
  <c r="O154" i="3" s="1"/>
  <c r="P154" i="3" s="1"/>
  <c r="H146" i="3"/>
  <c r="I146" i="3" s="1"/>
  <c r="J146" i="3" s="1"/>
  <c r="K146" i="3" s="1"/>
  <c r="L146" i="3" s="1"/>
  <c r="M146" i="3" s="1"/>
  <c r="N146" i="3" s="1"/>
  <c r="O146" i="3" s="1"/>
  <c r="P146" i="3" s="1"/>
  <c r="H138" i="3"/>
  <c r="I138" i="3" s="1"/>
  <c r="J138" i="3" s="1"/>
  <c r="K138" i="3" s="1"/>
  <c r="L138" i="3" s="1"/>
  <c r="M138" i="3" s="1"/>
  <c r="N138" i="3" s="1"/>
  <c r="O138" i="3" s="1"/>
  <c r="P138" i="3" s="1"/>
  <c r="H130" i="3"/>
  <c r="I130" i="3" s="1"/>
  <c r="J130" i="3" s="1"/>
  <c r="K130" i="3" s="1"/>
  <c r="L130" i="3" s="1"/>
  <c r="M130" i="3" s="1"/>
  <c r="N130" i="3" s="1"/>
  <c r="O130" i="3" s="1"/>
  <c r="P130" i="3" s="1"/>
  <c r="H122" i="3"/>
  <c r="I122" i="3" s="1"/>
  <c r="J122" i="3" s="1"/>
  <c r="K122" i="3" s="1"/>
  <c r="L122" i="3" s="1"/>
  <c r="M122" i="3" s="1"/>
  <c r="N122" i="3" s="1"/>
  <c r="O122" i="3" s="1"/>
  <c r="P122" i="3" s="1"/>
  <c r="H114" i="3"/>
  <c r="I114" i="3" s="1"/>
  <c r="J114" i="3" s="1"/>
  <c r="K114" i="3" s="1"/>
  <c r="L114" i="3" s="1"/>
  <c r="M114" i="3" s="1"/>
  <c r="N114" i="3" s="1"/>
  <c r="O114" i="3" s="1"/>
  <c r="P114" i="3" s="1"/>
  <c r="H106" i="3"/>
  <c r="I106" i="3" s="1"/>
  <c r="J106" i="3" s="1"/>
  <c r="K106" i="3" s="1"/>
  <c r="L106" i="3" s="1"/>
  <c r="M106" i="3" s="1"/>
  <c r="N106" i="3" s="1"/>
  <c r="O106" i="3" s="1"/>
  <c r="P106" i="3" s="1"/>
  <c r="H98" i="3"/>
  <c r="I98" i="3" s="1"/>
  <c r="J98" i="3" s="1"/>
  <c r="K98" i="3" s="1"/>
  <c r="L98" i="3" s="1"/>
  <c r="M98" i="3" s="1"/>
  <c r="N98" i="3" s="1"/>
  <c r="O98" i="3" s="1"/>
  <c r="P98" i="3" s="1"/>
  <c r="H90" i="3"/>
  <c r="I90" i="3" s="1"/>
  <c r="J90" i="3" s="1"/>
  <c r="K90" i="3" s="1"/>
  <c r="L90" i="3" s="1"/>
  <c r="M90" i="3" s="1"/>
  <c r="N90" i="3" s="1"/>
  <c r="O90" i="3" s="1"/>
  <c r="P90" i="3" s="1"/>
  <c r="H82" i="3"/>
  <c r="I82" i="3" s="1"/>
  <c r="J82" i="3" s="1"/>
  <c r="K82" i="3" s="1"/>
  <c r="L82" i="3" s="1"/>
  <c r="M82" i="3" s="1"/>
  <c r="N82" i="3" s="1"/>
  <c r="O82" i="3" s="1"/>
  <c r="P82" i="3" s="1"/>
  <c r="H74" i="3"/>
  <c r="I74" i="3" s="1"/>
  <c r="J74" i="3" s="1"/>
  <c r="K74" i="3" s="1"/>
  <c r="L74" i="3" s="1"/>
  <c r="M74" i="3" s="1"/>
  <c r="N74" i="3" s="1"/>
  <c r="O74" i="3" s="1"/>
  <c r="P74" i="3" s="1"/>
  <c r="H66" i="3"/>
  <c r="I66" i="3" s="1"/>
  <c r="J66" i="3" s="1"/>
  <c r="K66" i="3" s="1"/>
  <c r="L66" i="3" s="1"/>
  <c r="M66" i="3" s="1"/>
  <c r="N66" i="3" s="1"/>
  <c r="O66" i="3" s="1"/>
  <c r="P66" i="3" s="1"/>
  <c r="H58" i="3"/>
  <c r="I58" i="3" s="1"/>
  <c r="J58" i="3" s="1"/>
  <c r="K58" i="3" s="1"/>
  <c r="L58" i="3" s="1"/>
  <c r="M58" i="3" s="1"/>
  <c r="N58" i="3" s="1"/>
  <c r="O58" i="3" s="1"/>
  <c r="P58" i="3" s="1"/>
  <c r="H50" i="3"/>
  <c r="I50" i="3" s="1"/>
  <c r="J50" i="3" s="1"/>
  <c r="K50" i="3" s="1"/>
  <c r="L50" i="3" s="1"/>
  <c r="M50" i="3" s="1"/>
  <c r="N50" i="3" s="1"/>
  <c r="O50" i="3" s="1"/>
  <c r="P50" i="3" s="1"/>
  <c r="H42" i="3"/>
  <c r="I42" i="3" s="1"/>
  <c r="J42" i="3" s="1"/>
  <c r="K42" i="3" s="1"/>
  <c r="L42" i="3" s="1"/>
  <c r="M42" i="3" s="1"/>
  <c r="N42" i="3" s="1"/>
  <c r="O42" i="3" s="1"/>
  <c r="P42" i="3" s="1"/>
  <c r="H34" i="3"/>
  <c r="I34" i="3" s="1"/>
  <c r="J34" i="3" s="1"/>
  <c r="K34" i="3" s="1"/>
  <c r="L34" i="3" s="1"/>
  <c r="M34" i="3" s="1"/>
  <c r="N34" i="3" s="1"/>
  <c r="O34" i="3" s="1"/>
  <c r="P34" i="3" s="1"/>
  <c r="H26" i="3"/>
  <c r="I26" i="3" s="1"/>
  <c r="J26" i="3" s="1"/>
  <c r="K26" i="3" s="1"/>
  <c r="L26" i="3" s="1"/>
  <c r="M26" i="3" s="1"/>
  <c r="N26" i="3" s="1"/>
  <c r="O26" i="3" s="1"/>
  <c r="P26" i="3" s="1"/>
  <c r="H18" i="3"/>
  <c r="I18" i="3" s="1"/>
  <c r="J18" i="3" s="1"/>
  <c r="K18" i="3" s="1"/>
  <c r="L18" i="3" s="1"/>
  <c r="M18" i="3" s="1"/>
  <c r="N18" i="3" s="1"/>
  <c r="O18" i="3" s="1"/>
  <c r="P18" i="3" s="1"/>
  <c r="H10" i="3"/>
  <c r="I10" i="3" s="1"/>
  <c r="J10" i="3" s="1"/>
  <c r="K10" i="3" s="1"/>
  <c r="L10" i="3" s="1"/>
  <c r="M10" i="3" s="1"/>
  <c r="N10" i="3" s="1"/>
  <c r="O10" i="3" s="1"/>
  <c r="P10" i="3" s="1"/>
  <c r="Q431" i="3"/>
  <c r="R431" i="3" s="1"/>
  <c r="S431" i="3" s="1"/>
  <c r="Q409" i="3"/>
  <c r="R409" i="3" s="1"/>
  <c r="S409" i="3" s="1"/>
  <c r="Q388" i="3"/>
  <c r="R388" i="3" s="1"/>
  <c r="S388" i="3" s="1"/>
  <c r="Q369" i="3"/>
  <c r="R369" i="3" s="1"/>
  <c r="S369" i="3" s="1"/>
  <c r="Q348" i="3"/>
  <c r="R348" i="3" s="1"/>
  <c r="S348" i="3" s="1"/>
  <c r="Q308" i="3"/>
  <c r="R308" i="3" s="1"/>
  <c r="S308" i="3" s="1"/>
  <c r="Q286" i="3"/>
  <c r="R286" i="3" s="1"/>
  <c r="S286" i="3" s="1"/>
  <c r="Q268" i="3"/>
  <c r="R268" i="3" s="1"/>
  <c r="S268" i="3" s="1"/>
  <c r="Q246" i="3"/>
  <c r="R246" i="3" s="1"/>
  <c r="S246" i="3" s="1"/>
  <c r="Q225" i="3"/>
  <c r="R225" i="3" s="1"/>
  <c r="S225" i="3" s="1"/>
  <c r="Q206" i="3"/>
  <c r="R206" i="3" s="1"/>
  <c r="S206" i="3" s="1"/>
  <c r="Q183" i="3"/>
  <c r="R183" i="3" s="1"/>
  <c r="S183" i="3" s="1"/>
  <c r="Q166" i="3"/>
  <c r="R166" i="3" s="1"/>
  <c r="S166" i="3" s="1"/>
  <c r="Q143" i="3"/>
  <c r="R143" i="3" s="1"/>
  <c r="S143" i="3" s="1"/>
  <c r="Q119" i="3"/>
  <c r="R119" i="3" s="1"/>
  <c r="S119" i="3" s="1"/>
  <c r="Q54" i="3"/>
  <c r="R54" i="3" s="1"/>
  <c r="S54" i="3" s="1"/>
  <c r="H401" i="3"/>
  <c r="I401" i="3" s="1"/>
  <c r="J401" i="3" s="1"/>
  <c r="K401" i="3" s="1"/>
  <c r="L401" i="3" s="1"/>
  <c r="M401" i="3" s="1"/>
  <c r="N401" i="3" s="1"/>
  <c r="O401" i="3" s="1"/>
  <c r="P401" i="3" s="1"/>
  <c r="H393" i="3"/>
  <c r="I393" i="3" s="1"/>
  <c r="J393" i="3" s="1"/>
  <c r="K393" i="3" s="1"/>
  <c r="L393" i="3" s="1"/>
  <c r="M393" i="3" s="1"/>
  <c r="N393" i="3" s="1"/>
  <c r="O393" i="3" s="1"/>
  <c r="P393" i="3" s="1"/>
  <c r="H377" i="3"/>
  <c r="I377" i="3" s="1"/>
  <c r="J377" i="3" s="1"/>
  <c r="K377" i="3" s="1"/>
  <c r="L377" i="3" s="1"/>
  <c r="M377" i="3" s="1"/>
  <c r="N377" i="3" s="1"/>
  <c r="O377" i="3" s="1"/>
  <c r="P377" i="3" s="1"/>
  <c r="H337" i="3"/>
  <c r="I337" i="3" s="1"/>
  <c r="J337" i="3" s="1"/>
  <c r="K337" i="3" s="1"/>
  <c r="L337" i="3" s="1"/>
  <c r="M337" i="3" s="1"/>
  <c r="N337" i="3" s="1"/>
  <c r="O337" i="3" s="1"/>
  <c r="P337" i="3" s="1"/>
  <c r="H329" i="3"/>
  <c r="I329" i="3" s="1"/>
  <c r="J329" i="3" s="1"/>
  <c r="K329" i="3" s="1"/>
  <c r="L329" i="3" s="1"/>
  <c r="M329" i="3" s="1"/>
  <c r="N329" i="3" s="1"/>
  <c r="O329" i="3" s="1"/>
  <c r="P329" i="3" s="1"/>
  <c r="H313" i="3"/>
  <c r="I313" i="3" s="1"/>
  <c r="J313" i="3" s="1"/>
  <c r="K313" i="3" s="1"/>
  <c r="L313" i="3" s="1"/>
  <c r="M313" i="3" s="1"/>
  <c r="N313" i="3" s="1"/>
  <c r="O313" i="3" s="1"/>
  <c r="P313" i="3" s="1"/>
  <c r="H273" i="3"/>
  <c r="I273" i="3" s="1"/>
  <c r="J273" i="3" s="1"/>
  <c r="K273" i="3" s="1"/>
  <c r="L273" i="3" s="1"/>
  <c r="M273" i="3" s="1"/>
  <c r="N273" i="3" s="1"/>
  <c r="O273" i="3" s="1"/>
  <c r="P273" i="3" s="1"/>
  <c r="H265" i="3"/>
  <c r="I265" i="3" s="1"/>
  <c r="J265" i="3" s="1"/>
  <c r="K265" i="3" s="1"/>
  <c r="L265" i="3" s="1"/>
  <c r="M265" i="3" s="1"/>
  <c r="N265" i="3" s="1"/>
  <c r="O265" i="3" s="1"/>
  <c r="P265" i="3" s="1"/>
  <c r="H249" i="3"/>
  <c r="I249" i="3" s="1"/>
  <c r="J249" i="3" s="1"/>
  <c r="K249" i="3" s="1"/>
  <c r="L249" i="3" s="1"/>
  <c r="M249" i="3" s="1"/>
  <c r="N249" i="3" s="1"/>
  <c r="O249" i="3" s="1"/>
  <c r="P249" i="3" s="1"/>
  <c r="H209" i="3"/>
  <c r="I209" i="3" s="1"/>
  <c r="J209" i="3" s="1"/>
  <c r="K209" i="3" s="1"/>
  <c r="L209" i="3" s="1"/>
  <c r="M209" i="3" s="1"/>
  <c r="N209" i="3" s="1"/>
  <c r="O209" i="3" s="1"/>
  <c r="P209" i="3" s="1"/>
  <c r="H201" i="3"/>
  <c r="I201" i="3" s="1"/>
  <c r="J201" i="3" s="1"/>
  <c r="K201" i="3" s="1"/>
  <c r="L201" i="3" s="1"/>
  <c r="M201" i="3" s="1"/>
  <c r="N201" i="3" s="1"/>
  <c r="O201" i="3" s="1"/>
  <c r="P201" i="3" s="1"/>
  <c r="H185" i="3"/>
  <c r="I185" i="3" s="1"/>
  <c r="J185" i="3" s="1"/>
  <c r="K185" i="3" s="1"/>
  <c r="L185" i="3" s="1"/>
  <c r="M185" i="3" s="1"/>
  <c r="N185" i="3" s="1"/>
  <c r="O185" i="3" s="1"/>
  <c r="P185" i="3" s="1"/>
  <c r="H145" i="3"/>
  <c r="I145" i="3" s="1"/>
  <c r="J145" i="3" s="1"/>
  <c r="K145" i="3" s="1"/>
  <c r="L145" i="3" s="1"/>
  <c r="M145" i="3" s="1"/>
  <c r="N145" i="3" s="1"/>
  <c r="O145" i="3" s="1"/>
  <c r="P145" i="3" s="1"/>
  <c r="H137" i="3"/>
  <c r="I137" i="3" s="1"/>
  <c r="J137" i="3" s="1"/>
  <c r="K137" i="3" s="1"/>
  <c r="L137" i="3" s="1"/>
  <c r="M137" i="3" s="1"/>
  <c r="N137" i="3" s="1"/>
  <c r="O137" i="3" s="1"/>
  <c r="P137" i="3" s="1"/>
  <c r="H121" i="3"/>
  <c r="I121" i="3" s="1"/>
  <c r="J121" i="3" s="1"/>
  <c r="K121" i="3" s="1"/>
  <c r="L121" i="3" s="1"/>
  <c r="M121" i="3" s="1"/>
  <c r="N121" i="3" s="1"/>
  <c r="O121" i="3" s="1"/>
  <c r="P121" i="3" s="1"/>
  <c r="H97" i="3"/>
  <c r="I97" i="3" s="1"/>
  <c r="J97" i="3" s="1"/>
  <c r="K97" i="3" s="1"/>
  <c r="L97" i="3" s="1"/>
  <c r="M97" i="3" s="1"/>
  <c r="N97" i="3" s="1"/>
  <c r="O97" i="3" s="1"/>
  <c r="P97" i="3" s="1"/>
  <c r="H89" i="3"/>
  <c r="I89" i="3" s="1"/>
  <c r="J89" i="3" s="1"/>
  <c r="K89" i="3" s="1"/>
  <c r="L89" i="3" s="1"/>
  <c r="M89" i="3" s="1"/>
  <c r="N89" i="3" s="1"/>
  <c r="O89" i="3" s="1"/>
  <c r="P89" i="3" s="1"/>
  <c r="H81" i="3"/>
  <c r="I81" i="3" s="1"/>
  <c r="J81" i="3" s="1"/>
  <c r="K81" i="3" s="1"/>
  <c r="L81" i="3" s="1"/>
  <c r="M81" i="3" s="1"/>
  <c r="N81" i="3" s="1"/>
  <c r="O81" i="3" s="1"/>
  <c r="P81" i="3" s="1"/>
  <c r="H73" i="3"/>
  <c r="I73" i="3" s="1"/>
  <c r="J73" i="3" s="1"/>
  <c r="K73" i="3" s="1"/>
  <c r="L73" i="3" s="1"/>
  <c r="M73" i="3" s="1"/>
  <c r="N73" i="3" s="1"/>
  <c r="O73" i="3" s="1"/>
  <c r="P73" i="3" s="1"/>
  <c r="H57" i="3"/>
  <c r="I57" i="3" s="1"/>
  <c r="J57" i="3" s="1"/>
  <c r="K57" i="3" s="1"/>
  <c r="L57" i="3" s="1"/>
  <c r="M57" i="3" s="1"/>
  <c r="N57" i="3" s="1"/>
  <c r="O57" i="3" s="1"/>
  <c r="P57" i="3" s="1"/>
  <c r="H33" i="3"/>
  <c r="I33" i="3" s="1"/>
  <c r="J33" i="3" s="1"/>
  <c r="K33" i="3" s="1"/>
  <c r="L33" i="3" s="1"/>
  <c r="M33" i="3" s="1"/>
  <c r="N33" i="3" s="1"/>
  <c r="O33" i="3" s="1"/>
  <c r="P33" i="3" s="1"/>
  <c r="H25" i="3"/>
  <c r="I25" i="3" s="1"/>
  <c r="J25" i="3" s="1"/>
  <c r="K25" i="3" s="1"/>
  <c r="L25" i="3" s="1"/>
  <c r="M25" i="3" s="1"/>
  <c r="N25" i="3" s="1"/>
  <c r="O25" i="3" s="1"/>
  <c r="P25" i="3" s="1"/>
  <c r="H17" i="3"/>
  <c r="I17" i="3" s="1"/>
  <c r="J17" i="3" s="1"/>
  <c r="K17" i="3" s="1"/>
  <c r="L17" i="3" s="1"/>
  <c r="M17" i="3" s="1"/>
  <c r="N17" i="3" s="1"/>
  <c r="O17" i="3" s="1"/>
  <c r="P17" i="3" s="1"/>
  <c r="H9" i="3"/>
  <c r="I9" i="3" s="1"/>
  <c r="J9" i="3" s="1"/>
  <c r="K9" i="3" s="1"/>
  <c r="L9" i="3" s="1"/>
  <c r="M9" i="3" s="1"/>
  <c r="N9" i="3" s="1"/>
  <c r="O9" i="3" s="1"/>
  <c r="P9" i="3" s="1"/>
  <c r="Q385" i="3"/>
  <c r="R385" i="3" s="1"/>
  <c r="S385" i="3" s="1"/>
  <c r="Q367" i="3"/>
  <c r="R367" i="3" s="1"/>
  <c r="S367" i="3" s="1"/>
  <c r="Q345" i="3"/>
  <c r="R345" i="3" s="1"/>
  <c r="S345" i="3" s="1"/>
  <c r="Q324" i="3"/>
  <c r="R324" i="3" s="1"/>
  <c r="S324" i="3" s="1"/>
  <c r="Q305" i="3"/>
  <c r="R305" i="3" s="1"/>
  <c r="S305" i="3" s="1"/>
  <c r="Q284" i="3"/>
  <c r="R284" i="3" s="1"/>
  <c r="S284" i="3" s="1"/>
  <c r="Q244" i="3"/>
  <c r="R244" i="3" s="1"/>
  <c r="S244" i="3" s="1"/>
  <c r="Q222" i="3"/>
  <c r="R222" i="3" s="1"/>
  <c r="S222" i="3" s="1"/>
  <c r="Q204" i="3"/>
  <c r="R204" i="3" s="1"/>
  <c r="S204" i="3" s="1"/>
  <c r="Q182" i="3"/>
  <c r="R182" i="3" s="1"/>
  <c r="S182" i="3" s="1"/>
  <c r="Q161" i="3"/>
  <c r="R161" i="3" s="1"/>
  <c r="S161" i="3" s="1"/>
  <c r="Q142" i="3"/>
  <c r="R142" i="3" s="1"/>
  <c r="S142" i="3" s="1"/>
  <c r="Q118" i="3"/>
  <c r="R118" i="3" s="1"/>
  <c r="S118" i="3" s="1"/>
  <c r="Q49" i="3"/>
  <c r="R49" i="3" s="1"/>
  <c r="S49" i="3" s="1"/>
  <c r="Q15" i="3"/>
  <c r="R15" i="3" s="1"/>
  <c r="S15" i="3" s="1"/>
  <c r="Q6" i="3"/>
  <c r="R6" i="3" s="1"/>
  <c r="S6" i="3" s="1"/>
  <c r="Q626" i="2"/>
  <c r="R626" i="2" s="1"/>
  <c r="S626" i="2" s="1"/>
  <c r="Q886" i="2"/>
  <c r="R886" i="2" s="1"/>
  <c r="S886" i="2" s="1"/>
  <c r="Q864" i="2"/>
  <c r="R864" i="2" s="1"/>
  <c r="S864" i="2" s="1"/>
  <c r="Q595" i="2"/>
  <c r="R595" i="2" s="1"/>
  <c r="S595" i="2" s="1"/>
  <c r="Q822" i="2"/>
  <c r="R822" i="2" s="1"/>
  <c r="S822" i="2" s="1"/>
  <c r="Q550" i="2"/>
  <c r="R550" i="2" s="1"/>
  <c r="S550" i="2" s="1"/>
  <c r="Q800" i="2"/>
  <c r="R800" i="2" s="1"/>
  <c r="S800" i="2" s="1"/>
  <c r="Q488" i="2"/>
  <c r="R488" i="2" s="1"/>
  <c r="S488" i="2" s="1"/>
  <c r="Q758" i="2"/>
  <c r="R758" i="2" s="1"/>
  <c r="S758" i="2" s="1"/>
  <c r="Q438" i="2"/>
  <c r="R438" i="2" s="1"/>
  <c r="S438" i="2" s="1"/>
  <c r="Q992" i="2"/>
  <c r="R992" i="2" s="1"/>
  <c r="S992" i="2" s="1"/>
  <c r="Q736" i="2"/>
  <c r="R736" i="2" s="1"/>
  <c r="S736" i="2" s="1"/>
  <c r="Q352" i="2"/>
  <c r="R352" i="2" s="1"/>
  <c r="S352" i="2" s="1"/>
  <c r="Q950" i="2"/>
  <c r="R950" i="2" s="1"/>
  <c r="S950" i="2" s="1"/>
  <c r="Q694" i="2"/>
  <c r="R694" i="2" s="1"/>
  <c r="S694" i="2" s="1"/>
  <c r="Q182" i="2"/>
  <c r="R182" i="2" s="1"/>
  <c r="S182" i="2" s="1"/>
  <c r="Q928" i="2"/>
  <c r="R928" i="2" s="1"/>
  <c r="S928" i="2" s="1"/>
  <c r="Q663" i="2"/>
  <c r="R663" i="2" s="1"/>
  <c r="S663" i="2" s="1"/>
  <c r="Q54" i="2"/>
  <c r="R54" i="2" s="1"/>
  <c r="S54" i="2" s="1"/>
  <c r="H681" i="2"/>
  <c r="I681" i="2" s="1"/>
  <c r="J681" i="2" s="1"/>
  <c r="K681" i="2" s="1"/>
  <c r="L681" i="2" s="1"/>
  <c r="M681" i="2" s="1"/>
  <c r="N681" i="2" s="1"/>
  <c r="O681" i="2" s="1"/>
  <c r="P681" i="2" s="1"/>
  <c r="H625" i="2"/>
  <c r="I625" i="2" s="1"/>
  <c r="J625" i="2" s="1"/>
  <c r="K625" i="2" s="1"/>
  <c r="L625" i="2" s="1"/>
  <c r="M625" i="2" s="1"/>
  <c r="N625" i="2" s="1"/>
  <c r="O625" i="2" s="1"/>
  <c r="P625" i="2" s="1"/>
  <c r="H569" i="2"/>
  <c r="I569" i="2" s="1"/>
  <c r="J569" i="2" s="1"/>
  <c r="K569" i="2" s="1"/>
  <c r="L569" i="2" s="1"/>
  <c r="M569" i="2" s="1"/>
  <c r="N569" i="2" s="1"/>
  <c r="O569" i="2" s="1"/>
  <c r="P569" i="2" s="1"/>
  <c r="H529" i="2"/>
  <c r="I529" i="2" s="1"/>
  <c r="J529" i="2" s="1"/>
  <c r="K529" i="2" s="1"/>
  <c r="L529" i="2" s="1"/>
  <c r="M529" i="2" s="1"/>
  <c r="N529" i="2" s="1"/>
  <c r="O529" i="2" s="1"/>
  <c r="P529" i="2" s="1"/>
  <c r="H481" i="2"/>
  <c r="I481" i="2" s="1"/>
  <c r="J481" i="2" s="1"/>
  <c r="K481" i="2" s="1"/>
  <c r="L481" i="2" s="1"/>
  <c r="M481" i="2" s="1"/>
  <c r="N481" i="2" s="1"/>
  <c r="O481" i="2" s="1"/>
  <c r="P481" i="2" s="1"/>
  <c r="H425" i="2"/>
  <c r="I425" i="2" s="1"/>
  <c r="J425" i="2" s="1"/>
  <c r="K425" i="2" s="1"/>
  <c r="L425" i="2" s="1"/>
  <c r="M425" i="2" s="1"/>
  <c r="N425" i="2" s="1"/>
  <c r="O425" i="2" s="1"/>
  <c r="P425" i="2" s="1"/>
  <c r="H369" i="2"/>
  <c r="I369" i="2" s="1"/>
  <c r="J369" i="2" s="1"/>
  <c r="K369" i="2" s="1"/>
  <c r="L369" i="2" s="1"/>
  <c r="M369" i="2" s="1"/>
  <c r="N369" i="2" s="1"/>
  <c r="O369" i="2" s="1"/>
  <c r="P369" i="2" s="1"/>
  <c r="H313" i="2"/>
  <c r="I313" i="2" s="1"/>
  <c r="J313" i="2" s="1"/>
  <c r="K313" i="2" s="1"/>
  <c r="L313" i="2" s="1"/>
  <c r="M313" i="2" s="1"/>
  <c r="N313" i="2" s="1"/>
  <c r="O313" i="2" s="1"/>
  <c r="P313" i="2" s="1"/>
  <c r="H265" i="2"/>
  <c r="I265" i="2" s="1"/>
  <c r="J265" i="2" s="1"/>
  <c r="K265" i="2" s="1"/>
  <c r="L265" i="2" s="1"/>
  <c r="M265" i="2" s="1"/>
  <c r="N265" i="2" s="1"/>
  <c r="O265" i="2" s="1"/>
  <c r="P265" i="2" s="1"/>
  <c r="H209" i="2"/>
  <c r="I209" i="2" s="1"/>
  <c r="J209" i="2" s="1"/>
  <c r="K209" i="2" s="1"/>
  <c r="L209" i="2" s="1"/>
  <c r="M209" i="2" s="1"/>
  <c r="N209" i="2" s="1"/>
  <c r="O209" i="2" s="1"/>
  <c r="P209" i="2" s="1"/>
  <c r="H161" i="2"/>
  <c r="I161" i="2" s="1"/>
  <c r="J161" i="2" s="1"/>
  <c r="K161" i="2" s="1"/>
  <c r="L161" i="2" s="1"/>
  <c r="M161" i="2" s="1"/>
  <c r="N161" i="2" s="1"/>
  <c r="O161" i="2" s="1"/>
  <c r="P161" i="2" s="1"/>
  <c r="H105" i="2"/>
  <c r="I105" i="2" s="1"/>
  <c r="J105" i="2" s="1"/>
  <c r="K105" i="2" s="1"/>
  <c r="L105" i="2" s="1"/>
  <c r="M105" i="2" s="1"/>
  <c r="N105" i="2" s="1"/>
  <c r="O105" i="2" s="1"/>
  <c r="P105" i="2" s="1"/>
  <c r="H57" i="2"/>
  <c r="I57" i="2" s="1"/>
  <c r="J57" i="2" s="1"/>
  <c r="K57" i="2" s="1"/>
  <c r="L57" i="2" s="1"/>
  <c r="M57" i="2" s="1"/>
  <c r="N57" i="2" s="1"/>
  <c r="O57" i="2" s="1"/>
  <c r="P57" i="2" s="1"/>
  <c r="H9" i="2"/>
  <c r="I9" i="2" s="1"/>
  <c r="J9" i="2" s="1"/>
  <c r="K9" i="2" s="1"/>
  <c r="L9" i="2" s="1"/>
  <c r="M9" i="2" s="1"/>
  <c r="N9" i="2" s="1"/>
  <c r="O9" i="2" s="1"/>
  <c r="P9" i="2" s="1"/>
  <c r="H680" i="2"/>
  <c r="I680" i="2" s="1"/>
  <c r="J680" i="2" s="1"/>
  <c r="K680" i="2" s="1"/>
  <c r="L680" i="2" s="1"/>
  <c r="M680" i="2" s="1"/>
  <c r="N680" i="2" s="1"/>
  <c r="O680" i="2" s="1"/>
  <c r="P680" i="2" s="1"/>
  <c r="H656" i="2"/>
  <c r="I656" i="2" s="1"/>
  <c r="J656" i="2" s="1"/>
  <c r="K656" i="2" s="1"/>
  <c r="L656" i="2" s="1"/>
  <c r="M656" i="2" s="1"/>
  <c r="N656" i="2" s="1"/>
  <c r="O656" i="2" s="1"/>
  <c r="P656" i="2" s="1"/>
  <c r="H648" i="2"/>
  <c r="I648" i="2" s="1"/>
  <c r="J648" i="2" s="1"/>
  <c r="K648" i="2" s="1"/>
  <c r="L648" i="2" s="1"/>
  <c r="M648" i="2" s="1"/>
  <c r="N648" i="2" s="1"/>
  <c r="O648" i="2" s="1"/>
  <c r="P648" i="2" s="1"/>
  <c r="H640" i="2"/>
  <c r="I640" i="2" s="1"/>
  <c r="J640" i="2" s="1"/>
  <c r="K640" i="2" s="1"/>
  <c r="L640" i="2" s="1"/>
  <c r="M640" i="2" s="1"/>
  <c r="N640" i="2" s="1"/>
  <c r="O640" i="2" s="1"/>
  <c r="P640" i="2" s="1"/>
  <c r="H632" i="2"/>
  <c r="I632" i="2" s="1"/>
  <c r="J632" i="2" s="1"/>
  <c r="K632" i="2" s="1"/>
  <c r="L632" i="2" s="1"/>
  <c r="M632" i="2" s="1"/>
  <c r="N632" i="2" s="1"/>
  <c r="O632" i="2" s="1"/>
  <c r="P632" i="2" s="1"/>
  <c r="H616" i="2"/>
  <c r="I616" i="2" s="1"/>
  <c r="J616" i="2" s="1"/>
  <c r="K616" i="2" s="1"/>
  <c r="L616" i="2" s="1"/>
  <c r="M616" i="2" s="1"/>
  <c r="N616" i="2" s="1"/>
  <c r="O616" i="2" s="1"/>
  <c r="P616" i="2" s="1"/>
  <c r="H592" i="2"/>
  <c r="I592" i="2" s="1"/>
  <c r="J592" i="2" s="1"/>
  <c r="K592" i="2" s="1"/>
  <c r="L592" i="2" s="1"/>
  <c r="M592" i="2" s="1"/>
  <c r="N592" i="2" s="1"/>
  <c r="O592" i="2" s="1"/>
  <c r="P592" i="2" s="1"/>
  <c r="H584" i="2"/>
  <c r="I584" i="2" s="1"/>
  <c r="J584" i="2" s="1"/>
  <c r="K584" i="2" s="1"/>
  <c r="L584" i="2" s="1"/>
  <c r="M584" i="2" s="1"/>
  <c r="N584" i="2" s="1"/>
  <c r="O584" i="2" s="1"/>
  <c r="P584" i="2" s="1"/>
  <c r="H576" i="2"/>
  <c r="I576" i="2" s="1"/>
  <c r="J576" i="2" s="1"/>
  <c r="K576" i="2" s="1"/>
  <c r="L576" i="2" s="1"/>
  <c r="M576" i="2" s="1"/>
  <c r="N576" i="2" s="1"/>
  <c r="O576" i="2" s="1"/>
  <c r="P576" i="2" s="1"/>
  <c r="H568" i="2"/>
  <c r="I568" i="2" s="1"/>
  <c r="J568" i="2" s="1"/>
  <c r="K568" i="2" s="1"/>
  <c r="L568" i="2" s="1"/>
  <c r="M568" i="2" s="1"/>
  <c r="N568" i="2" s="1"/>
  <c r="O568" i="2" s="1"/>
  <c r="P568" i="2" s="1"/>
  <c r="H560" i="2"/>
  <c r="I560" i="2" s="1"/>
  <c r="J560" i="2" s="1"/>
  <c r="K560" i="2" s="1"/>
  <c r="L560" i="2" s="1"/>
  <c r="M560" i="2" s="1"/>
  <c r="N560" i="2" s="1"/>
  <c r="O560" i="2" s="1"/>
  <c r="P560" i="2" s="1"/>
  <c r="H536" i="2"/>
  <c r="I536" i="2" s="1"/>
  <c r="J536" i="2" s="1"/>
  <c r="K536" i="2" s="1"/>
  <c r="L536" i="2" s="1"/>
  <c r="M536" i="2" s="1"/>
  <c r="N536" i="2" s="1"/>
  <c r="O536" i="2" s="1"/>
  <c r="P536" i="2" s="1"/>
  <c r="H520" i="2"/>
  <c r="I520" i="2" s="1"/>
  <c r="J520" i="2" s="1"/>
  <c r="K520" i="2" s="1"/>
  <c r="L520" i="2" s="1"/>
  <c r="M520" i="2" s="1"/>
  <c r="N520" i="2" s="1"/>
  <c r="O520" i="2" s="1"/>
  <c r="P520" i="2" s="1"/>
  <c r="H512" i="2"/>
  <c r="I512" i="2" s="1"/>
  <c r="J512" i="2" s="1"/>
  <c r="K512" i="2" s="1"/>
  <c r="L512" i="2" s="1"/>
  <c r="M512" i="2" s="1"/>
  <c r="N512" i="2" s="1"/>
  <c r="O512" i="2" s="1"/>
  <c r="P512" i="2" s="1"/>
  <c r="H504" i="2"/>
  <c r="I504" i="2" s="1"/>
  <c r="J504" i="2" s="1"/>
  <c r="K504" i="2" s="1"/>
  <c r="L504" i="2" s="1"/>
  <c r="M504" i="2" s="1"/>
  <c r="N504" i="2" s="1"/>
  <c r="O504" i="2" s="1"/>
  <c r="P504" i="2" s="1"/>
  <c r="H496" i="2"/>
  <c r="I496" i="2" s="1"/>
  <c r="J496" i="2" s="1"/>
  <c r="K496" i="2" s="1"/>
  <c r="L496" i="2" s="1"/>
  <c r="M496" i="2" s="1"/>
  <c r="N496" i="2" s="1"/>
  <c r="O496" i="2" s="1"/>
  <c r="P496" i="2" s="1"/>
  <c r="H472" i="2"/>
  <c r="I472" i="2" s="1"/>
  <c r="J472" i="2" s="1"/>
  <c r="K472" i="2" s="1"/>
  <c r="L472" i="2" s="1"/>
  <c r="M472" i="2" s="1"/>
  <c r="N472" i="2" s="1"/>
  <c r="O472" i="2" s="1"/>
  <c r="P472" i="2" s="1"/>
  <c r="H456" i="2"/>
  <c r="I456" i="2" s="1"/>
  <c r="J456" i="2" s="1"/>
  <c r="K456" i="2" s="1"/>
  <c r="L456" i="2" s="1"/>
  <c r="M456" i="2" s="1"/>
  <c r="N456" i="2" s="1"/>
  <c r="O456" i="2" s="1"/>
  <c r="P456" i="2" s="1"/>
  <c r="H448" i="2"/>
  <c r="I448" i="2" s="1"/>
  <c r="J448" i="2" s="1"/>
  <c r="K448" i="2" s="1"/>
  <c r="L448" i="2" s="1"/>
  <c r="M448" i="2" s="1"/>
  <c r="N448" i="2" s="1"/>
  <c r="O448" i="2" s="1"/>
  <c r="P448" i="2" s="1"/>
  <c r="H440" i="2"/>
  <c r="I440" i="2" s="1"/>
  <c r="J440" i="2" s="1"/>
  <c r="K440" i="2" s="1"/>
  <c r="L440" i="2" s="1"/>
  <c r="M440" i="2" s="1"/>
  <c r="N440" i="2" s="1"/>
  <c r="O440" i="2" s="1"/>
  <c r="P440" i="2" s="1"/>
  <c r="H432" i="2"/>
  <c r="I432" i="2" s="1"/>
  <c r="J432" i="2" s="1"/>
  <c r="K432" i="2" s="1"/>
  <c r="L432" i="2" s="1"/>
  <c r="M432" i="2" s="1"/>
  <c r="N432" i="2" s="1"/>
  <c r="O432" i="2" s="1"/>
  <c r="P432" i="2" s="1"/>
  <c r="H408" i="2"/>
  <c r="I408" i="2" s="1"/>
  <c r="J408" i="2" s="1"/>
  <c r="K408" i="2" s="1"/>
  <c r="L408" i="2" s="1"/>
  <c r="M408" i="2" s="1"/>
  <c r="N408" i="2" s="1"/>
  <c r="O408" i="2" s="1"/>
  <c r="P408" i="2" s="1"/>
  <c r="H392" i="2"/>
  <c r="I392" i="2" s="1"/>
  <c r="J392" i="2" s="1"/>
  <c r="K392" i="2" s="1"/>
  <c r="L392" i="2" s="1"/>
  <c r="M392" i="2" s="1"/>
  <c r="N392" i="2" s="1"/>
  <c r="O392" i="2" s="1"/>
  <c r="P392" i="2" s="1"/>
  <c r="H384" i="2"/>
  <c r="I384" i="2" s="1"/>
  <c r="J384" i="2" s="1"/>
  <c r="K384" i="2" s="1"/>
  <c r="L384" i="2" s="1"/>
  <c r="M384" i="2" s="1"/>
  <c r="N384" i="2" s="1"/>
  <c r="O384" i="2" s="1"/>
  <c r="P384" i="2" s="1"/>
  <c r="H376" i="2"/>
  <c r="I376" i="2" s="1"/>
  <c r="J376" i="2" s="1"/>
  <c r="K376" i="2" s="1"/>
  <c r="L376" i="2" s="1"/>
  <c r="M376" i="2" s="1"/>
  <c r="N376" i="2" s="1"/>
  <c r="O376" i="2" s="1"/>
  <c r="P376" i="2" s="1"/>
  <c r="H368" i="2"/>
  <c r="I368" i="2" s="1"/>
  <c r="J368" i="2" s="1"/>
  <c r="K368" i="2" s="1"/>
  <c r="L368" i="2" s="1"/>
  <c r="M368" i="2" s="1"/>
  <c r="N368" i="2" s="1"/>
  <c r="O368" i="2" s="1"/>
  <c r="P368" i="2" s="1"/>
  <c r="H360" i="2"/>
  <c r="I360" i="2" s="1"/>
  <c r="J360" i="2" s="1"/>
  <c r="K360" i="2" s="1"/>
  <c r="L360" i="2" s="1"/>
  <c r="M360" i="2" s="1"/>
  <c r="N360" i="2" s="1"/>
  <c r="O360" i="2" s="1"/>
  <c r="P360" i="2" s="1"/>
  <c r="H344" i="2"/>
  <c r="I344" i="2" s="1"/>
  <c r="J344" i="2" s="1"/>
  <c r="K344" i="2" s="1"/>
  <c r="L344" i="2" s="1"/>
  <c r="M344" i="2" s="1"/>
  <c r="N344" i="2" s="1"/>
  <c r="O344" i="2" s="1"/>
  <c r="P344" i="2" s="1"/>
  <c r="H336" i="2"/>
  <c r="I336" i="2" s="1"/>
  <c r="J336" i="2" s="1"/>
  <c r="K336" i="2" s="1"/>
  <c r="L336" i="2" s="1"/>
  <c r="M336" i="2" s="1"/>
  <c r="N336" i="2" s="1"/>
  <c r="O336" i="2" s="1"/>
  <c r="P336" i="2" s="1"/>
  <c r="H328" i="2"/>
  <c r="I328" i="2" s="1"/>
  <c r="J328" i="2" s="1"/>
  <c r="K328" i="2" s="1"/>
  <c r="L328" i="2" s="1"/>
  <c r="M328" i="2" s="1"/>
  <c r="N328" i="2" s="1"/>
  <c r="O328" i="2" s="1"/>
  <c r="P328" i="2" s="1"/>
  <c r="H320" i="2"/>
  <c r="I320" i="2" s="1"/>
  <c r="J320" i="2" s="1"/>
  <c r="K320" i="2" s="1"/>
  <c r="L320" i="2" s="1"/>
  <c r="M320" i="2" s="1"/>
  <c r="N320" i="2" s="1"/>
  <c r="O320" i="2" s="1"/>
  <c r="P320" i="2" s="1"/>
  <c r="H312" i="2"/>
  <c r="I312" i="2" s="1"/>
  <c r="J312" i="2" s="1"/>
  <c r="K312" i="2" s="1"/>
  <c r="L312" i="2" s="1"/>
  <c r="M312" i="2" s="1"/>
  <c r="N312" i="2" s="1"/>
  <c r="O312" i="2" s="1"/>
  <c r="P312" i="2" s="1"/>
  <c r="H304" i="2"/>
  <c r="I304" i="2" s="1"/>
  <c r="J304" i="2" s="1"/>
  <c r="K304" i="2" s="1"/>
  <c r="L304" i="2" s="1"/>
  <c r="M304" i="2" s="1"/>
  <c r="N304" i="2" s="1"/>
  <c r="O304" i="2" s="1"/>
  <c r="P304" i="2" s="1"/>
  <c r="H296" i="2"/>
  <c r="I296" i="2" s="1"/>
  <c r="J296" i="2" s="1"/>
  <c r="K296" i="2" s="1"/>
  <c r="L296" i="2" s="1"/>
  <c r="M296" i="2" s="1"/>
  <c r="N296" i="2" s="1"/>
  <c r="O296" i="2" s="1"/>
  <c r="P296" i="2" s="1"/>
  <c r="H280" i="2"/>
  <c r="I280" i="2" s="1"/>
  <c r="J280" i="2" s="1"/>
  <c r="K280" i="2" s="1"/>
  <c r="L280" i="2" s="1"/>
  <c r="M280" i="2" s="1"/>
  <c r="N280" i="2" s="1"/>
  <c r="O280" i="2" s="1"/>
  <c r="P280" i="2" s="1"/>
  <c r="H272" i="2"/>
  <c r="I272" i="2" s="1"/>
  <c r="J272" i="2" s="1"/>
  <c r="K272" i="2" s="1"/>
  <c r="L272" i="2" s="1"/>
  <c r="M272" i="2" s="1"/>
  <c r="N272" i="2" s="1"/>
  <c r="O272" i="2" s="1"/>
  <c r="P272" i="2" s="1"/>
  <c r="H264" i="2"/>
  <c r="I264" i="2" s="1"/>
  <c r="J264" i="2" s="1"/>
  <c r="K264" i="2" s="1"/>
  <c r="L264" i="2" s="1"/>
  <c r="M264" i="2" s="1"/>
  <c r="N264" i="2" s="1"/>
  <c r="O264" i="2" s="1"/>
  <c r="P264" i="2" s="1"/>
  <c r="H256" i="2"/>
  <c r="I256" i="2" s="1"/>
  <c r="J256" i="2" s="1"/>
  <c r="K256" i="2" s="1"/>
  <c r="L256" i="2" s="1"/>
  <c r="M256" i="2" s="1"/>
  <c r="N256" i="2" s="1"/>
  <c r="O256" i="2" s="1"/>
  <c r="P256" i="2" s="1"/>
  <c r="H248" i="2"/>
  <c r="I248" i="2" s="1"/>
  <c r="J248" i="2" s="1"/>
  <c r="K248" i="2" s="1"/>
  <c r="L248" i="2" s="1"/>
  <c r="M248" i="2" s="1"/>
  <c r="N248" i="2" s="1"/>
  <c r="O248" i="2" s="1"/>
  <c r="P248" i="2" s="1"/>
  <c r="H240" i="2"/>
  <c r="I240" i="2" s="1"/>
  <c r="J240" i="2" s="1"/>
  <c r="K240" i="2" s="1"/>
  <c r="L240" i="2" s="1"/>
  <c r="M240" i="2" s="1"/>
  <c r="N240" i="2" s="1"/>
  <c r="O240" i="2" s="1"/>
  <c r="P240" i="2" s="1"/>
  <c r="H232" i="2"/>
  <c r="I232" i="2" s="1"/>
  <c r="J232" i="2" s="1"/>
  <c r="K232" i="2" s="1"/>
  <c r="L232" i="2" s="1"/>
  <c r="M232" i="2" s="1"/>
  <c r="N232" i="2" s="1"/>
  <c r="O232" i="2" s="1"/>
  <c r="P232" i="2" s="1"/>
  <c r="H216" i="2"/>
  <c r="I216" i="2" s="1"/>
  <c r="J216" i="2" s="1"/>
  <c r="K216" i="2" s="1"/>
  <c r="L216" i="2" s="1"/>
  <c r="M216" i="2" s="1"/>
  <c r="N216" i="2" s="1"/>
  <c r="O216" i="2" s="1"/>
  <c r="P216" i="2" s="1"/>
  <c r="H208" i="2"/>
  <c r="I208" i="2" s="1"/>
  <c r="J208" i="2" s="1"/>
  <c r="K208" i="2" s="1"/>
  <c r="L208" i="2" s="1"/>
  <c r="M208" i="2" s="1"/>
  <c r="N208" i="2" s="1"/>
  <c r="O208" i="2" s="1"/>
  <c r="P208" i="2" s="1"/>
  <c r="H200" i="2"/>
  <c r="I200" i="2" s="1"/>
  <c r="J200" i="2" s="1"/>
  <c r="K200" i="2" s="1"/>
  <c r="L200" i="2" s="1"/>
  <c r="M200" i="2" s="1"/>
  <c r="N200" i="2" s="1"/>
  <c r="O200" i="2" s="1"/>
  <c r="P200" i="2" s="1"/>
  <c r="H192" i="2"/>
  <c r="I192" i="2" s="1"/>
  <c r="J192" i="2" s="1"/>
  <c r="K192" i="2" s="1"/>
  <c r="L192" i="2" s="1"/>
  <c r="M192" i="2" s="1"/>
  <c r="N192" i="2" s="1"/>
  <c r="O192" i="2" s="1"/>
  <c r="P192" i="2" s="1"/>
  <c r="H184" i="2"/>
  <c r="I184" i="2" s="1"/>
  <c r="J184" i="2" s="1"/>
  <c r="K184" i="2" s="1"/>
  <c r="L184" i="2" s="1"/>
  <c r="M184" i="2" s="1"/>
  <c r="N184" i="2" s="1"/>
  <c r="O184" i="2" s="1"/>
  <c r="P184" i="2" s="1"/>
  <c r="H176" i="2"/>
  <c r="I176" i="2" s="1"/>
  <c r="J176" i="2" s="1"/>
  <c r="K176" i="2" s="1"/>
  <c r="L176" i="2" s="1"/>
  <c r="M176" i="2" s="1"/>
  <c r="N176" i="2" s="1"/>
  <c r="O176" i="2" s="1"/>
  <c r="P176" i="2" s="1"/>
  <c r="H168" i="2"/>
  <c r="I168" i="2" s="1"/>
  <c r="J168" i="2" s="1"/>
  <c r="K168" i="2" s="1"/>
  <c r="L168" i="2" s="1"/>
  <c r="M168" i="2" s="1"/>
  <c r="N168" i="2" s="1"/>
  <c r="O168" i="2" s="1"/>
  <c r="P168" i="2" s="1"/>
  <c r="H152" i="2"/>
  <c r="I152" i="2" s="1"/>
  <c r="J152" i="2" s="1"/>
  <c r="K152" i="2" s="1"/>
  <c r="L152" i="2" s="1"/>
  <c r="M152" i="2" s="1"/>
  <c r="N152" i="2" s="1"/>
  <c r="O152" i="2" s="1"/>
  <c r="P152" i="2" s="1"/>
  <c r="H144" i="2"/>
  <c r="I144" i="2" s="1"/>
  <c r="J144" i="2" s="1"/>
  <c r="K144" i="2" s="1"/>
  <c r="L144" i="2" s="1"/>
  <c r="M144" i="2" s="1"/>
  <c r="N144" i="2" s="1"/>
  <c r="O144" i="2" s="1"/>
  <c r="P144" i="2" s="1"/>
  <c r="H136" i="2"/>
  <c r="I136" i="2" s="1"/>
  <c r="J136" i="2" s="1"/>
  <c r="K136" i="2" s="1"/>
  <c r="L136" i="2" s="1"/>
  <c r="M136" i="2" s="1"/>
  <c r="N136" i="2" s="1"/>
  <c r="O136" i="2" s="1"/>
  <c r="P136" i="2" s="1"/>
  <c r="H128" i="2"/>
  <c r="I128" i="2" s="1"/>
  <c r="J128" i="2" s="1"/>
  <c r="K128" i="2" s="1"/>
  <c r="L128" i="2" s="1"/>
  <c r="M128" i="2" s="1"/>
  <c r="N128" i="2" s="1"/>
  <c r="O128" i="2" s="1"/>
  <c r="P128" i="2" s="1"/>
  <c r="H120" i="2"/>
  <c r="I120" i="2" s="1"/>
  <c r="J120" i="2" s="1"/>
  <c r="K120" i="2" s="1"/>
  <c r="L120" i="2" s="1"/>
  <c r="M120" i="2" s="1"/>
  <c r="N120" i="2" s="1"/>
  <c r="O120" i="2" s="1"/>
  <c r="P120" i="2" s="1"/>
  <c r="H112" i="2"/>
  <c r="I112" i="2" s="1"/>
  <c r="J112" i="2" s="1"/>
  <c r="K112" i="2" s="1"/>
  <c r="L112" i="2" s="1"/>
  <c r="M112" i="2" s="1"/>
  <c r="N112" i="2" s="1"/>
  <c r="O112" i="2" s="1"/>
  <c r="P112" i="2" s="1"/>
  <c r="H104" i="2"/>
  <c r="I104" i="2" s="1"/>
  <c r="J104" i="2" s="1"/>
  <c r="K104" i="2" s="1"/>
  <c r="L104" i="2" s="1"/>
  <c r="M104" i="2" s="1"/>
  <c r="N104" i="2" s="1"/>
  <c r="O104" i="2" s="1"/>
  <c r="P104" i="2" s="1"/>
  <c r="H88" i="2"/>
  <c r="I88" i="2" s="1"/>
  <c r="J88" i="2" s="1"/>
  <c r="K88" i="2" s="1"/>
  <c r="L88" i="2" s="1"/>
  <c r="M88" i="2" s="1"/>
  <c r="N88" i="2" s="1"/>
  <c r="O88" i="2" s="1"/>
  <c r="P88" i="2" s="1"/>
  <c r="H80" i="2"/>
  <c r="I80" i="2" s="1"/>
  <c r="J80" i="2" s="1"/>
  <c r="K80" i="2" s="1"/>
  <c r="L80" i="2" s="1"/>
  <c r="M80" i="2" s="1"/>
  <c r="N80" i="2" s="1"/>
  <c r="O80" i="2" s="1"/>
  <c r="P80" i="2" s="1"/>
  <c r="H72" i="2"/>
  <c r="I72" i="2" s="1"/>
  <c r="J72" i="2" s="1"/>
  <c r="K72" i="2" s="1"/>
  <c r="L72" i="2" s="1"/>
  <c r="M72" i="2" s="1"/>
  <c r="N72" i="2" s="1"/>
  <c r="O72" i="2" s="1"/>
  <c r="P72" i="2" s="1"/>
  <c r="H64" i="2"/>
  <c r="I64" i="2" s="1"/>
  <c r="J64" i="2" s="1"/>
  <c r="K64" i="2" s="1"/>
  <c r="L64" i="2" s="1"/>
  <c r="M64" i="2" s="1"/>
  <c r="N64" i="2" s="1"/>
  <c r="O64" i="2" s="1"/>
  <c r="P64" i="2" s="1"/>
  <c r="H56" i="2"/>
  <c r="I56" i="2" s="1"/>
  <c r="J56" i="2" s="1"/>
  <c r="K56" i="2" s="1"/>
  <c r="L56" i="2" s="1"/>
  <c r="M56" i="2" s="1"/>
  <c r="N56" i="2" s="1"/>
  <c r="O56" i="2" s="1"/>
  <c r="P56" i="2" s="1"/>
  <c r="H48" i="2"/>
  <c r="I48" i="2" s="1"/>
  <c r="J48" i="2" s="1"/>
  <c r="K48" i="2" s="1"/>
  <c r="L48" i="2" s="1"/>
  <c r="M48" i="2" s="1"/>
  <c r="N48" i="2" s="1"/>
  <c r="O48" i="2" s="1"/>
  <c r="P48" i="2" s="1"/>
  <c r="H40" i="2"/>
  <c r="I40" i="2" s="1"/>
  <c r="J40" i="2" s="1"/>
  <c r="K40" i="2" s="1"/>
  <c r="L40" i="2" s="1"/>
  <c r="M40" i="2" s="1"/>
  <c r="N40" i="2" s="1"/>
  <c r="O40" i="2" s="1"/>
  <c r="P40" i="2" s="1"/>
  <c r="H24" i="2"/>
  <c r="I24" i="2" s="1"/>
  <c r="J24" i="2" s="1"/>
  <c r="K24" i="2" s="1"/>
  <c r="L24" i="2" s="1"/>
  <c r="M24" i="2" s="1"/>
  <c r="N24" i="2" s="1"/>
  <c r="O24" i="2" s="1"/>
  <c r="P24" i="2" s="1"/>
  <c r="H16" i="2"/>
  <c r="I16" i="2" s="1"/>
  <c r="J16" i="2" s="1"/>
  <c r="K16" i="2" s="1"/>
  <c r="L16" i="2" s="1"/>
  <c r="M16" i="2" s="1"/>
  <c r="N16" i="2" s="1"/>
  <c r="O16" i="2" s="1"/>
  <c r="P16" i="2" s="1"/>
  <c r="H8" i="2"/>
  <c r="I8" i="2" s="1"/>
  <c r="J8" i="2" s="1"/>
  <c r="K8" i="2" s="1"/>
  <c r="L8" i="2" s="1"/>
  <c r="M8" i="2" s="1"/>
  <c r="N8" i="2" s="1"/>
  <c r="O8" i="2" s="1"/>
  <c r="P8" i="2" s="1"/>
  <c r="Q990" i="2"/>
  <c r="R990" i="2" s="1"/>
  <c r="S990" i="2" s="1"/>
  <c r="Q968" i="2"/>
  <c r="R968" i="2" s="1"/>
  <c r="S968" i="2" s="1"/>
  <c r="Q945" i="2"/>
  <c r="R945" i="2" s="1"/>
  <c r="S945" i="2" s="1"/>
  <c r="Q926" i="2"/>
  <c r="R926" i="2" s="1"/>
  <c r="S926" i="2" s="1"/>
  <c r="Q904" i="2"/>
  <c r="R904" i="2" s="1"/>
  <c r="S904" i="2" s="1"/>
  <c r="Q881" i="2"/>
  <c r="R881" i="2" s="1"/>
  <c r="S881" i="2" s="1"/>
  <c r="Q862" i="2"/>
  <c r="R862" i="2" s="1"/>
  <c r="S862" i="2" s="1"/>
  <c r="Q840" i="2"/>
  <c r="R840" i="2" s="1"/>
  <c r="S840" i="2" s="1"/>
  <c r="Q817" i="2"/>
  <c r="R817" i="2" s="1"/>
  <c r="S817" i="2" s="1"/>
  <c r="Q798" i="2"/>
  <c r="R798" i="2" s="1"/>
  <c r="S798" i="2" s="1"/>
  <c r="Q776" i="2"/>
  <c r="R776" i="2" s="1"/>
  <c r="S776" i="2" s="1"/>
  <c r="Q753" i="2"/>
  <c r="R753" i="2" s="1"/>
  <c r="S753" i="2" s="1"/>
  <c r="Q734" i="2"/>
  <c r="R734" i="2" s="1"/>
  <c r="S734" i="2" s="1"/>
  <c r="Q712" i="2"/>
  <c r="R712" i="2" s="1"/>
  <c r="S712" i="2" s="1"/>
  <c r="Q689" i="2"/>
  <c r="R689" i="2" s="1"/>
  <c r="S689" i="2" s="1"/>
  <c r="Q659" i="2"/>
  <c r="R659" i="2" s="1"/>
  <c r="S659" i="2" s="1"/>
  <c r="Q624" i="2"/>
  <c r="R624" i="2" s="1"/>
  <c r="S624" i="2" s="1"/>
  <c r="Q587" i="2"/>
  <c r="R587" i="2" s="1"/>
  <c r="S587" i="2" s="1"/>
  <c r="Q544" i="2"/>
  <c r="R544" i="2" s="1"/>
  <c r="S544" i="2" s="1"/>
  <c r="Q486" i="2"/>
  <c r="R486" i="2" s="1"/>
  <c r="S486" i="2" s="1"/>
  <c r="Q424" i="2"/>
  <c r="R424" i="2" s="1"/>
  <c r="S424" i="2" s="1"/>
  <c r="Q331" i="2"/>
  <c r="R331" i="2" s="1"/>
  <c r="S331" i="2" s="1"/>
  <c r="Q160" i="2"/>
  <c r="R160" i="2" s="1"/>
  <c r="S160" i="2" s="1"/>
  <c r="H641" i="2"/>
  <c r="I641" i="2" s="1"/>
  <c r="J641" i="2" s="1"/>
  <c r="K641" i="2" s="1"/>
  <c r="L641" i="2" s="1"/>
  <c r="M641" i="2" s="1"/>
  <c r="N641" i="2" s="1"/>
  <c r="O641" i="2" s="1"/>
  <c r="P641" i="2" s="1"/>
  <c r="H593" i="2"/>
  <c r="I593" i="2" s="1"/>
  <c r="J593" i="2" s="1"/>
  <c r="K593" i="2" s="1"/>
  <c r="L593" i="2" s="1"/>
  <c r="M593" i="2" s="1"/>
  <c r="N593" i="2" s="1"/>
  <c r="O593" i="2" s="1"/>
  <c r="P593" i="2" s="1"/>
  <c r="H513" i="2"/>
  <c r="I513" i="2" s="1"/>
  <c r="J513" i="2" s="1"/>
  <c r="K513" i="2" s="1"/>
  <c r="L513" i="2" s="1"/>
  <c r="M513" i="2" s="1"/>
  <c r="N513" i="2" s="1"/>
  <c r="O513" i="2" s="1"/>
  <c r="P513" i="2" s="1"/>
  <c r="H465" i="2"/>
  <c r="I465" i="2" s="1"/>
  <c r="J465" i="2" s="1"/>
  <c r="K465" i="2" s="1"/>
  <c r="L465" i="2" s="1"/>
  <c r="M465" i="2" s="1"/>
  <c r="N465" i="2" s="1"/>
  <c r="O465" i="2" s="1"/>
  <c r="P465" i="2" s="1"/>
  <c r="H409" i="2"/>
  <c r="I409" i="2" s="1"/>
  <c r="J409" i="2" s="1"/>
  <c r="K409" i="2" s="1"/>
  <c r="L409" i="2" s="1"/>
  <c r="M409" i="2" s="1"/>
  <c r="N409" i="2" s="1"/>
  <c r="O409" i="2" s="1"/>
  <c r="P409" i="2" s="1"/>
  <c r="H353" i="2"/>
  <c r="I353" i="2" s="1"/>
  <c r="J353" i="2" s="1"/>
  <c r="K353" i="2" s="1"/>
  <c r="L353" i="2" s="1"/>
  <c r="M353" i="2" s="1"/>
  <c r="N353" i="2" s="1"/>
  <c r="O353" i="2" s="1"/>
  <c r="P353" i="2" s="1"/>
  <c r="H289" i="2"/>
  <c r="I289" i="2" s="1"/>
  <c r="J289" i="2" s="1"/>
  <c r="K289" i="2" s="1"/>
  <c r="L289" i="2" s="1"/>
  <c r="M289" i="2" s="1"/>
  <c r="N289" i="2" s="1"/>
  <c r="O289" i="2" s="1"/>
  <c r="P289" i="2" s="1"/>
  <c r="H233" i="2"/>
  <c r="I233" i="2" s="1"/>
  <c r="J233" i="2" s="1"/>
  <c r="K233" i="2" s="1"/>
  <c r="L233" i="2" s="1"/>
  <c r="M233" i="2" s="1"/>
  <c r="N233" i="2" s="1"/>
  <c r="O233" i="2" s="1"/>
  <c r="P233" i="2" s="1"/>
  <c r="H185" i="2"/>
  <c r="I185" i="2" s="1"/>
  <c r="J185" i="2" s="1"/>
  <c r="K185" i="2" s="1"/>
  <c r="L185" i="2" s="1"/>
  <c r="M185" i="2" s="1"/>
  <c r="N185" i="2" s="1"/>
  <c r="O185" i="2" s="1"/>
  <c r="P185" i="2" s="1"/>
  <c r="H129" i="2"/>
  <c r="I129" i="2" s="1"/>
  <c r="J129" i="2" s="1"/>
  <c r="K129" i="2" s="1"/>
  <c r="L129" i="2" s="1"/>
  <c r="M129" i="2" s="1"/>
  <c r="N129" i="2" s="1"/>
  <c r="O129" i="2" s="1"/>
  <c r="P129" i="2" s="1"/>
  <c r="H65" i="2"/>
  <c r="I65" i="2" s="1"/>
  <c r="J65" i="2" s="1"/>
  <c r="K65" i="2" s="1"/>
  <c r="L65" i="2" s="1"/>
  <c r="M65" i="2" s="1"/>
  <c r="N65" i="2" s="1"/>
  <c r="O65" i="2" s="1"/>
  <c r="P65" i="2" s="1"/>
  <c r="H25" i="2"/>
  <c r="I25" i="2" s="1"/>
  <c r="J25" i="2" s="1"/>
  <c r="K25" i="2" s="1"/>
  <c r="L25" i="2" s="1"/>
  <c r="M25" i="2" s="1"/>
  <c r="N25" i="2" s="1"/>
  <c r="O25" i="2" s="1"/>
  <c r="P25" i="2" s="1"/>
  <c r="H999" i="2"/>
  <c r="I999" i="2" s="1"/>
  <c r="J999" i="2" s="1"/>
  <c r="K999" i="2" s="1"/>
  <c r="L999" i="2" s="1"/>
  <c r="M999" i="2" s="1"/>
  <c r="N999" i="2" s="1"/>
  <c r="O999" i="2" s="1"/>
  <c r="P999" i="2" s="1"/>
  <c r="H991" i="2"/>
  <c r="I991" i="2" s="1"/>
  <c r="J991" i="2" s="1"/>
  <c r="K991" i="2" s="1"/>
  <c r="L991" i="2" s="1"/>
  <c r="M991" i="2" s="1"/>
  <c r="N991" i="2" s="1"/>
  <c r="O991" i="2" s="1"/>
  <c r="P991" i="2" s="1"/>
  <c r="H983" i="2"/>
  <c r="I983" i="2" s="1"/>
  <c r="J983" i="2" s="1"/>
  <c r="K983" i="2" s="1"/>
  <c r="L983" i="2" s="1"/>
  <c r="M983" i="2" s="1"/>
  <c r="N983" i="2" s="1"/>
  <c r="O983" i="2" s="1"/>
  <c r="P983" i="2" s="1"/>
  <c r="H975" i="2"/>
  <c r="I975" i="2" s="1"/>
  <c r="J975" i="2" s="1"/>
  <c r="K975" i="2" s="1"/>
  <c r="L975" i="2" s="1"/>
  <c r="M975" i="2" s="1"/>
  <c r="N975" i="2" s="1"/>
  <c r="O975" i="2" s="1"/>
  <c r="P975" i="2" s="1"/>
  <c r="H967" i="2"/>
  <c r="I967" i="2" s="1"/>
  <c r="J967" i="2" s="1"/>
  <c r="K967" i="2" s="1"/>
  <c r="L967" i="2" s="1"/>
  <c r="M967" i="2" s="1"/>
  <c r="N967" i="2" s="1"/>
  <c r="O967" i="2" s="1"/>
  <c r="P967" i="2" s="1"/>
  <c r="H959" i="2"/>
  <c r="I959" i="2" s="1"/>
  <c r="J959" i="2" s="1"/>
  <c r="K959" i="2" s="1"/>
  <c r="L959" i="2" s="1"/>
  <c r="M959" i="2" s="1"/>
  <c r="N959" i="2" s="1"/>
  <c r="O959" i="2" s="1"/>
  <c r="P959" i="2" s="1"/>
  <c r="H951" i="2"/>
  <c r="I951" i="2" s="1"/>
  <c r="J951" i="2" s="1"/>
  <c r="K951" i="2" s="1"/>
  <c r="L951" i="2" s="1"/>
  <c r="M951" i="2" s="1"/>
  <c r="N951" i="2" s="1"/>
  <c r="O951" i="2" s="1"/>
  <c r="P951" i="2" s="1"/>
  <c r="H943" i="2"/>
  <c r="I943" i="2" s="1"/>
  <c r="J943" i="2" s="1"/>
  <c r="K943" i="2" s="1"/>
  <c r="L943" i="2" s="1"/>
  <c r="M943" i="2" s="1"/>
  <c r="N943" i="2" s="1"/>
  <c r="O943" i="2" s="1"/>
  <c r="P943" i="2" s="1"/>
  <c r="H935" i="2"/>
  <c r="I935" i="2" s="1"/>
  <c r="J935" i="2" s="1"/>
  <c r="K935" i="2" s="1"/>
  <c r="L935" i="2" s="1"/>
  <c r="M935" i="2" s="1"/>
  <c r="N935" i="2" s="1"/>
  <c r="O935" i="2" s="1"/>
  <c r="P935" i="2" s="1"/>
  <c r="H927" i="2"/>
  <c r="I927" i="2" s="1"/>
  <c r="J927" i="2" s="1"/>
  <c r="K927" i="2" s="1"/>
  <c r="L927" i="2" s="1"/>
  <c r="M927" i="2" s="1"/>
  <c r="N927" i="2" s="1"/>
  <c r="O927" i="2" s="1"/>
  <c r="P927" i="2" s="1"/>
  <c r="H919" i="2"/>
  <c r="I919" i="2" s="1"/>
  <c r="J919" i="2" s="1"/>
  <c r="K919" i="2" s="1"/>
  <c r="L919" i="2" s="1"/>
  <c r="M919" i="2" s="1"/>
  <c r="N919" i="2" s="1"/>
  <c r="O919" i="2" s="1"/>
  <c r="P919" i="2" s="1"/>
  <c r="H911" i="2"/>
  <c r="I911" i="2" s="1"/>
  <c r="J911" i="2" s="1"/>
  <c r="K911" i="2" s="1"/>
  <c r="L911" i="2" s="1"/>
  <c r="M911" i="2" s="1"/>
  <c r="N911" i="2" s="1"/>
  <c r="O911" i="2" s="1"/>
  <c r="P911" i="2" s="1"/>
  <c r="H903" i="2"/>
  <c r="I903" i="2" s="1"/>
  <c r="J903" i="2" s="1"/>
  <c r="K903" i="2" s="1"/>
  <c r="L903" i="2" s="1"/>
  <c r="M903" i="2" s="1"/>
  <c r="N903" i="2" s="1"/>
  <c r="O903" i="2" s="1"/>
  <c r="P903" i="2" s="1"/>
  <c r="H895" i="2"/>
  <c r="I895" i="2" s="1"/>
  <c r="J895" i="2" s="1"/>
  <c r="K895" i="2" s="1"/>
  <c r="L895" i="2" s="1"/>
  <c r="M895" i="2" s="1"/>
  <c r="N895" i="2" s="1"/>
  <c r="O895" i="2" s="1"/>
  <c r="P895" i="2" s="1"/>
  <c r="H887" i="2"/>
  <c r="I887" i="2" s="1"/>
  <c r="J887" i="2" s="1"/>
  <c r="K887" i="2" s="1"/>
  <c r="L887" i="2" s="1"/>
  <c r="M887" i="2" s="1"/>
  <c r="N887" i="2" s="1"/>
  <c r="O887" i="2" s="1"/>
  <c r="P887" i="2" s="1"/>
  <c r="H879" i="2"/>
  <c r="I879" i="2" s="1"/>
  <c r="J879" i="2" s="1"/>
  <c r="K879" i="2" s="1"/>
  <c r="L879" i="2" s="1"/>
  <c r="M879" i="2" s="1"/>
  <c r="N879" i="2" s="1"/>
  <c r="O879" i="2" s="1"/>
  <c r="P879" i="2" s="1"/>
  <c r="H871" i="2"/>
  <c r="I871" i="2" s="1"/>
  <c r="J871" i="2" s="1"/>
  <c r="K871" i="2" s="1"/>
  <c r="L871" i="2" s="1"/>
  <c r="M871" i="2" s="1"/>
  <c r="N871" i="2" s="1"/>
  <c r="O871" i="2" s="1"/>
  <c r="P871" i="2" s="1"/>
  <c r="H863" i="2"/>
  <c r="I863" i="2" s="1"/>
  <c r="J863" i="2" s="1"/>
  <c r="K863" i="2" s="1"/>
  <c r="L863" i="2" s="1"/>
  <c r="M863" i="2" s="1"/>
  <c r="N863" i="2" s="1"/>
  <c r="O863" i="2" s="1"/>
  <c r="P863" i="2" s="1"/>
  <c r="H855" i="2"/>
  <c r="I855" i="2" s="1"/>
  <c r="J855" i="2" s="1"/>
  <c r="K855" i="2" s="1"/>
  <c r="L855" i="2" s="1"/>
  <c r="M855" i="2" s="1"/>
  <c r="N855" i="2" s="1"/>
  <c r="O855" i="2" s="1"/>
  <c r="P855" i="2" s="1"/>
  <c r="H847" i="2"/>
  <c r="I847" i="2" s="1"/>
  <c r="J847" i="2" s="1"/>
  <c r="K847" i="2" s="1"/>
  <c r="L847" i="2" s="1"/>
  <c r="M847" i="2" s="1"/>
  <c r="N847" i="2" s="1"/>
  <c r="O847" i="2" s="1"/>
  <c r="P847" i="2" s="1"/>
  <c r="H839" i="2"/>
  <c r="I839" i="2" s="1"/>
  <c r="J839" i="2" s="1"/>
  <c r="K839" i="2" s="1"/>
  <c r="L839" i="2" s="1"/>
  <c r="M839" i="2" s="1"/>
  <c r="N839" i="2" s="1"/>
  <c r="O839" i="2" s="1"/>
  <c r="P839" i="2" s="1"/>
  <c r="H831" i="2"/>
  <c r="I831" i="2" s="1"/>
  <c r="J831" i="2" s="1"/>
  <c r="K831" i="2" s="1"/>
  <c r="L831" i="2" s="1"/>
  <c r="M831" i="2" s="1"/>
  <c r="N831" i="2" s="1"/>
  <c r="O831" i="2" s="1"/>
  <c r="P831" i="2" s="1"/>
  <c r="H823" i="2"/>
  <c r="I823" i="2" s="1"/>
  <c r="J823" i="2" s="1"/>
  <c r="K823" i="2" s="1"/>
  <c r="L823" i="2" s="1"/>
  <c r="M823" i="2" s="1"/>
  <c r="N823" i="2" s="1"/>
  <c r="O823" i="2" s="1"/>
  <c r="P823" i="2" s="1"/>
  <c r="H815" i="2"/>
  <c r="I815" i="2" s="1"/>
  <c r="J815" i="2" s="1"/>
  <c r="K815" i="2" s="1"/>
  <c r="L815" i="2" s="1"/>
  <c r="M815" i="2" s="1"/>
  <c r="N815" i="2" s="1"/>
  <c r="O815" i="2" s="1"/>
  <c r="P815" i="2" s="1"/>
  <c r="H807" i="2"/>
  <c r="I807" i="2" s="1"/>
  <c r="J807" i="2" s="1"/>
  <c r="K807" i="2" s="1"/>
  <c r="L807" i="2" s="1"/>
  <c r="M807" i="2" s="1"/>
  <c r="N807" i="2" s="1"/>
  <c r="O807" i="2" s="1"/>
  <c r="P807" i="2" s="1"/>
  <c r="H799" i="2"/>
  <c r="I799" i="2" s="1"/>
  <c r="J799" i="2" s="1"/>
  <c r="K799" i="2" s="1"/>
  <c r="L799" i="2" s="1"/>
  <c r="M799" i="2" s="1"/>
  <c r="N799" i="2" s="1"/>
  <c r="O799" i="2" s="1"/>
  <c r="P799" i="2" s="1"/>
  <c r="H791" i="2"/>
  <c r="I791" i="2" s="1"/>
  <c r="J791" i="2" s="1"/>
  <c r="K791" i="2" s="1"/>
  <c r="L791" i="2" s="1"/>
  <c r="M791" i="2" s="1"/>
  <c r="N791" i="2" s="1"/>
  <c r="O791" i="2" s="1"/>
  <c r="P791" i="2" s="1"/>
  <c r="H783" i="2"/>
  <c r="I783" i="2" s="1"/>
  <c r="J783" i="2" s="1"/>
  <c r="K783" i="2" s="1"/>
  <c r="L783" i="2" s="1"/>
  <c r="M783" i="2" s="1"/>
  <c r="N783" i="2" s="1"/>
  <c r="O783" i="2" s="1"/>
  <c r="P783" i="2" s="1"/>
  <c r="H775" i="2"/>
  <c r="I775" i="2" s="1"/>
  <c r="J775" i="2" s="1"/>
  <c r="K775" i="2" s="1"/>
  <c r="L775" i="2" s="1"/>
  <c r="M775" i="2" s="1"/>
  <c r="N775" i="2" s="1"/>
  <c r="O775" i="2" s="1"/>
  <c r="P775" i="2" s="1"/>
  <c r="H767" i="2"/>
  <c r="I767" i="2" s="1"/>
  <c r="J767" i="2" s="1"/>
  <c r="K767" i="2" s="1"/>
  <c r="L767" i="2" s="1"/>
  <c r="M767" i="2" s="1"/>
  <c r="N767" i="2" s="1"/>
  <c r="O767" i="2" s="1"/>
  <c r="P767" i="2" s="1"/>
  <c r="H759" i="2"/>
  <c r="I759" i="2" s="1"/>
  <c r="J759" i="2" s="1"/>
  <c r="K759" i="2" s="1"/>
  <c r="L759" i="2" s="1"/>
  <c r="M759" i="2" s="1"/>
  <c r="N759" i="2" s="1"/>
  <c r="O759" i="2" s="1"/>
  <c r="P759" i="2" s="1"/>
  <c r="H751" i="2"/>
  <c r="I751" i="2" s="1"/>
  <c r="J751" i="2" s="1"/>
  <c r="K751" i="2" s="1"/>
  <c r="L751" i="2" s="1"/>
  <c r="M751" i="2" s="1"/>
  <c r="N751" i="2" s="1"/>
  <c r="O751" i="2" s="1"/>
  <c r="P751" i="2" s="1"/>
  <c r="H743" i="2"/>
  <c r="I743" i="2" s="1"/>
  <c r="J743" i="2" s="1"/>
  <c r="K743" i="2" s="1"/>
  <c r="L743" i="2" s="1"/>
  <c r="M743" i="2" s="1"/>
  <c r="N743" i="2" s="1"/>
  <c r="O743" i="2" s="1"/>
  <c r="P743" i="2" s="1"/>
  <c r="H735" i="2"/>
  <c r="I735" i="2" s="1"/>
  <c r="J735" i="2" s="1"/>
  <c r="K735" i="2" s="1"/>
  <c r="L735" i="2" s="1"/>
  <c r="M735" i="2" s="1"/>
  <c r="N735" i="2" s="1"/>
  <c r="O735" i="2" s="1"/>
  <c r="P735" i="2" s="1"/>
  <c r="H727" i="2"/>
  <c r="I727" i="2" s="1"/>
  <c r="J727" i="2" s="1"/>
  <c r="K727" i="2" s="1"/>
  <c r="L727" i="2" s="1"/>
  <c r="M727" i="2" s="1"/>
  <c r="N727" i="2" s="1"/>
  <c r="O727" i="2" s="1"/>
  <c r="P727" i="2" s="1"/>
  <c r="H719" i="2"/>
  <c r="I719" i="2" s="1"/>
  <c r="J719" i="2" s="1"/>
  <c r="K719" i="2" s="1"/>
  <c r="L719" i="2" s="1"/>
  <c r="M719" i="2" s="1"/>
  <c r="N719" i="2" s="1"/>
  <c r="O719" i="2" s="1"/>
  <c r="P719" i="2" s="1"/>
  <c r="H711" i="2"/>
  <c r="I711" i="2" s="1"/>
  <c r="J711" i="2" s="1"/>
  <c r="K711" i="2" s="1"/>
  <c r="L711" i="2" s="1"/>
  <c r="M711" i="2" s="1"/>
  <c r="N711" i="2" s="1"/>
  <c r="O711" i="2" s="1"/>
  <c r="P711" i="2" s="1"/>
  <c r="H703" i="2"/>
  <c r="I703" i="2" s="1"/>
  <c r="J703" i="2" s="1"/>
  <c r="K703" i="2" s="1"/>
  <c r="L703" i="2" s="1"/>
  <c r="M703" i="2" s="1"/>
  <c r="N703" i="2" s="1"/>
  <c r="O703" i="2" s="1"/>
  <c r="P703" i="2" s="1"/>
  <c r="H695" i="2"/>
  <c r="I695" i="2" s="1"/>
  <c r="J695" i="2" s="1"/>
  <c r="K695" i="2" s="1"/>
  <c r="L695" i="2" s="1"/>
  <c r="M695" i="2" s="1"/>
  <c r="N695" i="2" s="1"/>
  <c r="O695" i="2" s="1"/>
  <c r="P695" i="2" s="1"/>
  <c r="H687" i="2"/>
  <c r="I687" i="2" s="1"/>
  <c r="J687" i="2" s="1"/>
  <c r="K687" i="2" s="1"/>
  <c r="L687" i="2" s="1"/>
  <c r="M687" i="2" s="1"/>
  <c r="N687" i="2" s="1"/>
  <c r="O687" i="2" s="1"/>
  <c r="P687" i="2" s="1"/>
  <c r="H679" i="2"/>
  <c r="I679" i="2" s="1"/>
  <c r="J679" i="2" s="1"/>
  <c r="K679" i="2" s="1"/>
  <c r="L679" i="2" s="1"/>
  <c r="M679" i="2" s="1"/>
  <c r="N679" i="2" s="1"/>
  <c r="O679" i="2" s="1"/>
  <c r="P679" i="2" s="1"/>
  <c r="H671" i="2"/>
  <c r="I671" i="2" s="1"/>
  <c r="J671" i="2" s="1"/>
  <c r="K671" i="2" s="1"/>
  <c r="L671" i="2" s="1"/>
  <c r="M671" i="2" s="1"/>
  <c r="N671" i="2" s="1"/>
  <c r="O671" i="2" s="1"/>
  <c r="P671" i="2" s="1"/>
  <c r="H655" i="2"/>
  <c r="I655" i="2" s="1"/>
  <c r="J655" i="2" s="1"/>
  <c r="K655" i="2" s="1"/>
  <c r="L655" i="2" s="1"/>
  <c r="M655" i="2" s="1"/>
  <c r="N655" i="2" s="1"/>
  <c r="O655" i="2" s="1"/>
  <c r="P655" i="2" s="1"/>
  <c r="H631" i="2"/>
  <c r="I631" i="2" s="1"/>
  <c r="J631" i="2" s="1"/>
  <c r="K631" i="2" s="1"/>
  <c r="L631" i="2" s="1"/>
  <c r="M631" i="2" s="1"/>
  <c r="N631" i="2" s="1"/>
  <c r="O631" i="2" s="1"/>
  <c r="P631" i="2" s="1"/>
  <c r="H623" i="2"/>
  <c r="I623" i="2" s="1"/>
  <c r="J623" i="2" s="1"/>
  <c r="K623" i="2" s="1"/>
  <c r="L623" i="2" s="1"/>
  <c r="M623" i="2" s="1"/>
  <c r="N623" i="2" s="1"/>
  <c r="O623" i="2" s="1"/>
  <c r="P623" i="2" s="1"/>
  <c r="H615" i="2"/>
  <c r="I615" i="2" s="1"/>
  <c r="J615" i="2" s="1"/>
  <c r="K615" i="2" s="1"/>
  <c r="L615" i="2" s="1"/>
  <c r="M615" i="2" s="1"/>
  <c r="N615" i="2" s="1"/>
  <c r="O615" i="2" s="1"/>
  <c r="P615" i="2" s="1"/>
  <c r="H607" i="2"/>
  <c r="I607" i="2" s="1"/>
  <c r="J607" i="2" s="1"/>
  <c r="K607" i="2" s="1"/>
  <c r="L607" i="2" s="1"/>
  <c r="M607" i="2" s="1"/>
  <c r="N607" i="2" s="1"/>
  <c r="O607" i="2" s="1"/>
  <c r="P607" i="2" s="1"/>
  <c r="H591" i="2"/>
  <c r="I591" i="2" s="1"/>
  <c r="J591" i="2" s="1"/>
  <c r="K591" i="2" s="1"/>
  <c r="L591" i="2" s="1"/>
  <c r="M591" i="2" s="1"/>
  <c r="N591" i="2" s="1"/>
  <c r="O591" i="2" s="1"/>
  <c r="P591" i="2" s="1"/>
  <c r="H575" i="2"/>
  <c r="I575" i="2" s="1"/>
  <c r="J575" i="2" s="1"/>
  <c r="K575" i="2" s="1"/>
  <c r="L575" i="2" s="1"/>
  <c r="M575" i="2" s="1"/>
  <c r="N575" i="2" s="1"/>
  <c r="O575" i="2" s="1"/>
  <c r="P575" i="2" s="1"/>
  <c r="Q575" i="2" s="1"/>
  <c r="R575" i="2" s="1"/>
  <c r="S575" i="2" s="1"/>
  <c r="H567" i="2"/>
  <c r="I567" i="2" s="1"/>
  <c r="J567" i="2" s="1"/>
  <c r="K567" i="2" s="1"/>
  <c r="L567" i="2" s="1"/>
  <c r="M567" i="2" s="1"/>
  <c r="N567" i="2" s="1"/>
  <c r="O567" i="2" s="1"/>
  <c r="P567" i="2" s="1"/>
  <c r="H559" i="2"/>
  <c r="I559" i="2" s="1"/>
  <c r="J559" i="2" s="1"/>
  <c r="K559" i="2" s="1"/>
  <c r="L559" i="2" s="1"/>
  <c r="M559" i="2" s="1"/>
  <c r="N559" i="2" s="1"/>
  <c r="O559" i="2" s="1"/>
  <c r="P559" i="2" s="1"/>
  <c r="H551" i="2"/>
  <c r="I551" i="2" s="1"/>
  <c r="J551" i="2" s="1"/>
  <c r="K551" i="2" s="1"/>
  <c r="L551" i="2" s="1"/>
  <c r="M551" i="2" s="1"/>
  <c r="N551" i="2" s="1"/>
  <c r="O551" i="2" s="1"/>
  <c r="P551" i="2" s="1"/>
  <c r="H543" i="2"/>
  <c r="I543" i="2" s="1"/>
  <c r="J543" i="2" s="1"/>
  <c r="K543" i="2" s="1"/>
  <c r="L543" i="2" s="1"/>
  <c r="M543" i="2" s="1"/>
  <c r="N543" i="2" s="1"/>
  <c r="O543" i="2" s="1"/>
  <c r="P543" i="2" s="1"/>
  <c r="H535" i="2"/>
  <c r="I535" i="2" s="1"/>
  <c r="J535" i="2" s="1"/>
  <c r="K535" i="2" s="1"/>
  <c r="L535" i="2" s="1"/>
  <c r="M535" i="2" s="1"/>
  <c r="N535" i="2" s="1"/>
  <c r="O535" i="2" s="1"/>
  <c r="P535" i="2" s="1"/>
  <c r="H527" i="2"/>
  <c r="I527" i="2" s="1"/>
  <c r="J527" i="2" s="1"/>
  <c r="K527" i="2" s="1"/>
  <c r="L527" i="2" s="1"/>
  <c r="M527" i="2" s="1"/>
  <c r="N527" i="2" s="1"/>
  <c r="O527" i="2" s="1"/>
  <c r="P527" i="2" s="1"/>
  <c r="H519" i="2"/>
  <c r="I519" i="2" s="1"/>
  <c r="J519" i="2" s="1"/>
  <c r="K519" i="2" s="1"/>
  <c r="L519" i="2" s="1"/>
  <c r="M519" i="2" s="1"/>
  <c r="N519" i="2" s="1"/>
  <c r="O519" i="2" s="1"/>
  <c r="P519" i="2" s="1"/>
  <c r="H511" i="2"/>
  <c r="I511" i="2" s="1"/>
  <c r="J511" i="2" s="1"/>
  <c r="K511" i="2" s="1"/>
  <c r="L511" i="2" s="1"/>
  <c r="M511" i="2" s="1"/>
  <c r="N511" i="2" s="1"/>
  <c r="O511" i="2" s="1"/>
  <c r="P511" i="2" s="1"/>
  <c r="H503" i="2"/>
  <c r="I503" i="2" s="1"/>
  <c r="J503" i="2" s="1"/>
  <c r="K503" i="2" s="1"/>
  <c r="L503" i="2" s="1"/>
  <c r="M503" i="2" s="1"/>
  <c r="N503" i="2" s="1"/>
  <c r="O503" i="2" s="1"/>
  <c r="P503" i="2" s="1"/>
  <c r="H495" i="2"/>
  <c r="I495" i="2" s="1"/>
  <c r="J495" i="2" s="1"/>
  <c r="K495" i="2" s="1"/>
  <c r="L495" i="2" s="1"/>
  <c r="M495" i="2" s="1"/>
  <c r="N495" i="2" s="1"/>
  <c r="O495" i="2" s="1"/>
  <c r="P495" i="2" s="1"/>
  <c r="H487" i="2"/>
  <c r="I487" i="2" s="1"/>
  <c r="J487" i="2" s="1"/>
  <c r="K487" i="2" s="1"/>
  <c r="L487" i="2" s="1"/>
  <c r="M487" i="2" s="1"/>
  <c r="N487" i="2" s="1"/>
  <c r="O487" i="2" s="1"/>
  <c r="P487" i="2" s="1"/>
  <c r="H479" i="2"/>
  <c r="I479" i="2" s="1"/>
  <c r="J479" i="2" s="1"/>
  <c r="K479" i="2" s="1"/>
  <c r="L479" i="2" s="1"/>
  <c r="M479" i="2" s="1"/>
  <c r="N479" i="2" s="1"/>
  <c r="O479" i="2" s="1"/>
  <c r="P479" i="2" s="1"/>
  <c r="H471" i="2"/>
  <c r="I471" i="2" s="1"/>
  <c r="J471" i="2" s="1"/>
  <c r="K471" i="2" s="1"/>
  <c r="L471" i="2" s="1"/>
  <c r="M471" i="2" s="1"/>
  <c r="N471" i="2" s="1"/>
  <c r="O471" i="2" s="1"/>
  <c r="P471" i="2" s="1"/>
  <c r="H463" i="2"/>
  <c r="I463" i="2" s="1"/>
  <c r="J463" i="2" s="1"/>
  <c r="K463" i="2" s="1"/>
  <c r="L463" i="2" s="1"/>
  <c r="M463" i="2" s="1"/>
  <c r="N463" i="2" s="1"/>
  <c r="O463" i="2" s="1"/>
  <c r="P463" i="2" s="1"/>
  <c r="H455" i="2"/>
  <c r="I455" i="2" s="1"/>
  <c r="J455" i="2" s="1"/>
  <c r="K455" i="2" s="1"/>
  <c r="L455" i="2" s="1"/>
  <c r="M455" i="2" s="1"/>
  <c r="N455" i="2" s="1"/>
  <c r="O455" i="2" s="1"/>
  <c r="P455" i="2" s="1"/>
  <c r="H447" i="2"/>
  <c r="I447" i="2" s="1"/>
  <c r="J447" i="2" s="1"/>
  <c r="K447" i="2" s="1"/>
  <c r="L447" i="2" s="1"/>
  <c r="M447" i="2" s="1"/>
  <c r="N447" i="2" s="1"/>
  <c r="O447" i="2" s="1"/>
  <c r="P447" i="2" s="1"/>
  <c r="H439" i="2"/>
  <c r="I439" i="2" s="1"/>
  <c r="J439" i="2" s="1"/>
  <c r="K439" i="2" s="1"/>
  <c r="L439" i="2" s="1"/>
  <c r="M439" i="2" s="1"/>
  <c r="N439" i="2" s="1"/>
  <c r="O439" i="2" s="1"/>
  <c r="P439" i="2" s="1"/>
  <c r="H431" i="2"/>
  <c r="I431" i="2" s="1"/>
  <c r="J431" i="2" s="1"/>
  <c r="K431" i="2" s="1"/>
  <c r="L431" i="2" s="1"/>
  <c r="M431" i="2" s="1"/>
  <c r="N431" i="2" s="1"/>
  <c r="O431" i="2" s="1"/>
  <c r="P431" i="2" s="1"/>
  <c r="Q431" i="2" s="1"/>
  <c r="R431" i="2" s="1"/>
  <c r="S431" i="2" s="1"/>
  <c r="H423" i="2"/>
  <c r="I423" i="2" s="1"/>
  <c r="J423" i="2" s="1"/>
  <c r="K423" i="2" s="1"/>
  <c r="L423" i="2" s="1"/>
  <c r="M423" i="2" s="1"/>
  <c r="N423" i="2" s="1"/>
  <c r="O423" i="2" s="1"/>
  <c r="P423" i="2" s="1"/>
  <c r="H415" i="2"/>
  <c r="I415" i="2" s="1"/>
  <c r="J415" i="2" s="1"/>
  <c r="K415" i="2" s="1"/>
  <c r="L415" i="2" s="1"/>
  <c r="M415" i="2" s="1"/>
  <c r="N415" i="2" s="1"/>
  <c r="O415" i="2" s="1"/>
  <c r="P415" i="2" s="1"/>
  <c r="H407" i="2"/>
  <c r="I407" i="2" s="1"/>
  <c r="J407" i="2" s="1"/>
  <c r="K407" i="2" s="1"/>
  <c r="L407" i="2" s="1"/>
  <c r="M407" i="2" s="1"/>
  <c r="N407" i="2" s="1"/>
  <c r="O407" i="2" s="1"/>
  <c r="P407" i="2" s="1"/>
  <c r="H399" i="2"/>
  <c r="I399" i="2" s="1"/>
  <c r="J399" i="2" s="1"/>
  <c r="K399" i="2" s="1"/>
  <c r="L399" i="2" s="1"/>
  <c r="M399" i="2" s="1"/>
  <c r="N399" i="2" s="1"/>
  <c r="O399" i="2" s="1"/>
  <c r="P399" i="2" s="1"/>
  <c r="H391" i="2"/>
  <c r="I391" i="2" s="1"/>
  <c r="J391" i="2" s="1"/>
  <c r="K391" i="2" s="1"/>
  <c r="L391" i="2" s="1"/>
  <c r="M391" i="2" s="1"/>
  <c r="N391" i="2" s="1"/>
  <c r="O391" i="2" s="1"/>
  <c r="P391" i="2" s="1"/>
  <c r="H383" i="2"/>
  <c r="I383" i="2" s="1"/>
  <c r="J383" i="2" s="1"/>
  <c r="K383" i="2" s="1"/>
  <c r="L383" i="2" s="1"/>
  <c r="M383" i="2" s="1"/>
  <c r="N383" i="2" s="1"/>
  <c r="O383" i="2" s="1"/>
  <c r="P383" i="2" s="1"/>
  <c r="H375" i="2"/>
  <c r="I375" i="2" s="1"/>
  <c r="J375" i="2" s="1"/>
  <c r="K375" i="2" s="1"/>
  <c r="L375" i="2" s="1"/>
  <c r="M375" i="2" s="1"/>
  <c r="N375" i="2" s="1"/>
  <c r="O375" i="2" s="1"/>
  <c r="P375" i="2" s="1"/>
  <c r="H367" i="2"/>
  <c r="I367" i="2" s="1"/>
  <c r="J367" i="2" s="1"/>
  <c r="K367" i="2" s="1"/>
  <c r="L367" i="2" s="1"/>
  <c r="M367" i="2" s="1"/>
  <c r="N367" i="2" s="1"/>
  <c r="O367" i="2" s="1"/>
  <c r="P367" i="2" s="1"/>
  <c r="H359" i="2"/>
  <c r="I359" i="2" s="1"/>
  <c r="J359" i="2" s="1"/>
  <c r="K359" i="2" s="1"/>
  <c r="L359" i="2" s="1"/>
  <c r="M359" i="2" s="1"/>
  <c r="N359" i="2" s="1"/>
  <c r="O359" i="2" s="1"/>
  <c r="P359" i="2" s="1"/>
  <c r="H351" i="2"/>
  <c r="I351" i="2" s="1"/>
  <c r="J351" i="2" s="1"/>
  <c r="K351" i="2" s="1"/>
  <c r="L351" i="2" s="1"/>
  <c r="M351" i="2" s="1"/>
  <c r="N351" i="2" s="1"/>
  <c r="O351" i="2" s="1"/>
  <c r="P351" i="2" s="1"/>
  <c r="H343" i="2"/>
  <c r="I343" i="2" s="1"/>
  <c r="J343" i="2" s="1"/>
  <c r="K343" i="2" s="1"/>
  <c r="L343" i="2" s="1"/>
  <c r="M343" i="2" s="1"/>
  <c r="N343" i="2" s="1"/>
  <c r="O343" i="2" s="1"/>
  <c r="P343" i="2" s="1"/>
  <c r="H335" i="2"/>
  <c r="I335" i="2" s="1"/>
  <c r="J335" i="2" s="1"/>
  <c r="K335" i="2" s="1"/>
  <c r="L335" i="2" s="1"/>
  <c r="M335" i="2" s="1"/>
  <c r="N335" i="2" s="1"/>
  <c r="O335" i="2" s="1"/>
  <c r="P335" i="2" s="1"/>
  <c r="H327" i="2"/>
  <c r="I327" i="2" s="1"/>
  <c r="J327" i="2" s="1"/>
  <c r="K327" i="2" s="1"/>
  <c r="L327" i="2" s="1"/>
  <c r="M327" i="2" s="1"/>
  <c r="N327" i="2" s="1"/>
  <c r="O327" i="2" s="1"/>
  <c r="P327" i="2" s="1"/>
  <c r="H319" i="2"/>
  <c r="I319" i="2" s="1"/>
  <c r="J319" i="2" s="1"/>
  <c r="K319" i="2" s="1"/>
  <c r="L319" i="2" s="1"/>
  <c r="M319" i="2" s="1"/>
  <c r="N319" i="2" s="1"/>
  <c r="O319" i="2" s="1"/>
  <c r="P319" i="2" s="1"/>
  <c r="H311" i="2"/>
  <c r="I311" i="2" s="1"/>
  <c r="J311" i="2" s="1"/>
  <c r="K311" i="2" s="1"/>
  <c r="L311" i="2" s="1"/>
  <c r="M311" i="2" s="1"/>
  <c r="N311" i="2" s="1"/>
  <c r="O311" i="2" s="1"/>
  <c r="P311" i="2" s="1"/>
  <c r="H303" i="2"/>
  <c r="I303" i="2" s="1"/>
  <c r="J303" i="2" s="1"/>
  <c r="K303" i="2" s="1"/>
  <c r="L303" i="2" s="1"/>
  <c r="M303" i="2" s="1"/>
  <c r="N303" i="2" s="1"/>
  <c r="O303" i="2" s="1"/>
  <c r="P303" i="2" s="1"/>
  <c r="H295" i="2"/>
  <c r="I295" i="2" s="1"/>
  <c r="J295" i="2" s="1"/>
  <c r="K295" i="2" s="1"/>
  <c r="L295" i="2" s="1"/>
  <c r="M295" i="2" s="1"/>
  <c r="N295" i="2" s="1"/>
  <c r="O295" i="2" s="1"/>
  <c r="P295" i="2" s="1"/>
  <c r="H287" i="2"/>
  <c r="I287" i="2" s="1"/>
  <c r="J287" i="2" s="1"/>
  <c r="K287" i="2" s="1"/>
  <c r="L287" i="2" s="1"/>
  <c r="M287" i="2" s="1"/>
  <c r="N287" i="2" s="1"/>
  <c r="O287" i="2" s="1"/>
  <c r="P287" i="2" s="1"/>
  <c r="H279" i="2"/>
  <c r="I279" i="2" s="1"/>
  <c r="J279" i="2" s="1"/>
  <c r="K279" i="2" s="1"/>
  <c r="L279" i="2" s="1"/>
  <c r="M279" i="2" s="1"/>
  <c r="N279" i="2" s="1"/>
  <c r="O279" i="2" s="1"/>
  <c r="P279" i="2" s="1"/>
  <c r="H271" i="2"/>
  <c r="I271" i="2" s="1"/>
  <c r="J271" i="2" s="1"/>
  <c r="K271" i="2" s="1"/>
  <c r="L271" i="2" s="1"/>
  <c r="M271" i="2" s="1"/>
  <c r="N271" i="2" s="1"/>
  <c r="O271" i="2" s="1"/>
  <c r="P271" i="2" s="1"/>
  <c r="H263" i="2"/>
  <c r="I263" i="2" s="1"/>
  <c r="J263" i="2" s="1"/>
  <c r="K263" i="2" s="1"/>
  <c r="L263" i="2" s="1"/>
  <c r="M263" i="2" s="1"/>
  <c r="N263" i="2" s="1"/>
  <c r="O263" i="2" s="1"/>
  <c r="P263" i="2" s="1"/>
  <c r="H255" i="2"/>
  <c r="I255" i="2" s="1"/>
  <c r="J255" i="2" s="1"/>
  <c r="K255" i="2" s="1"/>
  <c r="L255" i="2" s="1"/>
  <c r="M255" i="2" s="1"/>
  <c r="N255" i="2" s="1"/>
  <c r="O255" i="2" s="1"/>
  <c r="P255" i="2" s="1"/>
  <c r="H247" i="2"/>
  <c r="I247" i="2" s="1"/>
  <c r="J247" i="2" s="1"/>
  <c r="K247" i="2" s="1"/>
  <c r="L247" i="2" s="1"/>
  <c r="M247" i="2" s="1"/>
  <c r="N247" i="2" s="1"/>
  <c r="O247" i="2" s="1"/>
  <c r="P247" i="2" s="1"/>
  <c r="H239" i="2"/>
  <c r="I239" i="2" s="1"/>
  <c r="J239" i="2" s="1"/>
  <c r="K239" i="2" s="1"/>
  <c r="L239" i="2" s="1"/>
  <c r="M239" i="2" s="1"/>
  <c r="N239" i="2" s="1"/>
  <c r="O239" i="2" s="1"/>
  <c r="P239" i="2" s="1"/>
  <c r="Q985" i="2"/>
  <c r="R985" i="2" s="1"/>
  <c r="S985" i="2" s="1"/>
  <c r="Q966" i="2"/>
  <c r="R966" i="2" s="1"/>
  <c r="S966" i="2" s="1"/>
  <c r="Q944" i="2"/>
  <c r="R944" i="2" s="1"/>
  <c r="S944" i="2" s="1"/>
  <c r="Q921" i="2"/>
  <c r="R921" i="2" s="1"/>
  <c r="S921" i="2" s="1"/>
  <c r="Q902" i="2"/>
  <c r="R902" i="2" s="1"/>
  <c r="S902" i="2" s="1"/>
  <c r="Q880" i="2"/>
  <c r="R880" i="2" s="1"/>
  <c r="S880" i="2" s="1"/>
  <c r="Q857" i="2"/>
  <c r="R857" i="2" s="1"/>
  <c r="S857" i="2" s="1"/>
  <c r="Q838" i="2"/>
  <c r="R838" i="2" s="1"/>
  <c r="S838" i="2" s="1"/>
  <c r="Q816" i="2"/>
  <c r="R816" i="2" s="1"/>
  <c r="S816" i="2" s="1"/>
  <c r="Q793" i="2"/>
  <c r="R793" i="2" s="1"/>
  <c r="S793" i="2" s="1"/>
  <c r="Q774" i="2"/>
  <c r="R774" i="2" s="1"/>
  <c r="S774" i="2" s="1"/>
  <c r="Q752" i="2"/>
  <c r="R752" i="2" s="1"/>
  <c r="S752" i="2" s="1"/>
  <c r="Q729" i="2"/>
  <c r="R729" i="2" s="1"/>
  <c r="S729" i="2" s="1"/>
  <c r="Q710" i="2"/>
  <c r="R710" i="2" s="1"/>
  <c r="S710" i="2" s="1"/>
  <c r="Q688" i="2"/>
  <c r="R688" i="2" s="1"/>
  <c r="S688" i="2" s="1"/>
  <c r="Q651" i="2"/>
  <c r="R651" i="2" s="1"/>
  <c r="S651" i="2" s="1"/>
  <c r="Q622" i="2"/>
  <c r="R622" i="2" s="1"/>
  <c r="S622" i="2" s="1"/>
  <c r="Q586" i="2"/>
  <c r="R586" i="2" s="1"/>
  <c r="S586" i="2" s="1"/>
  <c r="Q531" i="2"/>
  <c r="R531" i="2" s="1"/>
  <c r="S531" i="2" s="1"/>
  <c r="Q480" i="2"/>
  <c r="R480" i="2" s="1"/>
  <c r="S480" i="2" s="1"/>
  <c r="Q422" i="2"/>
  <c r="R422" i="2" s="1"/>
  <c r="S422" i="2" s="1"/>
  <c r="Q310" i="2"/>
  <c r="R310" i="2" s="1"/>
  <c r="S310" i="2" s="1"/>
  <c r="Q139" i="2"/>
  <c r="R139" i="2" s="1"/>
  <c r="S139" i="2" s="1"/>
  <c r="H673" i="2"/>
  <c r="I673" i="2" s="1"/>
  <c r="J673" i="2" s="1"/>
  <c r="K673" i="2" s="1"/>
  <c r="L673" i="2" s="1"/>
  <c r="M673" i="2" s="1"/>
  <c r="N673" i="2" s="1"/>
  <c r="O673" i="2" s="1"/>
  <c r="P673" i="2" s="1"/>
  <c r="H617" i="2"/>
  <c r="I617" i="2" s="1"/>
  <c r="J617" i="2" s="1"/>
  <c r="K617" i="2" s="1"/>
  <c r="L617" i="2" s="1"/>
  <c r="M617" i="2" s="1"/>
  <c r="N617" i="2" s="1"/>
  <c r="O617" i="2" s="1"/>
  <c r="P617" i="2" s="1"/>
  <c r="H545" i="2"/>
  <c r="I545" i="2" s="1"/>
  <c r="J545" i="2" s="1"/>
  <c r="K545" i="2" s="1"/>
  <c r="L545" i="2" s="1"/>
  <c r="M545" i="2" s="1"/>
  <c r="N545" i="2" s="1"/>
  <c r="O545" i="2" s="1"/>
  <c r="P545" i="2" s="1"/>
  <c r="H489" i="2"/>
  <c r="I489" i="2" s="1"/>
  <c r="J489" i="2" s="1"/>
  <c r="K489" i="2" s="1"/>
  <c r="L489" i="2" s="1"/>
  <c r="M489" i="2" s="1"/>
  <c r="N489" i="2" s="1"/>
  <c r="O489" i="2" s="1"/>
  <c r="P489" i="2" s="1"/>
  <c r="H433" i="2"/>
  <c r="I433" i="2" s="1"/>
  <c r="J433" i="2" s="1"/>
  <c r="K433" i="2" s="1"/>
  <c r="L433" i="2" s="1"/>
  <c r="M433" i="2" s="1"/>
  <c r="N433" i="2" s="1"/>
  <c r="O433" i="2" s="1"/>
  <c r="P433" i="2" s="1"/>
  <c r="H377" i="2"/>
  <c r="I377" i="2" s="1"/>
  <c r="J377" i="2" s="1"/>
  <c r="K377" i="2" s="1"/>
  <c r="L377" i="2" s="1"/>
  <c r="M377" i="2" s="1"/>
  <c r="N377" i="2" s="1"/>
  <c r="O377" i="2" s="1"/>
  <c r="P377" i="2" s="1"/>
  <c r="H321" i="2"/>
  <c r="I321" i="2" s="1"/>
  <c r="J321" i="2" s="1"/>
  <c r="K321" i="2" s="1"/>
  <c r="L321" i="2" s="1"/>
  <c r="M321" i="2" s="1"/>
  <c r="N321" i="2" s="1"/>
  <c r="O321" i="2" s="1"/>
  <c r="P321" i="2" s="1"/>
  <c r="Q321" i="2" s="1"/>
  <c r="R321" i="2" s="1"/>
  <c r="S321" i="2" s="1"/>
  <c r="H249" i="2"/>
  <c r="I249" i="2" s="1"/>
  <c r="J249" i="2" s="1"/>
  <c r="K249" i="2" s="1"/>
  <c r="L249" i="2" s="1"/>
  <c r="M249" i="2" s="1"/>
  <c r="N249" i="2" s="1"/>
  <c r="O249" i="2" s="1"/>
  <c r="P249" i="2" s="1"/>
  <c r="H113" i="2"/>
  <c r="I113" i="2" s="1"/>
  <c r="J113" i="2" s="1"/>
  <c r="K113" i="2" s="1"/>
  <c r="L113" i="2" s="1"/>
  <c r="M113" i="2" s="1"/>
  <c r="N113" i="2" s="1"/>
  <c r="O113" i="2" s="1"/>
  <c r="P113" i="2" s="1"/>
  <c r="H670" i="2"/>
  <c r="I670" i="2" s="1"/>
  <c r="J670" i="2" s="1"/>
  <c r="K670" i="2" s="1"/>
  <c r="L670" i="2" s="1"/>
  <c r="M670" i="2" s="1"/>
  <c r="N670" i="2" s="1"/>
  <c r="O670" i="2" s="1"/>
  <c r="P670" i="2" s="1"/>
  <c r="H662" i="2"/>
  <c r="I662" i="2" s="1"/>
  <c r="J662" i="2" s="1"/>
  <c r="K662" i="2" s="1"/>
  <c r="L662" i="2" s="1"/>
  <c r="M662" i="2" s="1"/>
  <c r="N662" i="2" s="1"/>
  <c r="O662" i="2" s="1"/>
  <c r="P662" i="2" s="1"/>
  <c r="H654" i="2"/>
  <c r="I654" i="2" s="1"/>
  <c r="J654" i="2" s="1"/>
  <c r="K654" i="2" s="1"/>
  <c r="L654" i="2" s="1"/>
  <c r="M654" i="2" s="1"/>
  <c r="N654" i="2" s="1"/>
  <c r="O654" i="2" s="1"/>
  <c r="P654" i="2" s="1"/>
  <c r="H646" i="2"/>
  <c r="I646" i="2" s="1"/>
  <c r="J646" i="2" s="1"/>
  <c r="K646" i="2" s="1"/>
  <c r="L646" i="2" s="1"/>
  <c r="M646" i="2" s="1"/>
  <c r="N646" i="2" s="1"/>
  <c r="O646" i="2" s="1"/>
  <c r="P646" i="2" s="1"/>
  <c r="H630" i="2"/>
  <c r="I630" i="2" s="1"/>
  <c r="J630" i="2" s="1"/>
  <c r="K630" i="2" s="1"/>
  <c r="L630" i="2" s="1"/>
  <c r="M630" i="2" s="1"/>
  <c r="N630" i="2" s="1"/>
  <c r="O630" i="2" s="1"/>
  <c r="P630" i="2" s="1"/>
  <c r="H606" i="2"/>
  <c r="I606" i="2" s="1"/>
  <c r="J606" i="2" s="1"/>
  <c r="K606" i="2" s="1"/>
  <c r="L606" i="2" s="1"/>
  <c r="M606" i="2" s="1"/>
  <c r="N606" i="2" s="1"/>
  <c r="O606" i="2" s="1"/>
  <c r="P606" i="2" s="1"/>
  <c r="H598" i="2"/>
  <c r="I598" i="2" s="1"/>
  <c r="J598" i="2" s="1"/>
  <c r="K598" i="2" s="1"/>
  <c r="L598" i="2" s="1"/>
  <c r="M598" i="2" s="1"/>
  <c r="N598" i="2" s="1"/>
  <c r="O598" i="2" s="1"/>
  <c r="P598" i="2" s="1"/>
  <c r="H590" i="2"/>
  <c r="I590" i="2" s="1"/>
  <c r="J590" i="2" s="1"/>
  <c r="K590" i="2" s="1"/>
  <c r="L590" i="2" s="1"/>
  <c r="M590" i="2" s="1"/>
  <c r="N590" i="2" s="1"/>
  <c r="O590" i="2" s="1"/>
  <c r="P590" i="2" s="1"/>
  <c r="H582" i="2"/>
  <c r="I582" i="2" s="1"/>
  <c r="J582" i="2" s="1"/>
  <c r="K582" i="2" s="1"/>
  <c r="L582" i="2" s="1"/>
  <c r="M582" i="2" s="1"/>
  <c r="N582" i="2" s="1"/>
  <c r="O582" i="2" s="1"/>
  <c r="P582" i="2" s="1"/>
  <c r="H558" i="2"/>
  <c r="I558" i="2" s="1"/>
  <c r="J558" i="2" s="1"/>
  <c r="K558" i="2" s="1"/>
  <c r="L558" i="2" s="1"/>
  <c r="M558" i="2" s="1"/>
  <c r="N558" i="2" s="1"/>
  <c r="O558" i="2" s="1"/>
  <c r="P558" i="2" s="1"/>
  <c r="H542" i="2"/>
  <c r="I542" i="2" s="1"/>
  <c r="J542" i="2" s="1"/>
  <c r="K542" i="2" s="1"/>
  <c r="L542" i="2" s="1"/>
  <c r="M542" i="2" s="1"/>
  <c r="N542" i="2" s="1"/>
  <c r="O542" i="2" s="1"/>
  <c r="P542" i="2" s="1"/>
  <c r="H534" i="2"/>
  <c r="I534" i="2" s="1"/>
  <c r="J534" i="2" s="1"/>
  <c r="K534" i="2" s="1"/>
  <c r="L534" i="2" s="1"/>
  <c r="M534" i="2" s="1"/>
  <c r="N534" i="2" s="1"/>
  <c r="O534" i="2" s="1"/>
  <c r="P534" i="2" s="1"/>
  <c r="H526" i="2"/>
  <c r="I526" i="2" s="1"/>
  <c r="J526" i="2" s="1"/>
  <c r="K526" i="2" s="1"/>
  <c r="L526" i="2" s="1"/>
  <c r="M526" i="2" s="1"/>
  <c r="N526" i="2" s="1"/>
  <c r="O526" i="2" s="1"/>
  <c r="P526" i="2" s="1"/>
  <c r="H518" i="2"/>
  <c r="I518" i="2" s="1"/>
  <c r="J518" i="2" s="1"/>
  <c r="K518" i="2" s="1"/>
  <c r="L518" i="2" s="1"/>
  <c r="M518" i="2" s="1"/>
  <c r="N518" i="2" s="1"/>
  <c r="O518" i="2" s="1"/>
  <c r="P518" i="2" s="1"/>
  <c r="H494" i="2"/>
  <c r="I494" i="2" s="1"/>
  <c r="J494" i="2" s="1"/>
  <c r="K494" i="2" s="1"/>
  <c r="L494" i="2" s="1"/>
  <c r="M494" i="2" s="1"/>
  <c r="N494" i="2" s="1"/>
  <c r="O494" i="2" s="1"/>
  <c r="P494" i="2" s="1"/>
  <c r="H478" i="2"/>
  <c r="I478" i="2" s="1"/>
  <c r="J478" i="2" s="1"/>
  <c r="K478" i="2" s="1"/>
  <c r="L478" i="2" s="1"/>
  <c r="M478" i="2" s="1"/>
  <c r="N478" i="2" s="1"/>
  <c r="O478" i="2" s="1"/>
  <c r="P478" i="2" s="1"/>
  <c r="H470" i="2"/>
  <c r="I470" i="2" s="1"/>
  <c r="J470" i="2" s="1"/>
  <c r="K470" i="2" s="1"/>
  <c r="L470" i="2" s="1"/>
  <c r="M470" i="2" s="1"/>
  <c r="N470" i="2" s="1"/>
  <c r="O470" i="2" s="1"/>
  <c r="P470" i="2" s="1"/>
  <c r="H462" i="2"/>
  <c r="I462" i="2" s="1"/>
  <c r="J462" i="2" s="1"/>
  <c r="K462" i="2" s="1"/>
  <c r="L462" i="2" s="1"/>
  <c r="M462" i="2" s="1"/>
  <c r="N462" i="2" s="1"/>
  <c r="O462" i="2" s="1"/>
  <c r="P462" i="2" s="1"/>
  <c r="H454" i="2"/>
  <c r="I454" i="2" s="1"/>
  <c r="J454" i="2" s="1"/>
  <c r="K454" i="2" s="1"/>
  <c r="L454" i="2" s="1"/>
  <c r="M454" i="2" s="1"/>
  <c r="N454" i="2" s="1"/>
  <c r="O454" i="2" s="1"/>
  <c r="P454" i="2" s="1"/>
  <c r="H430" i="2"/>
  <c r="I430" i="2" s="1"/>
  <c r="J430" i="2" s="1"/>
  <c r="K430" i="2" s="1"/>
  <c r="L430" i="2" s="1"/>
  <c r="M430" i="2" s="1"/>
  <c r="N430" i="2" s="1"/>
  <c r="O430" i="2" s="1"/>
  <c r="P430" i="2" s="1"/>
  <c r="H414" i="2"/>
  <c r="I414" i="2" s="1"/>
  <c r="J414" i="2" s="1"/>
  <c r="K414" i="2" s="1"/>
  <c r="L414" i="2" s="1"/>
  <c r="M414" i="2" s="1"/>
  <c r="N414" i="2" s="1"/>
  <c r="O414" i="2" s="1"/>
  <c r="P414" i="2" s="1"/>
  <c r="H406" i="2"/>
  <c r="I406" i="2" s="1"/>
  <c r="J406" i="2" s="1"/>
  <c r="K406" i="2" s="1"/>
  <c r="L406" i="2" s="1"/>
  <c r="M406" i="2" s="1"/>
  <c r="N406" i="2" s="1"/>
  <c r="O406" i="2" s="1"/>
  <c r="P406" i="2" s="1"/>
  <c r="H398" i="2"/>
  <c r="I398" i="2" s="1"/>
  <c r="J398" i="2" s="1"/>
  <c r="K398" i="2" s="1"/>
  <c r="L398" i="2" s="1"/>
  <c r="M398" i="2" s="1"/>
  <c r="N398" i="2" s="1"/>
  <c r="O398" i="2" s="1"/>
  <c r="P398" i="2" s="1"/>
  <c r="H390" i="2"/>
  <c r="I390" i="2" s="1"/>
  <c r="J390" i="2" s="1"/>
  <c r="K390" i="2" s="1"/>
  <c r="L390" i="2" s="1"/>
  <c r="M390" i="2" s="1"/>
  <c r="N390" i="2" s="1"/>
  <c r="O390" i="2" s="1"/>
  <c r="P390" i="2" s="1"/>
  <c r="H382" i="2"/>
  <c r="I382" i="2" s="1"/>
  <c r="J382" i="2" s="1"/>
  <c r="K382" i="2" s="1"/>
  <c r="L382" i="2" s="1"/>
  <c r="M382" i="2" s="1"/>
  <c r="N382" i="2" s="1"/>
  <c r="O382" i="2" s="1"/>
  <c r="P382" i="2" s="1"/>
  <c r="H366" i="2"/>
  <c r="I366" i="2" s="1"/>
  <c r="J366" i="2" s="1"/>
  <c r="K366" i="2" s="1"/>
  <c r="L366" i="2" s="1"/>
  <c r="M366" i="2" s="1"/>
  <c r="N366" i="2" s="1"/>
  <c r="O366" i="2" s="1"/>
  <c r="P366" i="2" s="1"/>
  <c r="H358" i="2"/>
  <c r="I358" i="2" s="1"/>
  <c r="J358" i="2" s="1"/>
  <c r="K358" i="2" s="1"/>
  <c r="L358" i="2" s="1"/>
  <c r="M358" i="2" s="1"/>
  <c r="N358" i="2" s="1"/>
  <c r="O358" i="2" s="1"/>
  <c r="P358" i="2" s="1"/>
  <c r="H350" i="2"/>
  <c r="I350" i="2" s="1"/>
  <c r="J350" i="2" s="1"/>
  <c r="K350" i="2" s="1"/>
  <c r="L350" i="2" s="1"/>
  <c r="M350" i="2" s="1"/>
  <c r="N350" i="2" s="1"/>
  <c r="O350" i="2" s="1"/>
  <c r="P350" i="2" s="1"/>
  <c r="H342" i="2"/>
  <c r="I342" i="2" s="1"/>
  <c r="J342" i="2" s="1"/>
  <c r="K342" i="2" s="1"/>
  <c r="L342" i="2" s="1"/>
  <c r="M342" i="2" s="1"/>
  <c r="N342" i="2" s="1"/>
  <c r="O342" i="2" s="1"/>
  <c r="P342" i="2" s="1"/>
  <c r="H334" i="2"/>
  <c r="I334" i="2" s="1"/>
  <c r="J334" i="2" s="1"/>
  <c r="K334" i="2" s="1"/>
  <c r="L334" i="2" s="1"/>
  <c r="M334" i="2" s="1"/>
  <c r="N334" i="2" s="1"/>
  <c r="O334" i="2" s="1"/>
  <c r="P334" i="2" s="1"/>
  <c r="H326" i="2"/>
  <c r="I326" i="2" s="1"/>
  <c r="J326" i="2" s="1"/>
  <c r="K326" i="2" s="1"/>
  <c r="L326" i="2" s="1"/>
  <c r="M326" i="2" s="1"/>
  <c r="N326" i="2" s="1"/>
  <c r="O326" i="2" s="1"/>
  <c r="P326" i="2" s="1"/>
  <c r="H318" i="2"/>
  <c r="I318" i="2" s="1"/>
  <c r="J318" i="2" s="1"/>
  <c r="K318" i="2" s="1"/>
  <c r="L318" i="2" s="1"/>
  <c r="M318" i="2" s="1"/>
  <c r="N318" i="2" s="1"/>
  <c r="O318" i="2" s="1"/>
  <c r="P318" i="2" s="1"/>
  <c r="H302" i="2"/>
  <c r="I302" i="2" s="1"/>
  <c r="J302" i="2" s="1"/>
  <c r="K302" i="2" s="1"/>
  <c r="L302" i="2" s="1"/>
  <c r="M302" i="2" s="1"/>
  <c r="N302" i="2" s="1"/>
  <c r="O302" i="2" s="1"/>
  <c r="P302" i="2" s="1"/>
  <c r="H294" i="2"/>
  <c r="I294" i="2" s="1"/>
  <c r="J294" i="2" s="1"/>
  <c r="K294" i="2" s="1"/>
  <c r="L294" i="2" s="1"/>
  <c r="M294" i="2" s="1"/>
  <c r="N294" i="2" s="1"/>
  <c r="O294" i="2" s="1"/>
  <c r="P294" i="2" s="1"/>
  <c r="H286" i="2"/>
  <c r="I286" i="2" s="1"/>
  <c r="J286" i="2" s="1"/>
  <c r="K286" i="2" s="1"/>
  <c r="L286" i="2" s="1"/>
  <c r="M286" i="2" s="1"/>
  <c r="N286" i="2" s="1"/>
  <c r="O286" i="2" s="1"/>
  <c r="P286" i="2" s="1"/>
  <c r="H278" i="2"/>
  <c r="I278" i="2" s="1"/>
  <c r="J278" i="2" s="1"/>
  <c r="K278" i="2" s="1"/>
  <c r="L278" i="2" s="1"/>
  <c r="M278" i="2" s="1"/>
  <c r="N278" i="2" s="1"/>
  <c r="O278" i="2" s="1"/>
  <c r="P278" i="2" s="1"/>
  <c r="H270" i="2"/>
  <c r="I270" i="2" s="1"/>
  <c r="J270" i="2" s="1"/>
  <c r="K270" i="2" s="1"/>
  <c r="L270" i="2" s="1"/>
  <c r="M270" i="2" s="1"/>
  <c r="N270" i="2" s="1"/>
  <c r="O270" i="2" s="1"/>
  <c r="P270" i="2" s="1"/>
  <c r="H262" i="2"/>
  <c r="I262" i="2" s="1"/>
  <c r="J262" i="2" s="1"/>
  <c r="K262" i="2" s="1"/>
  <c r="L262" i="2" s="1"/>
  <c r="M262" i="2" s="1"/>
  <c r="N262" i="2" s="1"/>
  <c r="O262" i="2" s="1"/>
  <c r="P262" i="2" s="1"/>
  <c r="H254" i="2"/>
  <c r="I254" i="2" s="1"/>
  <c r="J254" i="2" s="1"/>
  <c r="K254" i="2" s="1"/>
  <c r="L254" i="2" s="1"/>
  <c r="M254" i="2" s="1"/>
  <c r="N254" i="2" s="1"/>
  <c r="O254" i="2" s="1"/>
  <c r="P254" i="2" s="1"/>
  <c r="H238" i="2"/>
  <c r="I238" i="2" s="1"/>
  <c r="J238" i="2" s="1"/>
  <c r="K238" i="2" s="1"/>
  <c r="L238" i="2" s="1"/>
  <c r="M238" i="2" s="1"/>
  <c r="N238" i="2" s="1"/>
  <c r="O238" i="2" s="1"/>
  <c r="P238" i="2" s="1"/>
  <c r="H230" i="2"/>
  <c r="I230" i="2" s="1"/>
  <c r="J230" i="2" s="1"/>
  <c r="K230" i="2" s="1"/>
  <c r="L230" i="2" s="1"/>
  <c r="M230" i="2" s="1"/>
  <c r="N230" i="2" s="1"/>
  <c r="O230" i="2" s="1"/>
  <c r="P230" i="2" s="1"/>
  <c r="H222" i="2"/>
  <c r="I222" i="2" s="1"/>
  <c r="J222" i="2" s="1"/>
  <c r="K222" i="2" s="1"/>
  <c r="L222" i="2" s="1"/>
  <c r="M222" i="2" s="1"/>
  <c r="N222" i="2" s="1"/>
  <c r="O222" i="2" s="1"/>
  <c r="P222" i="2" s="1"/>
  <c r="H214" i="2"/>
  <c r="I214" i="2" s="1"/>
  <c r="J214" i="2" s="1"/>
  <c r="K214" i="2" s="1"/>
  <c r="L214" i="2" s="1"/>
  <c r="M214" i="2" s="1"/>
  <c r="N214" i="2" s="1"/>
  <c r="O214" i="2" s="1"/>
  <c r="P214" i="2" s="1"/>
  <c r="H206" i="2"/>
  <c r="I206" i="2" s="1"/>
  <c r="J206" i="2" s="1"/>
  <c r="K206" i="2" s="1"/>
  <c r="L206" i="2" s="1"/>
  <c r="M206" i="2" s="1"/>
  <c r="N206" i="2" s="1"/>
  <c r="O206" i="2" s="1"/>
  <c r="P206" i="2" s="1"/>
  <c r="H198" i="2"/>
  <c r="I198" i="2" s="1"/>
  <c r="J198" i="2" s="1"/>
  <c r="K198" i="2" s="1"/>
  <c r="L198" i="2" s="1"/>
  <c r="M198" i="2" s="1"/>
  <c r="N198" i="2" s="1"/>
  <c r="O198" i="2" s="1"/>
  <c r="P198" i="2" s="1"/>
  <c r="H190" i="2"/>
  <c r="I190" i="2" s="1"/>
  <c r="J190" i="2" s="1"/>
  <c r="K190" i="2" s="1"/>
  <c r="L190" i="2" s="1"/>
  <c r="M190" i="2" s="1"/>
  <c r="N190" i="2" s="1"/>
  <c r="O190" i="2" s="1"/>
  <c r="P190" i="2" s="1"/>
  <c r="H174" i="2"/>
  <c r="I174" i="2" s="1"/>
  <c r="J174" i="2" s="1"/>
  <c r="K174" i="2" s="1"/>
  <c r="L174" i="2" s="1"/>
  <c r="M174" i="2" s="1"/>
  <c r="N174" i="2" s="1"/>
  <c r="O174" i="2" s="1"/>
  <c r="P174" i="2" s="1"/>
  <c r="H166" i="2"/>
  <c r="I166" i="2" s="1"/>
  <c r="J166" i="2" s="1"/>
  <c r="K166" i="2" s="1"/>
  <c r="L166" i="2" s="1"/>
  <c r="M166" i="2" s="1"/>
  <c r="N166" i="2" s="1"/>
  <c r="O166" i="2" s="1"/>
  <c r="P166" i="2" s="1"/>
  <c r="H158" i="2"/>
  <c r="I158" i="2" s="1"/>
  <c r="J158" i="2" s="1"/>
  <c r="K158" i="2" s="1"/>
  <c r="L158" i="2" s="1"/>
  <c r="M158" i="2" s="1"/>
  <c r="N158" i="2" s="1"/>
  <c r="O158" i="2" s="1"/>
  <c r="P158" i="2" s="1"/>
  <c r="H150" i="2"/>
  <c r="I150" i="2" s="1"/>
  <c r="J150" i="2" s="1"/>
  <c r="K150" i="2" s="1"/>
  <c r="L150" i="2" s="1"/>
  <c r="M150" i="2" s="1"/>
  <c r="N150" i="2" s="1"/>
  <c r="O150" i="2" s="1"/>
  <c r="P150" i="2" s="1"/>
  <c r="H142" i="2"/>
  <c r="I142" i="2" s="1"/>
  <c r="J142" i="2" s="1"/>
  <c r="K142" i="2" s="1"/>
  <c r="L142" i="2" s="1"/>
  <c r="M142" i="2" s="1"/>
  <c r="N142" i="2" s="1"/>
  <c r="O142" i="2" s="1"/>
  <c r="P142" i="2" s="1"/>
  <c r="H134" i="2"/>
  <c r="I134" i="2" s="1"/>
  <c r="J134" i="2" s="1"/>
  <c r="K134" i="2" s="1"/>
  <c r="L134" i="2" s="1"/>
  <c r="M134" i="2" s="1"/>
  <c r="N134" i="2" s="1"/>
  <c r="O134" i="2" s="1"/>
  <c r="P134" i="2" s="1"/>
  <c r="H126" i="2"/>
  <c r="I126" i="2" s="1"/>
  <c r="J126" i="2" s="1"/>
  <c r="K126" i="2" s="1"/>
  <c r="L126" i="2" s="1"/>
  <c r="M126" i="2" s="1"/>
  <c r="N126" i="2" s="1"/>
  <c r="O126" i="2" s="1"/>
  <c r="P126" i="2" s="1"/>
  <c r="H110" i="2"/>
  <c r="I110" i="2" s="1"/>
  <c r="J110" i="2" s="1"/>
  <c r="K110" i="2" s="1"/>
  <c r="L110" i="2" s="1"/>
  <c r="M110" i="2" s="1"/>
  <c r="N110" i="2" s="1"/>
  <c r="O110" i="2" s="1"/>
  <c r="P110" i="2" s="1"/>
  <c r="H102" i="2"/>
  <c r="I102" i="2" s="1"/>
  <c r="J102" i="2" s="1"/>
  <c r="K102" i="2" s="1"/>
  <c r="L102" i="2" s="1"/>
  <c r="M102" i="2" s="1"/>
  <c r="N102" i="2" s="1"/>
  <c r="O102" i="2" s="1"/>
  <c r="P102" i="2" s="1"/>
  <c r="H94" i="2"/>
  <c r="I94" i="2" s="1"/>
  <c r="J94" i="2" s="1"/>
  <c r="K94" i="2" s="1"/>
  <c r="L94" i="2" s="1"/>
  <c r="M94" i="2" s="1"/>
  <c r="N94" i="2" s="1"/>
  <c r="O94" i="2" s="1"/>
  <c r="P94" i="2" s="1"/>
  <c r="H86" i="2"/>
  <c r="I86" i="2" s="1"/>
  <c r="J86" i="2" s="1"/>
  <c r="K86" i="2" s="1"/>
  <c r="L86" i="2" s="1"/>
  <c r="M86" i="2" s="1"/>
  <c r="N86" i="2" s="1"/>
  <c r="O86" i="2" s="1"/>
  <c r="P86" i="2" s="1"/>
  <c r="H78" i="2"/>
  <c r="I78" i="2" s="1"/>
  <c r="J78" i="2" s="1"/>
  <c r="K78" i="2" s="1"/>
  <c r="L78" i="2" s="1"/>
  <c r="M78" i="2" s="1"/>
  <c r="N78" i="2" s="1"/>
  <c r="O78" i="2" s="1"/>
  <c r="P78" i="2" s="1"/>
  <c r="H70" i="2"/>
  <c r="I70" i="2" s="1"/>
  <c r="J70" i="2" s="1"/>
  <c r="K70" i="2" s="1"/>
  <c r="L70" i="2" s="1"/>
  <c r="M70" i="2" s="1"/>
  <c r="N70" i="2" s="1"/>
  <c r="O70" i="2" s="1"/>
  <c r="P70" i="2" s="1"/>
  <c r="H62" i="2"/>
  <c r="I62" i="2" s="1"/>
  <c r="J62" i="2" s="1"/>
  <c r="K62" i="2" s="1"/>
  <c r="L62" i="2" s="1"/>
  <c r="M62" i="2" s="1"/>
  <c r="N62" i="2" s="1"/>
  <c r="O62" i="2" s="1"/>
  <c r="P62" i="2" s="1"/>
  <c r="H46" i="2"/>
  <c r="I46" i="2" s="1"/>
  <c r="J46" i="2" s="1"/>
  <c r="K46" i="2" s="1"/>
  <c r="L46" i="2" s="1"/>
  <c r="M46" i="2" s="1"/>
  <c r="N46" i="2" s="1"/>
  <c r="O46" i="2" s="1"/>
  <c r="P46" i="2" s="1"/>
  <c r="H38" i="2"/>
  <c r="I38" i="2" s="1"/>
  <c r="J38" i="2" s="1"/>
  <c r="K38" i="2" s="1"/>
  <c r="L38" i="2" s="1"/>
  <c r="M38" i="2" s="1"/>
  <c r="N38" i="2" s="1"/>
  <c r="O38" i="2" s="1"/>
  <c r="P38" i="2" s="1"/>
  <c r="H30" i="2"/>
  <c r="I30" i="2" s="1"/>
  <c r="J30" i="2" s="1"/>
  <c r="K30" i="2" s="1"/>
  <c r="L30" i="2" s="1"/>
  <c r="M30" i="2" s="1"/>
  <c r="N30" i="2" s="1"/>
  <c r="O30" i="2" s="1"/>
  <c r="P30" i="2" s="1"/>
  <c r="H22" i="2"/>
  <c r="I22" i="2" s="1"/>
  <c r="J22" i="2" s="1"/>
  <c r="K22" i="2" s="1"/>
  <c r="L22" i="2" s="1"/>
  <c r="M22" i="2" s="1"/>
  <c r="N22" i="2" s="1"/>
  <c r="O22" i="2" s="1"/>
  <c r="P22" i="2" s="1"/>
  <c r="H14" i="2"/>
  <c r="I14" i="2" s="1"/>
  <c r="J14" i="2" s="1"/>
  <c r="K14" i="2" s="1"/>
  <c r="L14" i="2" s="1"/>
  <c r="M14" i="2" s="1"/>
  <c r="N14" i="2" s="1"/>
  <c r="O14" i="2" s="1"/>
  <c r="P14" i="2" s="1"/>
  <c r="Q984" i="2"/>
  <c r="R984" i="2" s="1"/>
  <c r="S984" i="2" s="1"/>
  <c r="Q961" i="2"/>
  <c r="R961" i="2" s="1"/>
  <c r="S961" i="2" s="1"/>
  <c r="Q942" i="2"/>
  <c r="R942" i="2" s="1"/>
  <c r="S942" i="2" s="1"/>
  <c r="Q920" i="2"/>
  <c r="R920" i="2" s="1"/>
  <c r="S920" i="2" s="1"/>
  <c r="Q897" i="2"/>
  <c r="R897" i="2" s="1"/>
  <c r="S897" i="2" s="1"/>
  <c r="Q878" i="2"/>
  <c r="R878" i="2" s="1"/>
  <c r="S878" i="2" s="1"/>
  <c r="Q856" i="2"/>
  <c r="R856" i="2" s="1"/>
  <c r="S856" i="2" s="1"/>
  <c r="Q833" i="2"/>
  <c r="R833" i="2" s="1"/>
  <c r="S833" i="2" s="1"/>
  <c r="Q814" i="2"/>
  <c r="R814" i="2" s="1"/>
  <c r="S814" i="2" s="1"/>
  <c r="Q792" i="2"/>
  <c r="R792" i="2" s="1"/>
  <c r="S792" i="2" s="1"/>
  <c r="Q769" i="2"/>
  <c r="R769" i="2" s="1"/>
  <c r="S769" i="2" s="1"/>
  <c r="Q750" i="2"/>
  <c r="R750" i="2" s="1"/>
  <c r="S750" i="2" s="1"/>
  <c r="Q728" i="2"/>
  <c r="R728" i="2" s="1"/>
  <c r="S728" i="2" s="1"/>
  <c r="Q705" i="2"/>
  <c r="R705" i="2" s="1"/>
  <c r="S705" i="2" s="1"/>
  <c r="Q686" i="2"/>
  <c r="R686" i="2" s="1"/>
  <c r="S686" i="2" s="1"/>
  <c r="Q650" i="2"/>
  <c r="R650" i="2" s="1"/>
  <c r="S650" i="2" s="1"/>
  <c r="Q614" i="2"/>
  <c r="R614" i="2" s="1"/>
  <c r="S614" i="2" s="1"/>
  <c r="Q583" i="2"/>
  <c r="R583" i="2" s="1"/>
  <c r="S583" i="2" s="1"/>
  <c r="Q528" i="2"/>
  <c r="R528" i="2" s="1"/>
  <c r="S528" i="2" s="1"/>
  <c r="Q467" i="2"/>
  <c r="R467" i="2" s="1"/>
  <c r="S467" i="2" s="1"/>
  <c r="Q416" i="2"/>
  <c r="R416" i="2" s="1"/>
  <c r="S416" i="2" s="1"/>
  <c r="Q288" i="2"/>
  <c r="R288" i="2" s="1"/>
  <c r="S288" i="2" s="1"/>
  <c r="Q118" i="2"/>
  <c r="R118" i="2" s="1"/>
  <c r="S118" i="2" s="1"/>
  <c r="H633" i="2"/>
  <c r="I633" i="2" s="1"/>
  <c r="J633" i="2" s="1"/>
  <c r="K633" i="2" s="1"/>
  <c r="L633" i="2" s="1"/>
  <c r="M633" i="2" s="1"/>
  <c r="N633" i="2" s="1"/>
  <c r="O633" i="2" s="1"/>
  <c r="P633" i="2" s="1"/>
  <c r="H585" i="2"/>
  <c r="I585" i="2" s="1"/>
  <c r="J585" i="2" s="1"/>
  <c r="K585" i="2" s="1"/>
  <c r="L585" i="2" s="1"/>
  <c r="M585" i="2" s="1"/>
  <c r="N585" i="2" s="1"/>
  <c r="O585" i="2" s="1"/>
  <c r="P585" i="2" s="1"/>
  <c r="H537" i="2"/>
  <c r="I537" i="2" s="1"/>
  <c r="J537" i="2" s="1"/>
  <c r="K537" i="2" s="1"/>
  <c r="L537" i="2" s="1"/>
  <c r="M537" i="2" s="1"/>
  <c r="N537" i="2" s="1"/>
  <c r="O537" i="2" s="1"/>
  <c r="P537" i="2" s="1"/>
  <c r="H473" i="2"/>
  <c r="I473" i="2" s="1"/>
  <c r="J473" i="2" s="1"/>
  <c r="K473" i="2" s="1"/>
  <c r="L473" i="2" s="1"/>
  <c r="M473" i="2" s="1"/>
  <c r="N473" i="2" s="1"/>
  <c r="O473" i="2" s="1"/>
  <c r="P473" i="2" s="1"/>
  <c r="H417" i="2"/>
  <c r="I417" i="2" s="1"/>
  <c r="J417" i="2" s="1"/>
  <c r="K417" i="2" s="1"/>
  <c r="L417" i="2" s="1"/>
  <c r="M417" i="2" s="1"/>
  <c r="N417" i="2" s="1"/>
  <c r="O417" i="2" s="1"/>
  <c r="P417" i="2" s="1"/>
  <c r="H361" i="2"/>
  <c r="I361" i="2" s="1"/>
  <c r="J361" i="2" s="1"/>
  <c r="K361" i="2" s="1"/>
  <c r="L361" i="2" s="1"/>
  <c r="M361" i="2" s="1"/>
  <c r="N361" i="2" s="1"/>
  <c r="O361" i="2" s="1"/>
  <c r="P361" i="2" s="1"/>
  <c r="H305" i="2"/>
  <c r="I305" i="2" s="1"/>
  <c r="J305" i="2" s="1"/>
  <c r="K305" i="2" s="1"/>
  <c r="L305" i="2" s="1"/>
  <c r="M305" i="2" s="1"/>
  <c r="N305" i="2" s="1"/>
  <c r="O305" i="2" s="1"/>
  <c r="P305" i="2" s="1"/>
  <c r="H257" i="2"/>
  <c r="I257" i="2" s="1"/>
  <c r="J257" i="2" s="1"/>
  <c r="K257" i="2" s="1"/>
  <c r="L257" i="2" s="1"/>
  <c r="M257" i="2" s="1"/>
  <c r="N257" i="2" s="1"/>
  <c r="O257" i="2" s="1"/>
  <c r="P257" i="2" s="1"/>
  <c r="H201" i="2"/>
  <c r="I201" i="2" s="1"/>
  <c r="J201" i="2" s="1"/>
  <c r="K201" i="2" s="1"/>
  <c r="L201" i="2" s="1"/>
  <c r="M201" i="2" s="1"/>
  <c r="N201" i="2" s="1"/>
  <c r="O201" i="2" s="1"/>
  <c r="P201" i="2" s="1"/>
  <c r="H153" i="2"/>
  <c r="I153" i="2" s="1"/>
  <c r="J153" i="2" s="1"/>
  <c r="K153" i="2" s="1"/>
  <c r="L153" i="2" s="1"/>
  <c r="M153" i="2" s="1"/>
  <c r="N153" i="2" s="1"/>
  <c r="O153" i="2" s="1"/>
  <c r="P153" i="2" s="1"/>
  <c r="H97" i="2"/>
  <c r="I97" i="2" s="1"/>
  <c r="J97" i="2" s="1"/>
  <c r="K97" i="2" s="1"/>
  <c r="L97" i="2" s="1"/>
  <c r="M97" i="2" s="1"/>
  <c r="N97" i="2" s="1"/>
  <c r="O97" i="2" s="1"/>
  <c r="P97" i="2" s="1"/>
  <c r="H49" i="2"/>
  <c r="I49" i="2" s="1"/>
  <c r="J49" i="2" s="1"/>
  <c r="K49" i="2" s="1"/>
  <c r="L49" i="2" s="1"/>
  <c r="M49" i="2" s="1"/>
  <c r="N49" i="2" s="1"/>
  <c r="O49" i="2" s="1"/>
  <c r="P49" i="2" s="1"/>
  <c r="Q905" i="2"/>
  <c r="R905" i="2" s="1"/>
  <c r="S905" i="2" s="1"/>
  <c r="H1005" i="2"/>
  <c r="I1005" i="2" s="1"/>
  <c r="J1005" i="2" s="1"/>
  <c r="K1005" i="2" s="1"/>
  <c r="L1005" i="2" s="1"/>
  <c r="M1005" i="2" s="1"/>
  <c r="N1005" i="2" s="1"/>
  <c r="O1005" i="2" s="1"/>
  <c r="P1005" i="2" s="1"/>
  <c r="H997" i="2"/>
  <c r="I997" i="2" s="1"/>
  <c r="J997" i="2" s="1"/>
  <c r="K997" i="2" s="1"/>
  <c r="L997" i="2" s="1"/>
  <c r="M997" i="2" s="1"/>
  <c r="N997" i="2" s="1"/>
  <c r="O997" i="2" s="1"/>
  <c r="P997" i="2" s="1"/>
  <c r="H989" i="2"/>
  <c r="I989" i="2" s="1"/>
  <c r="J989" i="2" s="1"/>
  <c r="K989" i="2" s="1"/>
  <c r="L989" i="2" s="1"/>
  <c r="M989" i="2" s="1"/>
  <c r="N989" i="2" s="1"/>
  <c r="O989" i="2" s="1"/>
  <c r="P989" i="2" s="1"/>
  <c r="H981" i="2"/>
  <c r="I981" i="2" s="1"/>
  <c r="J981" i="2" s="1"/>
  <c r="K981" i="2" s="1"/>
  <c r="L981" i="2" s="1"/>
  <c r="M981" i="2" s="1"/>
  <c r="N981" i="2" s="1"/>
  <c r="O981" i="2" s="1"/>
  <c r="P981" i="2" s="1"/>
  <c r="H973" i="2"/>
  <c r="I973" i="2" s="1"/>
  <c r="J973" i="2" s="1"/>
  <c r="K973" i="2" s="1"/>
  <c r="L973" i="2" s="1"/>
  <c r="M973" i="2" s="1"/>
  <c r="N973" i="2" s="1"/>
  <c r="O973" i="2" s="1"/>
  <c r="P973" i="2" s="1"/>
  <c r="H965" i="2"/>
  <c r="I965" i="2" s="1"/>
  <c r="J965" i="2" s="1"/>
  <c r="K965" i="2" s="1"/>
  <c r="L965" i="2" s="1"/>
  <c r="M965" i="2" s="1"/>
  <c r="N965" i="2" s="1"/>
  <c r="O965" i="2" s="1"/>
  <c r="P965" i="2" s="1"/>
  <c r="H957" i="2"/>
  <c r="I957" i="2" s="1"/>
  <c r="J957" i="2" s="1"/>
  <c r="K957" i="2" s="1"/>
  <c r="L957" i="2" s="1"/>
  <c r="M957" i="2" s="1"/>
  <c r="N957" i="2" s="1"/>
  <c r="O957" i="2" s="1"/>
  <c r="P957" i="2" s="1"/>
  <c r="H949" i="2"/>
  <c r="I949" i="2" s="1"/>
  <c r="J949" i="2" s="1"/>
  <c r="K949" i="2" s="1"/>
  <c r="L949" i="2" s="1"/>
  <c r="M949" i="2" s="1"/>
  <c r="N949" i="2" s="1"/>
  <c r="O949" i="2" s="1"/>
  <c r="P949" i="2" s="1"/>
  <c r="H941" i="2"/>
  <c r="I941" i="2" s="1"/>
  <c r="J941" i="2" s="1"/>
  <c r="K941" i="2" s="1"/>
  <c r="L941" i="2" s="1"/>
  <c r="M941" i="2" s="1"/>
  <c r="N941" i="2" s="1"/>
  <c r="O941" i="2" s="1"/>
  <c r="P941" i="2" s="1"/>
  <c r="H933" i="2"/>
  <c r="I933" i="2" s="1"/>
  <c r="J933" i="2" s="1"/>
  <c r="K933" i="2" s="1"/>
  <c r="L933" i="2" s="1"/>
  <c r="M933" i="2" s="1"/>
  <c r="N933" i="2" s="1"/>
  <c r="O933" i="2" s="1"/>
  <c r="P933" i="2" s="1"/>
  <c r="H925" i="2"/>
  <c r="I925" i="2" s="1"/>
  <c r="J925" i="2" s="1"/>
  <c r="K925" i="2" s="1"/>
  <c r="L925" i="2" s="1"/>
  <c r="M925" i="2" s="1"/>
  <c r="N925" i="2" s="1"/>
  <c r="O925" i="2" s="1"/>
  <c r="P925" i="2" s="1"/>
  <c r="H917" i="2"/>
  <c r="I917" i="2" s="1"/>
  <c r="J917" i="2" s="1"/>
  <c r="K917" i="2" s="1"/>
  <c r="L917" i="2" s="1"/>
  <c r="M917" i="2" s="1"/>
  <c r="N917" i="2" s="1"/>
  <c r="O917" i="2" s="1"/>
  <c r="P917" i="2" s="1"/>
  <c r="H909" i="2"/>
  <c r="I909" i="2" s="1"/>
  <c r="J909" i="2" s="1"/>
  <c r="K909" i="2" s="1"/>
  <c r="L909" i="2" s="1"/>
  <c r="M909" i="2" s="1"/>
  <c r="N909" i="2" s="1"/>
  <c r="O909" i="2" s="1"/>
  <c r="P909" i="2" s="1"/>
  <c r="H901" i="2"/>
  <c r="I901" i="2" s="1"/>
  <c r="J901" i="2" s="1"/>
  <c r="K901" i="2" s="1"/>
  <c r="L901" i="2" s="1"/>
  <c r="M901" i="2" s="1"/>
  <c r="N901" i="2" s="1"/>
  <c r="O901" i="2" s="1"/>
  <c r="P901" i="2" s="1"/>
  <c r="H893" i="2"/>
  <c r="I893" i="2" s="1"/>
  <c r="J893" i="2" s="1"/>
  <c r="K893" i="2" s="1"/>
  <c r="L893" i="2" s="1"/>
  <c r="M893" i="2" s="1"/>
  <c r="N893" i="2" s="1"/>
  <c r="O893" i="2" s="1"/>
  <c r="P893" i="2" s="1"/>
  <c r="H885" i="2"/>
  <c r="I885" i="2" s="1"/>
  <c r="J885" i="2" s="1"/>
  <c r="K885" i="2" s="1"/>
  <c r="L885" i="2" s="1"/>
  <c r="M885" i="2" s="1"/>
  <c r="N885" i="2" s="1"/>
  <c r="O885" i="2" s="1"/>
  <c r="P885" i="2" s="1"/>
  <c r="H877" i="2"/>
  <c r="I877" i="2" s="1"/>
  <c r="J877" i="2" s="1"/>
  <c r="K877" i="2" s="1"/>
  <c r="L877" i="2" s="1"/>
  <c r="M877" i="2" s="1"/>
  <c r="N877" i="2" s="1"/>
  <c r="O877" i="2" s="1"/>
  <c r="P877" i="2" s="1"/>
  <c r="H869" i="2"/>
  <c r="I869" i="2" s="1"/>
  <c r="J869" i="2" s="1"/>
  <c r="K869" i="2" s="1"/>
  <c r="L869" i="2" s="1"/>
  <c r="M869" i="2" s="1"/>
  <c r="N869" i="2" s="1"/>
  <c r="O869" i="2" s="1"/>
  <c r="P869" i="2" s="1"/>
  <c r="H861" i="2"/>
  <c r="I861" i="2" s="1"/>
  <c r="J861" i="2" s="1"/>
  <c r="K861" i="2" s="1"/>
  <c r="L861" i="2" s="1"/>
  <c r="M861" i="2" s="1"/>
  <c r="N861" i="2" s="1"/>
  <c r="O861" i="2" s="1"/>
  <c r="P861" i="2" s="1"/>
  <c r="H853" i="2"/>
  <c r="I853" i="2" s="1"/>
  <c r="J853" i="2" s="1"/>
  <c r="K853" i="2" s="1"/>
  <c r="L853" i="2" s="1"/>
  <c r="M853" i="2" s="1"/>
  <c r="N853" i="2" s="1"/>
  <c r="O853" i="2" s="1"/>
  <c r="P853" i="2" s="1"/>
  <c r="H845" i="2"/>
  <c r="I845" i="2" s="1"/>
  <c r="J845" i="2" s="1"/>
  <c r="K845" i="2" s="1"/>
  <c r="L845" i="2" s="1"/>
  <c r="M845" i="2" s="1"/>
  <c r="N845" i="2" s="1"/>
  <c r="O845" i="2" s="1"/>
  <c r="P845" i="2" s="1"/>
  <c r="H837" i="2"/>
  <c r="I837" i="2" s="1"/>
  <c r="J837" i="2" s="1"/>
  <c r="K837" i="2" s="1"/>
  <c r="L837" i="2" s="1"/>
  <c r="M837" i="2" s="1"/>
  <c r="N837" i="2" s="1"/>
  <c r="O837" i="2" s="1"/>
  <c r="P837" i="2" s="1"/>
  <c r="H829" i="2"/>
  <c r="I829" i="2" s="1"/>
  <c r="J829" i="2" s="1"/>
  <c r="K829" i="2" s="1"/>
  <c r="L829" i="2" s="1"/>
  <c r="M829" i="2" s="1"/>
  <c r="N829" i="2" s="1"/>
  <c r="O829" i="2" s="1"/>
  <c r="P829" i="2" s="1"/>
  <c r="H821" i="2"/>
  <c r="I821" i="2" s="1"/>
  <c r="J821" i="2" s="1"/>
  <c r="K821" i="2" s="1"/>
  <c r="L821" i="2" s="1"/>
  <c r="M821" i="2" s="1"/>
  <c r="N821" i="2" s="1"/>
  <c r="O821" i="2" s="1"/>
  <c r="P821" i="2" s="1"/>
  <c r="H813" i="2"/>
  <c r="I813" i="2" s="1"/>
  <c r="J813" i="2" s="1"/>
  <c r="K813" i="2" s="1"/>
  <c r="L813" i="2" s="1"/>
  <c r="M813" i="2" s="1"/>
  <c r="N813" i="2" s="1"/>
  <c r="O813" i="2" s="1"/>
  <c r="P813" i="2" s="1"/>
  <c r="H805" i="2"/>
  <c r="I805" i="2" s="1"/>
  <c r="J805" i="2" s="1"/>
  <c r="K805" i="2" s="1"/>
  <c r="L805" i="2" s="1"/>
  <c r="M805" i="2" s="1"/>
  <c r="N805" i="2" s="1"/>
  <c r="O805" i="2" s="1"/>
  <c r="P805" i="2" s="1"/>
  <c r="H797" i="2"/>
  <c r="I797" i="2" s="1"/>
  <c r="J797" i="2" s="1"/>
  <c r="K797" i="2" s="1"/>
  <c r="L797" i="2" s="1"/>
  <c r="M797" i="2" s="1"/>
  <c r="N797" i="2" s="1"/>
  <c r="O797" i="2" s="1"/>
  <c r="P797" i="2" s="1"/>
  <c r="H789" i="2"/>
  <c r="I789" i="2" s="1"/>
  <c r="J789" i="2" s="1"/>
  <c r="K789" i="2" s="1"/>
  <c r="L789" i="2" s="1"/>
  <c r="M789" i="2" s="1"/>
  <c r="N789" i="2" s="1"/>
  <c r="O789" i="2" s="1"/>
  <c r="P789" i="2" s="1"/>
  <c r="H781" i="2"/>
  <c r="I781" i="2" s="1"/>
  <c r="J781" i="2" s="1"/>
  <c r="K781" i="2" s="1"/>
  <c r="L781" i="2" s="1"/>
  <c r="M781" i="2" s="1"/>
  <c r="N781" i="2" s="1"/>
  <c r="O781" i="2" s="1"/>
  <c r="P781" i="2" s="1"/>
  <c r="H773" i="2"/>
  <c r="I773" i="2" s="1"/>
  <c r="J773" i="2" s="1"/>
  <c r="K773" i="2" s="1"/>
  <c r="L773" i="2" s="1"/>
  <c r="M773" i="2" s="1"/>
  <c r="N773" i="2" s="1"/>
  <c r="O773" i="2" s="1"/>
  <c r="P773" i="2" s="1"/>
  <c r="H765" i="2"/>
  <c r="I765" i="2" s="1"/>
  <c r="J765" i="2" s="1"/>
  <c r="K765" i="2" s="1"/>
  <c r="L765" i="2" s="1"/>
  <c r="M765" i="2" s="1"/>
  <c r="N765" i="2" s="1"/>
  <c r="O765" i="2" s="1"/>
  <c r="P765" i="2" s="1"/>
  <c r="H757" i="2"/>
  <c r="I757" i="2" s="1"/>
  <c r="J757" i="2" s="1"/>
  <c r="K757" i="2" s="1"/>
  <c r="L757" i="2" s="1"/>
  <c r="M757" i="2" s="1"/>
  <c r="N757" i="2" s="1"/>
  <c r="O757" i="2" s="1"/>
  <c r="P757" i="2" s="1"/>
  <c r="H749" i="2"/>
  <c r="I749" i="2" s="1"/>
  <c r="J749" i="2" s="1"/>
  <c r="K749" i="2" s="1"/>
  <c r="L749" i="2" s="1"/>
  <c r="M749" i="2" s="1"/>
  <c r="N749" i="2" s="1"/>
  <c r="O749" i="2" s="1"/>
  <c r="P749" i="2" s="1"/>
  <c r="H741" i="2"/>
  <c r="I741" i="2" s="1"/>
  <c r="J741" i="2" s="1"/>
  <c r="K741" i="2" s="1"/>
  <c r="L741" i="2" s="1"/>
  <c r="M741" i="2" s="1"/>
  <c r="N741" i="2" s="1"/>
  <c r="O741" i="2" s="1"/>
  <c r="P741" i="2" s="1"/>
  <c r="H733" i="2"/>
  <c r="I733" i="2" s="1"/>
  <c r="J733" i="2" s="1"/>
  <c r="K733" i="2" s="1"/>
  <c r="L733" i="2" s="1"/>
  <c r="M733" i="2" s="1"/>
  <c r="N733" i="2" s="1"/>
  <c r="O733" i="2" s="1"/>
  <c r="P733" i="2" s="1"/>
  <c r="H725" i="2"/>
  <c r="I725" i="2" s="1"/>
  <c r="J725" i="2" s="1"/>
  <c r="K725" i="2" s="1"/>
  <c r="L725" i="2" s="1"/>
  <c r="M725" i="2" s="1"/>
  <c r="N725" i="2" s="1"/>
  <c r="O725" i="2" s="1"/>
  <c r="P725" i="2" s="1"/>
  <c r="H717" i="2"/>
  <c r="I717" i="2" s="1"/>
  <c r="J717" i="2" s="1"/>
  <c r="K717" i="2" s="1"/>
  <c r="L717" i="2" s="1"/>
  <c r="M717" i="2" s="1"/>
  <c r="N717" i="2" s="1"/>
  <c r="O717" i="2" s="1"/>
  <c r="P717" i="2" s="1"/>
  <c r="H709" i="2"/>
  <c r="I709" i="2" s="1"/>
  <c r="J709" i="2" s="1"/>
  <c r="K709" i="2" s="1"/>
  <c r="L709" i="2" s="1"/>
  <c r="M709" i="2" s="1"/>
  <c r="N709" i="2" s="1"/>
  <c r="O709" i="2" s="1"/>
  <c r="P709" i="2" s="1"/>
  <c r="H701" i="2"/>
  <c r="I701" i="2" s="1"/>
  <c r="J701" i="2" s="1"/>
  <c r="K701" i="2" s="1"/>
  <c r="L701" i="2" s="1"/>
  <c r="M701" i="2" s="1"/>
  <c r="N701" i="2" s="1"/>
  <c r="O701" i="2" s="1"/>
  <c r="P701" i="2" s="1"/>
  <c r="H693" i="2"/>
  <c r="I693" i="2" s="1"/>
  <c r="J693" i="2" s="1"/>
  <c r="K693" i="2" s="1"/>
  <c r="L693" i="2" s="1"/>
  <c r="M693" i="2" s="1"/>
  <c r="N693" i="2" s="1"/>
  <c r="O693" i="2" s="1"/>
  <c r="P693" i="2" s="1"/>
  <c r="H685" i="2"/>
  <c r="I685" i="2" s="1"/>
  <c r="J685" i="2" s="1"/>
  <c r="K685" i="2" s="1"/>
  <c r="L685" i="2" s="1"/>
  <c r="M685" i="2" s="1"/>
  <c r="N685" i="2" s="1"/>
  <c r="O685" i="2" s="1"/>
  <c r="P685" i="2" s="1"/>
  <c r="H677" i="2"/>
  <c r="I677" i="2" s="1"/>
  <c r="J677" i="2" s="1"/>
  <c r="K677" i="2" s="1"/>
  <c r="L677" i="2" s="1"/>
  <c r="M677" i="2" s="1"/>
  <c r="N677" i="2" s="1"/>
  <c r="O677" i="2" s="1"/>
  <c r="P677" i="2" s="1"/>
  <c r="H669" i="2"/>
  <c r="I669" i="2" s="1"/>
  <c r="J669" i="2" s="1"/>
  <c r="K669" i="2" s="1"/>
  <c r="L669" i="2" s="1"/>
  <c r="M669" i="2" s="1"/>
  <c r="N669" i="2" s="1"/>
  <c r="O669" i="2" s="1"/>
  <c r="P669" i="2" s="1"/>
  <c r="H661" i="2"/>
  <c r="I661" i="2" s="1"/>
  <c r="J661" i="2" s="1"/>
  <c r="K661" i="2" s="1"/>
  <c r="L661" i="2" s="1"/>
  <c r="M661" i="2" s="1"/>
  <c r="N661" i="2" s="1"/>
  <c r="O661" i="2" s="1"/>
  <c r="P661" i="2" s="1"/>
  <c r="H653" i="2"/>
  <c r="I653" i="2" s="1"/>
  <c r="J653" i="2" s="1"/>
  <c r="K653" i="2" s="1"/>
  <c r="L653" i="2" s="1"/>
  <c r="M653" i="2" s="1"/>
  <c r="N653" i="2" s="1"/>
  <c r="O653" i="2" s="1"/>
  <c r="P653" i="2" s="1"/>
  <c r="H645" i="2"/>
  <c r="I645" i="2" s="1"/>
  <c r="J645" i="2" s="1"/>
  <c r="K645" i="2" s="1"/>
  <c r="L645" i="2" s="1"/>
  <c r="M645" i="2" s="1"/>
  <c r="N645" i="2" s="1"/>
  <c r="O645" i="2" s="1"/>
  <c r="P645" i="2" s="1"/>
  <c r="H637" i="2"/>
  <c r="I637" i="2" s="1"/>
  <c r="J637" i="2" s="1"/>
  <c r="K637" i="2" s="1"/>
  <c r="L637" i="2" s="1"/>
  <c r="M637" i="2" s="1"/>
  <c r="N637" i="2" s="1"/>
  <c r="O637" i="2" s="1"/>
  <c r="P637" i="2" s="1"/>
  <c r="H629" i="2"/>
  <c r="I629" i="2" s="1"/>
  <c r="J629" i="2" s="1"/>
  <c r="K629" i="2" s="1"/>
  <c r="L629" i="2" s="1"/>
  <c r="M629" i="2" s="1"/>
  <c r="N629" i="2" s="1"/>
  <c r="O629" i="2" s="1"/>
  <c r="P629" i="2" s="1"/>
  <c r="H621" i="2"/>
  <c r="I621" i="2" s="1"/>
  <c r="J621" i="2" s="1"/>
  <c r="K621" i="2" s="1"/>
  <c r="L621" i="2" s="1"/>
  <c r="M621" i="2" s="1"/>
  <c r="N621" i="2" s="1"/>
  <c r="O621" i="2" s="1"/>
  <c r="P621" i="2" s="1"/>
  <c r="H613" i="2"/>
  <c r="I613" i="2" s="1"/>
  <c r="J613" i="2" s="1"/>
  <c r="K613" i="2" s="1"/>
  <c r="L613" i="2" s="1"/>
  <c r="M613" i="2" s="1"/>
  <c r="N613" i="2" s="1"/>
  <c r="O613" i="2" s="1"/>
  <c r="P613" i="2" s="1"/>
  <c r="H605" i="2"/>
  <c r="I605" i="2" s="1"/>
  <c r="J605" i="2" s="1"/>
  <c r="K605" i="2" s="1"/>
  <c r="L605" i="2" s="1"/>
  <c r="M605" i="2" s="1"/>
  <c r="N605" i="2" s="1"/>
  <c r="O605" i="2" s="1"/>
  <c r="P605" i="2" s="1"/>
  <c r="H597" i="2"/>
  <c r="I597" i="2" s="1"/>
  <c r="J597" i="2" s="1"/>
  <c r="K597" i="2" s="1"/>
  <c r="L597" i="2" s="1"/>
  <c r="M597" i="2" s="1"/>
  <c r="N597" i="2" s="1"/>
  <c r="O597" i="2" s="1"/>
  <c r="P597" i="2" s="1"/>
  <c r="H589" i="2"/>
  <c r="I589" i="2" s="1"/>
  <c r="J589" i="2" s="1"/>
  <c r="K589" i="2" s="1"/>
  <c r="L589" i="2" s="1"/>
  <c r="M589" i="2" s="1"/>
  <c r="N589" i="2" s="1"/>
  <c r="O589" i="2" s="1"/>
  <c r="P589" i="2" s="1"/>
  <c r="H581" i="2"/>
  <c r="I581" i="2" s="1"/>
  <c r="J581" i="2" s="1"/>
  <c r="K581" i="2" s="1"/>
  <c r="L581" i="2" s="1"/>
  <c r="M581" i="2" s="1"/>
  <c r="N581" i="2" s="1"/>
  <c r="O581" i="2" s="1"/>
  <c r="P581" i="2" s="1"/>
  <c r="H573" i="2"/>
  <c r="I573" i="2" s="1"/>
  <c r="J573" i="2" s="1"/>
  <c r="K573" i="2" s="1"/>
  <c r="L573" i="2" s="1"/>
  <c r="M573" i="2" s="1"/>
  <c r="N573" i="2" s="1"/>
  <c r="O573" i="2" s="1"/>
  <c r="P573" i="2" s="1"/>
  <c r="H565" i="2"/>
  <c r="I565" i="2" s="1"/>
  <c r="J565" i="2" s="1"/>
  <c r="K565" i="2" s="1"/>
  <c r="L565" i="2" s="1"/>
  <c r="M565" i="2" s="1"/>
  <c r="N565" i="2" s="1"/>
  <c r="O565" i="2" s="1"/>
  <c r="P565" i="2" s="1"/>
  <c r="H557" i="2"/>
  <c r="I557" i="2" s="1"/>
  <c r="J557" i="2" s="1"/>
  <c r="K557" i="2" s="1"/>
  <c r="L557" i="2" s="1"/>
  <c r="M557" i="2" s="1"/>
  <c r="N557" i="2" s="1"/>
  <c r="O557" i="2" s="1"/>
  <c r="P557" i="2" s="1"/>
  <c r="H549" i="2"/>
  <c r="I549" i="2" s="1"/>
  <c r="J549" i="2" s="1"/>
  <c r="K549" i="2" s="1"/>
  <c r="L549" i="2" s="1"/>
  <c r="M549" i="2" s="1"/>
  <c r="N549" i="2" s="1"/>
  <c r="O549" i="2" s="1"/>
  <c r="P549" i="2" s="1"/>
  <c r="H541" i="2"/>
  <c r="I541" i="2" s="1"/>
  <c r="J541" i="2" s="1"/>
  <c r="K541" i="2" s="1"/>
  <c r="L541" i="2" s="1"/>
  <c r="M541" i="2" s="1"/>
  <c r="N541" i="2" s="1"/>
  <c r="O541" i="2" s="1"/>
  <c r="P541" i="2" s="1"/>
  <c r="H533" i="2"/>
  <c r="I533" i="2" s="1"/>
  <c r="J533" i="2" s="1"/>
  <c r="K533" i="2" s="1"/>
  <c r="L533" i="2" s="1"/>
  <c r="M533" i="2" s="1"/>
  <c r="N533" i="2" s="1"/>
  <c r="O533" i="2" s="1"/>
  <c r="P533" i="2" s="1"/>
  <c r="H525" i="2"/>
  <c r="I525" i="2" s="1"/>
  <c r="J525" i="2" s="1"/>
  <c r="K525" i="2" s="1"/>
  <c r="L525" i="2" s="1"/>
  <c r="M525" i="2" s="1"/>
  <c r="N525" i="2" s="1"/>
  <c r="O525" i="2" s="1"/>
  <c r="P525" i="2" s="1"/>
  <c r="Q525" i="2" s="1"/>
  <c r="R525" i="2" s="1"/>
  <c r="S525" i="2" s="1"/>
  <c r="H517" i="2"/>
  <c r="I517" i="2" s="1"/>
  <c r="J517" i="2" s="1"/>
  <c r="K517" i="2" s="1"/>
  <c r="L517" i="2" s="1"/>
  <c r="M517" i="2" s="1"/>
  <c r="N517" i="2" s="1"/>
  <c r="O517" i="2" s="1"/>
  <c r="P517" i="2" s="1"/>
  <c r="H509" i="2"/>
  <c r="I509" i="2" s="1"/>
  <c r="J509" i="2" s="1"/>
  <c r="K509" i="2" s="1"/>
  <c r="L509" i="2" s="1"/>
  <c r="M509" i="2" s="1"/>
  <c r="N509" i="2" s="1"/>
  <c r="O509" i="2" s="1"/>
  <c r="P509" i="2" s="1"/>
  <c r="H501" i="2"/>
  <c r="I501" i="2" s="1"/>
  <c r="J501" i="2" s="1"/>
  <c r="K501" i="2" s="1"/>
  <c r="L501" i="2" s="1"/>
  <c r="M501" i="2" s="1"/>
  <c r="N501" i="2" s="1"/>
  <c r="O501" i="2" s="1"/>
  <c r="P501" i="2" s="1"/>
  <c r="H493" i="2"/>
  <c r="I493" i="2" s="1"/>
  <c r="J493" i="2" s="1"/>
  <c r="K493" i="2" s="1"/>
  <c r="L493" i="2" s="1"/>
  <c r="M493" i="2" s="1"/>
  <c r="N493" i="2" s="1"/>
  <c r="O493" i="2" s="1"/>
  <c r="P493" i="2" s="1"/>
  <c r="H485" i="2"/>
  <c r="I485" i="2" s="1"/>
  <c r="J485" i="2" s="1"/>
  <c r="K485" i="2" s="1"/>
  <c r="L485" i="2" s="1"/>
  <c r="M485" i="2" s="1"/>
  <c r="N485" i="2" s="1"/>
  <c r="O485" i="2" s="1"/>
  <c r="P485" i="2" s="1"/>
  <c r="H477" i="2"/>
  <c r="I477" i="2" s="1"/>
  <c r="J477" i="2" s="1"/>
  <c r="K477" i="2" s="1"/>
  <c r="L477" i="2" s="1"/>
  <c r="M477" i="2" s="1"/>
  <c r="N477" i="2" s="1"/>
  <c r="O477" i="2" s="1"/>
  <c r="P477" i="2" s="1"/>
  <c r="H469" i="2"/>
  <c r="I469" i="2" s="1"/>
  <c r="J469" i="2" s="1"/>
  <c r="K469" i="2" s="1"/>
  <c r="L469" i="2" s="1"/>
  <c r="M469" i="2" s="1"/>
  <c r="N469" i="2" s="1"/>
  <c r="O469" i="2" s="1"/>
  <c r="P469" i="2" s="1"/>
  <c r="H461" i="2"/>
  <c r="I461" i="2" s="1"/>
  <c r="J461" i="2" s="1"/>
  <c r="K461" i="2" s="1"/>
  <c r="L461" i="2" s="1"/>
  <c r="M461" i="2" s="1"/>
  <c r="N461" i="2" s="1"/>
  <c r="O461" i="2" s="1"/>
  <c r="P461" i="2" s="1"/>
  <c r="H453" i="2"/>
  <c r="I453" i="2" s="1"/>
  <c r="J453" i="2" s="1"/>
  <c r="K453" i="2" s="1"/>
  <c r="L453" i="2" s="1"/>
  <c r="M453" i="2" s="1"/>
  <c r="N453" i="2" s="1"/>
  <c r="O453" i="2" s="1"/>
  <c r="P453" i="2" s="1"/>
  <c r="H445" i="2"/>
  <c r="I445" i="2" s="1"/>
  <c r="J445" i="2" s="1"/>
  <c r="K445" i="2" s="1"/>
  <c r="L445" i="2" s="1"/>
  <c r="M445" i="2" s="1"/>
  <c r="N445" i="2" s="1"/>
  <c r="O445" i="2" s="1"/>
  <c r="P445" i="2" s="1"/>
  <c r="H437" i="2"/>
  <c r="I437" i="2" s="1"/>
  <c r="J437" i="2" s="1"/>
  <c r="K437" i="2" s="1"/>
  <c r="L437" i="2" s="1"/>
  <c r="M437" i="2" s="1"/>
  <c r="N437" i="2" s="1"/>
  <c r="O437" i="2" s="1"/>
  <c r="P437" i="2" s="1"/>
  <c r="H429" i="2"/>
  <c r="I429" i="2" s="1"/>
  <c r="J429" i="2" s="1"/>
  <c r="K429" i="2" s="1"/>
  <c r="L429" i="2" s="1"/>
  <c r="M429" i="2" s="1"/>
  <c r="N429" i="2" s="1"/>
  <c r="O429" i="2" s="1"/>
  <c r="P429" i="2" s="1"/>
  <c r="H421" i="2"/>
  <c r="I421" i="2" s="1"/>
  <c r="J421" i="2" s="1"/>
  <c r="K421" i="2" s="1"/>
  <c r="L421" i="2" s="1"/>
  <c r="M421" i="2" s="1"/>
  <c r="N421" i="2" s="1"/>
  <c r="O421" i="2" s="1"/>
  <c r="P421" i="2" s="1"/>
  <c r="H413" i="2"/>
  <c r="I413" i="2" s="1"/>
  <c r="J413" i="2" s="1"/>
  <c r="K413" i="2" s="1"/>
  <c r="L413" i="2" s="1"/>
  <c r="M413" i="2" s="1"/>
  <c r="N413" i="2" s="1"/>
  <c r="O413" i="2" s="1"/>
  <c r="P413" i="2" s="1"/>
  <c r="H405" i="2"/>
  <c r="I405" i="2" s="1"/>
  <c r="J405" i="2" s="1"/>
  <c r="K405" i="2" s="1"/>
  <c r="L405" i="2" s="1"/>
  <c r="M405" i="2" s="1"/>
  <c r="N405" i="2" s="1"/>
  <c r="O405" i="2" s="1"/>
  <c r="P405" i="2" s="1"/>
  <c r="H397" i="2"/>
  <c r="I397" i="2" s="1"/>
  <c r="J397" i="2" s="1"/>
  <c r="K397" i="2" s="1"/>
  <c r="L397" i="2" s="1"/>
  <c r="M397" i="2" s="1"/>
  <c r="N397" i="2" s="1"/>
  <c r="O397" i="2" s="1"/>
  <c r="P397" i="2" s="1"/>
  <c r="H389" i="2"/>
  <c r="I389" i="2" s="1"/>
  <c r="J389" i="2" s="1"/>
  <c r="K389" i="2" s="1"/>
  <c r="L389" i="2" s="1"/>
  <c r="M389" i="2" s="1"/>
  <c r="N389" i="2" s="1"/>
  <c r="O389" i="2" s="1"/>
  <c r="P389" i="2" s="1"/>
  <c r="H381" i="2"/>
  <c r="I381" i="2" s="1"/>
  <c r="J381" i="2" s="1"/>
  <c r="K381" i="2" s="1"/>
  <c r="L381" i="2" s="1"/>
  <c r="M381" i="2" s="1"/>
  <c r="N381" i="2" s="1"/>
  <c r="O381" i="2" s="1"/>
  <c r="P381" i="2" s="1"/>
  <c r="H373" i="2"/>
  <c r="I373" i="2" s="1"/>
  <c r="J373" i="2" s="1"/>
  <c r="K373" i="2" s="1"/>
  <c r="L373" i="2" s="1"/>
  <c r="M373" i="2" s="1"/>
  <c r="N373" i="2" s="1"/>
  <c r="O373" i="2" s="1"/>
  <c r="P373" i="2" s="1"/>
  <c r="H365" i="2"/>
  <c r="I365" i="2" s="1"/>
  <c r="J365" i="2" s="1"/>
  <c r="K365" i="2" s="1"/>
  <c r="L365" i="2" s="1"/>
  <c r="M365" i="2" s="1"/>
  <c r="N365" i="2" s="1"/>
  <c r="O365" i="2" s="1"/>
  <c r="P365" i="2" s="1"/>
  <c r="H357" i="2"/>
  <c r="I357" i="2" s="1"/>
  <c r="J357" i="2" s="1"/>
  <c r="K357" i="2" s="1"/>
  <c r="L357" i="2" s="1"/>
  <c r="M357" i="2" s="1"/>
  <c r="N357" i="2" s="1"/>
  <c r="O357" i="2" s="1"/>
  <c r="P357" i="2" s="1"/>
  <c r="H349" i="2"/>
  <c r="I349" i="2" s="1"/>
  <c r="J349" i="2" s="1"/>
  <c r="K349" i="2" s="1"/>
  <c r="L349" i="2" s="1"/>
  <c r="M349" i="2" s="1"/>
  <c r="N349" i="2" s="1"/>
  <c r="O349" i="2" s="1"/>
  <c r="P349" i="2" s="1"/>
  <c r="H341" i="2"/>
  <c r="I341" i="2" s="1"/>
  <c r="J341" i="2" s="1"/>
  <c r="K341" i="2" s="1"/>
  <c r="L341" i="2" s="1"/>
  <c r="M341" i="2" s="1"/>
  <c r="N341" i="2" s="1"/>
  <c r="O341" i="2" s="1"/>
  <c r="P341" i="2" s="1"/>
  <c r="H333" i="2"/>
  <c r="I333" i="2" s="1"/>
  <c r="J333" i="2" s="1"/>
  <c r="K333" i="2" s="1"/>
  <c r="L333" i="2" s="1"/>
  <c r="M333" i="2" s="1"/>
  <c r="N333" i="2" s="1"/>
  <c r="O333" i="2" s="1"/>
  <c r="P333" i="2" s="1"/>
  <c r="H325" i="2"/>
  <c r="I325" i="2" s="1"/>
  <c r="J325" i="2" s="1"/>
  <c r="K325" i="2" s="1"/>
  <c r="L325" i="2" s="1"/>
  <c r="M325" i="2" s="1"/>
  <c r="N325" i="2" s="1"/>
  <c r="O325" i="2" s="1"/>
  <c r="P325" i="2" s="1"/>
  <c r="H317" i="2"/>
  <c r="I317" i="2" s="1"/>
  <c r="J317" i="2" s="1"/>
  <c r="K317" i="2" s="1"/>
  <c r="L317" i="2" s="1"/>
  <c r="M317" i="2" s="1"/>
  <c r="N317" i="2" s="1"/>
  <c r="O317" i="2" s="1"/>
  <c r="P317" i="2" s="1"/>
  <c r="H309" i="2"/>
  <c r="I309" i="2" s="1"/>
  <c r="J309" i="2" s="1"/>
  <c r="K309" i="2" s="1"/>
  <c r="L309" i="2" s="1"/>
  <c r="M309" i="2" s="1"/>
  <c r="N309" i="2" s="1"/>
  <c r="O309" i="2" s="1"/>
  <c r="P309" i="2" s="1"/>
  <c r="H301" i="2"/>
  <c r="I301" i="2" s="1"/>
  <c r="J301" i="2" s="1"/>
  <c r="K301" i="2" s="1"/>
  <c r="L301" i="2" s="1"/>
  <c r="M301" i="2" s="1"/>
  <c r="N301" i="2" s="1"/>
  <c r="O301" i="2" s="1"/>
  <c r="P301" i="2" s="1"/>
  <c r="H293" i="2"/>
  <c r="I293" i="2" s="1"/>
  <c r="J293" i="2" s="1"/>
  <c r="K293" i="2" s="1"/>
  <c r="L293" i="2" s="1"/>
  <c r="M293" i="2" s="1"/>
  <c r="N293" i="2" s="1"/>
  <c r="O293" i="2" s="1"/>
  <c r="P293" i="2" s="1"/>
  <c r="H285" i="2"/>
  <c r="I285" i="2" s="1"/>
  <c r="J285" i="2" s="1"/>
  <c r="K285" i="2" s="1"/>
  <c r="L285" i="2" s="1"/>
  <c r="M285" i="2" s="1"/>
  <c r="N285" i="2" s="1"/>
  <c r="O285" i="2" s="1"/>
  <c r="P285" i="2" s="1"/>
  <c r="H277" i="2"/>
  <c r="I277" i="2" s="1"/>
  <c r="J277" i="2" s="1"/>
  <c r="K277" i="2" s="1"/>
  <c r="L277" i="2" s="1"/>
  <c r="M277" i="2" s="1"/>
  <c r="N277" i="2" s="1"/>
  <c r="O277" i="2" s="1"/>
  <c r="P277" i="2" s="1"/>
  <c r="H269" i="2"/>
  <c r="I269" i="2" s="1"/>
  <c r="J269" i="2" s="1"/>
  <c r="K269" i="2" s="1"/>
  <c r="L269" i="2" s="1"/>
  <c r="M269" i="2" s="1"/>
  <c r="N269" i="2" s="1"/>
  <c r="O269" i="2" s="1"/>
  <c r="P269" i="2" s="1"/>
  <c r="H261" i="2"/>
  <c r="I261" i="2" s="1"/>
  <c r="J261" i="2" s="1"/>
  <c r="K261" i="2" s="1"/>
  <c r="L261" i="2" s="1"/>
  <c r="M261" i="2" s="1"/>
  <c r="N261" i="2" s="1"/>
  <c r="O261" i="2" s="1"/>
  <c r="P261" i="2" s="1"/>
  <c r="H253" i="2"/>
  <c r="I253" i="2" s="1"/>
  <c r="J253" i="2" s="1"/>
  <c r="K253" i="2" s="1"/>
  <c r="L253" i="2" s="1"/>
  <c r="M253" i="2" s="1"/>
  <c r="N253" i="2" s="1"/>
  <c r="O253" i="2" s="1"/>
  <c r="P253" i="2" s="1"/>
  <c r="H245" i="2"/>
  <c r="I245" i="2" s="1"/>
  <c r="J245" i="2" s="1"/>
  <c r="K245" i="2" s="1"/>
  <c r="L245" i="2" s="1"/>
  <c r="M245" i="2" s="1"/>
  <c r="N245" i="2" s="1"/>
  <c r="O245" i="2" s="1"/>
  <c r="P245" i="2" s="1"/>
  <c r="H237" i="2"/>
  <c r="I237" i="2" s="1"/>
  <c r="J237" i="2" s="1"/>
  <c r="K237" i="2" s="1"/>
  <c r="L237" i="2" s="1"/>
  <c r="M237" i="2" s="1"/>
  <c r="N237" i="2" s="1"/>
  <c r="O237" i="2" s="1"/>
  <c r="P237" i="2" s="1"/>
  <c r="H229" i="2"/>
  <c r="I229" i="2" s="1"/>
  <c r="J229" i="2" s="1"/>
  <c r="K229" i="2" s="1"/>
  <c r="L229" i="2" s="1"/>
  <c r="M229" i="2" s="1"/>
  <c r="N229" i="2" s="1"/>
  <c r="O229" i="2" s="1"/>
  <c r="P229" i="2" s="1"/>
  <c r="H221" i="2"/>
  <c r="I221" i="2" s="1"/>
  <c r="J221" i="2" s="1"/>
  <c r="K221" i="2" s="1"/>
  <c r="L221" i="2" s="1"/>
  <c r="M221" i="2" s="1"/>
  <c r="N221" i="2" s="1"/>
  <c r="O221" i="2" s="1"/>
  <c r="P221" i="2" s="1"/>
  <c r="H213" i="2"/>
  <c r="I213" i="2" s="1"/>
  <c r="J213" i="2" s="1"/>
  <c r="K213" i="2" s="1"/>
  <c r="L213" i="2" s="1"/>
  <c r="M213" i="2" s="1"/>
  <c r="N213" i="2" s="1"/>
  <c r="O213" i="2" s="1"/>
  <c r="P213" i="2" s="1"/>
  <c r="Q1001" i="2"/>
  <c r="R1001" i="2" s="1"/>
  <c r="S1001" i="2" s="1"/>
  <c r="Q982" i="2"/>
  <c r="R982" i="2" s="1"/>
  <c r="S982" i="2" s="1"/>
  <c r="Q960" i="2"/>
  <c r="R960" i="2" s="1"/>
  <c r="S960" i="2" s="1"/>
  <c r="Q937" i="2"/>
  <c r="R937" i="2" s="1"/>
  <c r="S937" i="2" s="1"/>
  <c r="Q918" i="2"/>
  <c r="R918" i="2" s="1"/>
  <c r="S918" i="2" s="1"/>
  <c r="Q896" i="2"/>
  <c r="R896" i="2" s="1"/>
  <c r="S896" i="2" s="1"/>
  <c r="Q873" i="2"/>
  <c r="R873" i="2" s="1"/>
  <c r="S873" i="2" s="1"/>
  <c r="Q854" i="2"/>
  <c r="R854" i="2" s="1"/>
  <c r="S854" i="2" s="1"/>
  <c r="Q832" i="2"/>
  <c r="R832" i="2" s="1"/>
  <c r="S832" i="2" s="1"/>
  <c r="Q809" i="2"/>
  <c r="R809" i="2" s="1"/>
  <c r="S809" i="2" s="1"/>
  <c r="Q790" i="2"/>
  <c r="R790" i="2" s="1"/>
  <c r="S790" i="2" s="1"/>
  <c r="Q768" i="2"/>
  <c r="R768" i="2" s="1"/>
  <c r="S768" i="2" s="1"/>
  <c r="Q745" i="2"/>
  <c r="R745" i="2" s="1"/>
  <c r="S745" i="2" s="1"/>
  <c r="Q726" i="2"/>
  <c r="R726" i="2" s="1"/>
  <c r="S726" i="2" s="1"/>
  <c r="Q704" i="2"/>
  <c r="R704" i="2" s="1"/>
  <c r="S704" i="2" s="1"/>
  <c r="Q678" i="2"/>
  <c r="R678" i="2" s="1"/>
  <c r="S678" i="2" s="1"/>
  <c r="Q647" i="2"/>
  <c r="R647" i="2" s="1"/>
  <c r="S647" i="2" s="1"/>
  <c r="Q611" i="2"/>
  <c r="R611" i="2" s="1"/>
  <c r="S611" i="2" s="1"/>
  <c r="Q574" i="2"/>
  <c r="R574" i="2" s="1"/>
  <c r="S574" i="2" s="1"/>
  <c r="Q523" i="2"/>
  <c r="R523" i="2" s="1"/>
  <c r="S523" i="2" s="1"/>
  <c r="Q464" i="2"/>
  <c r="R464" i="2" s="1"/>
  <c r="S464" i="2" s="1"/>
  <c r="Q403" i="2"/>
  <c r="R403" i="2" s="1"/>
  <c r="S403" i="2" s="1"/>
  <c r="Q267" i="2"/>
  <c r="R267" i="2" s="1"/>
  <c r="S267" i="2" s="1"/>
  <c r="Q96" i="2"/>
  <c r="R96" i="2" s="1"/>
  <c r="S96" i="2" s="1"/>
  <c r="H649" i="2"/>
  <c r="I649" i="2" s="1"/>
  <c r="J649" i="2" s="1"/>
  <c r="K649" i="2" s="1"/>
  <c r="L649" i="2" s="1"/>
  <c r="M649" i="2" s="1"/>
  <c r="N649" i="2" s="1"/>
  <c r="O649" i="2" s="1"/>
  <c r="P649" i="2" s="1"/>
  <c r="H601" i="2"/>
  <c r="I601" i="2" s="1"/>
  <c r="J601" i="2" s="1"/>
  <c r="K601" i="2" s="1"/>
  <c r="L601" i="2" s="1"/>
  <c r="M601" i="2" s="1"/>
  <c r="N601" i="2" s="1"/>
  <c r="O601" i="2" s="1"/>
  <c r="P601" i="2" s="1"/>
  <c r="H553" i="2"/>
  <c r="I553" i="2" s="1"/>
  <c r="J553" i="2" s="1"/>
  <c r="K553" i="2" s="1"/>
  <c r="L553" i="2" s="1"/>
  <c r="M553" i="2" s="1"/>
  <c r="N553" i="2" s="1"/>
  <c r="O553" i="2" s="1"/>
  <c r="P553" i="2" s="1"/>
  <c r="H505" i="2"/>
  <c r="I505" i="2" s="1"/>
  <c r="J505" i="2" s="1"/>
  <c r="K505" i="2" s="1"/>
  <c r="L505" i="2" s="1"/>
  <c r="M505" i="2" s="1"/>
  <c r="N505" i="2" s="1"/>
  <c r="O505" i="2" s="1"/>
  <c r="P505" i="2" s="1"/>
  <c r="H449" i="2"/>
  <c r="I449" i="2" s="1"/>
  <c r="J449" i="2" s="1"/>
  <c r="K449" i="2" s="1"/>
  <c r="L449" i="2" s="1"/>
  <c r="M449" i="2" s="1"/>
  <c r="N449" i="2" s="1"/>
  <c r="O449" i="2" s="1"/>
  <c r="P449" i="2" s="1"/>
  <c r="H393" i="2"/>
  <c r="I393" i="2" s="1"/>
  <c r="J393" i="2" s="1"/>
  <c r="K393" i="2" s="1"/>
  <c r="L393" i="2" s="1"/>
  <c r="M393" i="2" s="1"/>
  <c r="N393" i="2" s="1"/>
  <c r="O393" i="2" s="1"/>
  <c r="P393" i="2" s="1"/>
  <c r="H345" i="2"/>
  <c r="I345" i="2" s="1"/>
  <c r="J345" i="2" s="1"/>
  <c r="K345" i="2" s="1"/>
  <c r="L345" i="2" s="1"/>
  <c r="M345" i="2" s="1"/>
  <c r="N345" i="2" s="1"/>
  <c r="O345" i="2" s="1"/>
  <c r="P345" i="2" s="1"/>
  <c r="H273" i="2"/>
  <c r="I273" i="2" s="1"/>
  <c r="J273" i="2" s="1"/>
  <c r="K273" i="2" s="1"/>
  <c r="L273" i="2" s="1"/>
  <c r="M273" i="2" s="1"/>
  <c r="N273" i="2" s="1"/>
  <c r="O273" i="2" s="1"/>
  <c r="P273" i="2" s="1"/>
  <c r="H217" i="2"/>
  <c r="I217" i="2" s="1"/>
  <c r="J217" i="2" s="1"/>
  <c r="K217" i="2" s="1"/>
  <c r="L217" i="2" s="1"/>
  <c r="M217" i="2" s="1"/>
  <c r="N217" i="2" s="1"/>
  <c r="O217" i="2" s="1"/>
  <c r="P217" i="2" s="1"/>
  <c r="H177" i="2"/>
  <c r="I177" i="2" s="1"/>
  <c r="J177" i="2" s="1"/>
  <c r="K177" i="2" s="1"/>
  <c r="L177" i="2" s="1"/>
  <c r="M177" i="2" s="1"/>
  <c r="N177" i="2" s="1"/>
  <c r="O177" i="2" s="1"/>
  <c r="P177" i="2" s="1"/>
  <c r="H137" i="2"/>
  <c r="I137" i="2" s="1"/>
  <c r="J137" i="2" s="1"/>
  <c r="K137" i="2" s="1"/>
  <c r="L137" i="2" s="1"/>
  <c r="M137" i="2" s="1"/>
  <c r="N137" i="2" s="1"/>
  <c r="O137" i="2" s="1"/>
  <c r="P137" i="2" s="1"/>
  <c r="H89" i="2"/>
  <c r="I89" i="2" s="1"/>
  <c r="J89" i="2" s="1"/>
  <c r="K89" i="2" s="1"/>
  <c r="L89" i="2" s="1"/>
  <c r="M89" i="2" s="1"/>
  <c r="N89" i="2" s="1"/>
  <c r="O89" i="2" s="1"/>
  <c r="P89" i="2" s="1"/>
  <c r="H33" i="2"/>
  <c r="I33" i="2" s="1"/>
  <c r="J33" i="2" s="1"/>
  <c r="K33" i="2" s="1"/>
  <c r="L33" i="2" s="1"/>
  <c r="M33" i="2" s="1"/>
  <c r="N33" i="2" s="1"/>
  <c r="O33" i="2" s="1"/>
  <c r="P33" i="2" s="1"/>
  <c r="Q969" i="2"/>
  <c r="R969" i="2" s="1"/>
  <c r="S969" i="2" s="1"/>
  <c r="Q777" i="2"/>
  <c r="R777" i="2" s="1"/>
  <c r="S777" i="2" s="1"/>
  <c r="Q713" i="2"/>
  <c r="R713" i="2" s="1"/>
  <c r="S713" i="2" s="1"/>
  <c r="H1004" i="2"/>
  <c r="I1004" i="2" s="1"/>
  <c r="J1004" i="2" s="1"/>
  <c r="K1004" i="2" s="1"/>
  <c r="L1004" i="2" s="1"/>
  <c r="M1004" i="2" s="1"/>
  <c r="N1004" i="2" s="1"/>
  <c r="O1004" i="2" s="1"/>
  <c r="P1004" i="2" s="1"/>
  <c r="H996" i="2"/>
  <c r="I996" i="2" s="1"/>
  <c r="J996" i="2" s="1"/>
  <c r="K996" i="2" s="1"/>
  <c r="L996" i="2" s="1"/>
  <c r="M996" i="2" s="1"/>
  <c r="N996" i="2" s="1"/>
  <c r="O996" i="2" s="1"/>
  <c r="P996" i="2" s="1"/>
  <c r="H988" i="2"/>
  <c r="I988" i="2" s="1"/>
  <c r="J988" i="2" s="1"/>
  <c r="K988" i="2" s="1"/>
  <c r="L988" i="2" s="1"/>
  <c r="M988" i="2" s="1"/>
  <c r="N988" i="2" s="1"/>
  <c r="O988" i="2" s="1"/>
  <c r="P988" i="2" s="1"/>
  <c r="H980" i="2"/>
  <c r="I980" i="2" s="1"/>
  <c r="J980" i="2" s="1"/>
  <c r="K980" i="2" s="1"/>
  <c r="L980" i="2" s="1"/>
  <c r="M980" i="2" s="1"/>
  <c r="N980" i="2" s="1"/>
  <c r="O980" i="2" s="1"/>
  <c r="P980" i="2" s="1"/>
  <c r="H972" i="2"/>
  <c r="I972" i="2" s="1"/>
  <c r="J972" i="2" s="1"/>
  <c r="K972" i="2" s="1"/>
  <c r="L972" i="2" s="1"/>
  <c r="M972" i="2" s="1"/>
  <c r="N972" i="2" s="1"/>
  <c r="O972" i="2" s="1"/>
  <c r="P972" i="2" s="1"/>
  <c r="H964" i="2"/>
  <c r="I964" i="2" s="1"/>
  <c r="J964" i="2" s="1"/>
  <c r="K964" i="2" s="1"/>
  <c r="L964" i="2" s="1"/>
  <c r="M964" i="2" s="1"/>
  <c r="N964" i="2" s="1"/>
  <c r="O964" i="2" s="1"/>
  <c r="P964" i="2" s="1"/>
  <c r="H956" i="2"/>
  <c r="I956" i="2" s="1"/>
  <c r="J956" i="2" s="1"/>
  <c r="K956" i="2" s="1"/>
  <c r="L956" i="2" s="1"/>
  <c r="M956" i="2" s="1"/>
  <c r="N956" i="2" s="1"/>
  <c r="O956" i="2" s="1"/>
  <c r="P956" i="2" s="1"/>
  <c r="H948" i="2"/>
  <c r="I948" i="2" s="1"/>
  <c r="J948" i="2" s="1"/>
  <c r="K948" i="2" s="1"/>
  <c r="L948" i="2" s="1"/>
  <c r="M948" i="2" s="1"/>
  <c r="N948" i="2" s="1"/>
  <c r="O948" i="2" s="1"/>
  <c r="P948" i="2" s="1"/>
  <c r="H940" i="2"/>
  <c r="I940" i="2" s="1"/>
  <c r="J940" i="2" s="1"/>
  <c r="K940" i="2" s="1"/>
  <c r="L940" i="2" s="1"/>
  <c r="M940" i="2" s="1"/>
  <c r="N940" i="2" s="1"/>
  <c r="O940" i="2" s="1"/>
  <c r="P940" i="2" s="1"/>
  <c r="H932" i="2"/>
  <c r="I932" i="2" s="1"/>
  <c r="J932" i="2" s="1"/>
  <c r="K932" i="2" s="1"/>
  <c r="L932" i="2" s="1"/>
  <c r="M932" i="2" s="1"/>
  <c r="N932" i="2" s="1"/>
  <c r="O932" i="2" s="1"/>
  <c r="P932" i="2" s="1"/>
  <c r="H924" i="2"/>
  <c r="I924" i="2" s="1"/>
  <c r="J924" i="2" s="1"/>
  <c r="K924" i="2" s="1"/>
  <c r="L924" i="2" s="1"/>
  <c r="M924" i="2" s="1"/>
  <c r="N924" i="2" s="1"/>
  <c r="O924" i="2" s="1"/>
  <c r="P924" i="2" s="1"/>
  <c r="H916" i="2"/>
  <c r="I916" i="2" s="1"/>
  <c r="J916" i="2" s="1"/>
  <c r="K916" i="2" s="1"/>
  <c r="L916" i="2" s="1"/>
  <c r="M916" i="2" s="1"/>
  <c r="N916" i="2" s="1"/>
  <c r="O916" i="2" s="1"/>
  <c r="P916" i="2" s="1"/>
  <c r="H908" i="2"/>
  <c r="I908" i="2" s="1"/>
  <c r="J908" i="2" s="1"/>
  <c r="K908" i="2" s="1"/>
  <c r="L908" i="2" s="1"/>
  <c r="M908" i="2" s="1"/>
  <c r="N908" i="2" s="1"/>
  <c r="O908" i="2" s="1"/>
  <c r="P908" i="2" s="1"/>
  <c r="H900" i="2"/>
  <c r="I900" i="2" s="1"/>
  <c r="J900" i="2" s="1"/>
  <c r="K900" i="2" s="1"/>
  <c r="L900" i="2" s="1"/>
  <c r="M900" i="2" s="1"/>
  <c r="N900" i="2" s="1"/>
  <c r="O900" i="2" s="1"/>
  <c r="P900" i="2" s="1"/>
  <c r="H892" i="2"/>
  <c r="I892" i="2" s="1"/>
  <c r="J892" i="2" s="1"/>
  <c r="K892" i="2" s="1"/>
  <c r="L892" i="2" s="1"/>
  <c r="M892" i="2" s="1"/>
  <c r="N892" i="2" s="1"/>
  <c r="O892" i="2" s="1"/>
  <c r="P892" i="2" s="1"/>
  <c r="H884" i="2"/>
  <c r="I884" i="2" s="1"/>
  <c r="J884" i="2" s="1"/>
  <c r="K884" i="2" s="1"/>
  <c r="L884" i="2" s="1"/>
  <c r="M884" i="2" s="1"/>
  <c r="N884" i="2" s="1"/>
  <c r="O884" i="2" s="1"/>
  <c r="P884" i="2" s="1"/>
  <c r="H876" i="2"/>
  <c r="I876" i="2" s="1"/>
  <c r="J876" i="2" s="1"/>
  <c r="K876" i="2" s="1"/>
  <c r="L876" i="2" s="1"/>
  <c r="M876" i="2" s="1"/>
  <c r="N876" i="2" s="1"/>
  <c r="O876" i="2" s="1"/>
  <c r="P876" i="2" s="1"/>
  <c r="H868" i="2"/>
  <c r="I868" i="2" s="1"/>
  <c r="J868" i="2" s="1"/>
  <c r="K868" i="2" s="1"/>
  <c r="L868" i="2" s="1"/>
  <c r="M868" i="2" s="1"/>
  <c r="N868" i="2" s="1"/>
  <c r="O868" i="2" s="1"/>
  <c r="P868" i="2" s="1"/>
  <c r="H860" i="2"/>
  <c r="I860" i="2" s="1"/>
  <c r="J860" i="2" s="1"/>
  <c r="K860" i="2" s="1"/>
  <c r="L860" i="2" s="1"/>
  <c r="M860" i="2" s="1"/>
  <c r="N860" i="2" s="1"/>
  <c r="O860" i="2" s="1"/>
  <c r="P860" i="2" s="1"/>
  <c r="H852" i="2"/>
  <c r="I852" i="2" s="1"/>
  <c r="J852" i="2" s="1"/>
  <c r="K852" i="2" s="1"/>
  <c r="L852" i="2" s="1"/>
  <c r="M852" i="2" s="1"/>
  <c r="N852" i="2" s="1"/>
  <c r="O852" i="2" s="1"/>
  <c r="P852" i="2" s="1"/>
  <c r="H844" i="2"/>
  <c r="I844" i="2" s="1"/>
  <c r="J844" i="2" s="1"/>
  <c r="K844" i="2" s="1"/>
  <c r="L844" i="2" s="1"/>
  <c r="M844" i="2" s="1"/>
  <c r="N844" i="2" s="1"/>
  <c r="O844" i="2" s="1"/>
  <c r="P844" i="2" s="1"/>
  <c r="H836" i="2"/>
  <c r="I836" i="2" s="1"/>
  <c r="J836" i="2" s="1"/>
  <c r="K836" i="2" s="1"/>
  <c r="L836" i="2" s="1"/>
  <c r="M836" i="2" s="1"/>
  <c r="N836" i="2" s="1"/>
  <c r="O836" i="2" s="1"/>
  <c r="P836" i="2" s="1"/>
  <c r="H828" i="2"/>
  <c r="I828" i="2" s="1"/>
  <c r="J828" i="2" s="1"/>
  <c r="K828" i="2" s="1"/>
  <c r="L828" i="2" s="1"/>
  <c r="M828" i="2" s="1"/>
  <c r="N828" i="2" s="1"/>
  <c r="O828" i="2" s="1"/>
  <c r="P828" i="2" s="1"/>
  <c r="H820" i="2"/>
  <c r="I820" i="2" s="1"/>
  <c r="J820" i="2" s="1"/>
  <c r="K820" i="2" s="1"/>
  <c r="L820" i="2" s="1"/>
  <c r="M820" i="2" s="1"/>
  <c r="N820" i="2" s="1"/>
  <c r="O820" i="2" s="1"/>
  <c r="P820" i="2" s="1"/>
  <c r="H812" i="2"/>
  <c r="I812" i="2" s="1"/>
  <c r="J812" i="2" s="1"/>
  <c r="K812" i="2" s="1"/>
  <c r="L812" i="2" s="1"/>
  <c r="M812" i="2" s="1"/>
  <c r="N812" i="2" s="1"/>
  <c r="O812" i="2" s="1"/>
  <c r="P812" i="2" s="1"/>
  <c r="H804" i="2"/>
  <c r="I804" i="2" s="1"/>
  <c r="J804" i="2" s="1"/>
  <c r="K804" i="2" s="1"/>
  <c r="L804" i="2" s="1"/>
  <c r="M804" i="2" s="1"/>
  <c r="N804" i="2" s="1"/>
  <c r="O804" i="2" s="1"/>
  <c r="P804" i="2" s="1"/>
  <c r="H796" i="2"/>
  <c r="I796" i="2" s="1"/>
  <c r="J796" i="2" s="1"/>
  <c r="K796" i="2" s="1"/>
  <c r="L796" i="2" s="1"/>
  <c r="M796" i="2" s="1"/>
  <c r="N796" i="2" s="1"/>
  <c r="O796" i="2" s="1"/>
  <c r="P796" i="2" s="1"/>
  <c r="H788" i="2"/>
  <c r="I788" i="2" s="1"/>
  <c r="J788" i="2" s="1"/>
  <c r="K788" i="2" s="1"/>
  <c r="L788" i="2" s="1"/>
  <c r="M788" i="2" s="1"/>
  <c r="N788" i="2" s="1"/>
  <c r="O788" i="2" s="1"/>
  <c r="P788" i="2" s="1"/>
  <c r="H780" i="2"/>
  <c r="I780" i="2" s="1"/>
  <c r="J780" i="2" s="1"/>
  <c r="K780" i="2" s="1"/>
  <c r="L780" i="2" s="1"/>
  <c r="M780" i="2" s="1"/>
  <c r="N780" i="2" s="1"/>
  <c r="O780" i="2" s="1"/>
  <c r="P780" i="2" s="1"/>
  <c r="H772" i="2"/>
  <c r="I772" i="2" s="1"/>
  <c r="J772" i="2" s="1"/>
  <c r="K772" i="2" s="1"/>
  <c r="L772" i="2" s="1"/>
  <c r="M772" i="2" s="1"/>
  <c r="N772" i="2" s="1"/>
  <c r="O772" i="2" s="1"/>
  <c r="P772" i="2" s="1"/>
  <c r="H764" i="2"/>
  <c r="I764" i="2" s="1"/>
  <c r="J764" i="2" s="1"/>
  <c r="K764" i="2" s="1"/>
  <c r="L764" i="2" s="1"/>
  <c r="M764" i="2" s="1"/>
  <c r="N764" i="2" s="1"/>
  <c r="O764" i="2" s="1"/>
  <c r="P764" i="2" s="1"/>
  <c r="H756" i="2"/>
  <c r="I756" i="2" s="1"/>
  <c r="J756" i="2" s="1"/>
  <c r="K756" i="2" s="1"/>
  <c r="L756" i="2" s="1"/>
  <c r="M756" i="2" s="1"/>
  <c r="N756" i="2" s="1"/>
  <c r="O756" i="2" s="1"/>
  <c r="P756" i="2" s="1"/>
  <c r="H748" i="2"/>
  <c r="I748" i="2" s="1"/>
  <c r="J748" i="2" s="1"/>
  <c r="K748" i="2" s="1"/>
  <c r="L748" i="2" s="1"/>
  <c r="M748" i="2" s="1"/>
  <c r="N748" i="2" s="1"/>
  <c r="O748" i="2" s="1"/>
  <c r="P748" i="2" s="1"/>
  <c r="H740" i="2"/>
  <c r="I740" i="2" s="1"/>
  <c r="J740" i="2" s="1"/>
  <c r="K740" i="2" s="1"/>
  <c r="L740" i="2" s="1"/>
  <c r="M740" i="2" s="1"/>
  <c r="N740" i="2" s="1"/>
  <c r="O740" i="2" s="1"/>
  <c r="P740" i="2" s="1"/>
  <c r="H732" i="2"/>
  <c r="I732" i="2" s="1"/>
  <c r="J732" i="2" s="1"/>
  <c r="K732" i="2" s="1"/>
  <c r="L732" i="2" s="1"/>
  <c r="M732" i="2" s="1"/>
  <c r="N732" i="2" s="1"/>
  <c r="O732" i="2" s="1"/>
  <c r="P732" i="2" s="1"/>
  <c r="H724" i="2"/>
  <c r="I724" i="2" s="1"/>
  <c r="J724" i="2" s="1"/>
  <c r="K724" i="2" s="1"/>
  <c r="L724" i="2" s="1"/>
  <c r="M724" i="2" s="1"/>
  <c r="N724" i="2" s="1"/>
  <c r="O724" i="2" s="1"/>
  <c r="P724" i="2" s="1"/>
  <c r="H716" i="2"/>
  <c r="I716" i="2" s="1"/>
  <c r="J716" i="2" s="1"/>
  <c r="K716" i="2" s="1"/>
  <c r="L716" i="2" s="1"/>
  <c r="M716" i="2" s="1"/>
  <c r="N716" i="2" s="1"/>
  <c r="O716" i="2" s="1"/>
  <c r="P716" i="2" s="1"/>
  <c r="H708" i="2"/>
  <c r="I708" i="2" s="1"/>
  <c r="J708" i="2" s="1"/>
  <c r="K708" i="2" s="1"/>
  <c r="L708" i="2" s="1"/>
  <c r="M708" i="2" s="1"/>
  <c r="N708" i="2" s="1"/>
  <c r="O708" i="2" s="1"/>
  <c r="P708" i="2" s="1"/>
  <c r="H700" i="2"/>
  <c r="I700" i="2" s="1"/>
  <c r="J700" i="2" s="1"/>
  <c r="K700" i="2" s="1"/>
  <c r="L700" i="2" s="1"/>
  <c r="M700" i="2" s="1"/>
  <c r="N700" i="2" s="1"/>
  <c r="O700" i="2" s="1"/>
  <c r="P700" i="2" s="1"/>
  <c r="H692" i="2"/>
  <c r="I692" i="2" s="1"/>
  <c r="J692" i="2" s="1"/>
  <c r="K692" i="2" s="1"/>
  <c r="L692" i="2" s="1"/>
  <c r="M692" i="2" s="1"/>
  <c r="N692" i="2" s="1"/>
  <c r="O692" i="2" s="1"/>
  <c r="P692" i="2" s="1"/>
  <c r="H684" i="2"/>
  <c r="I684" i="2" s="1"/>
  <c r="J684" i="2" s="1"/>
  <c r="K684" i="2" s="1"/>
  <c r="L684" i="2" s="1"/>
  <c r="M684" i="2" s="1"/>
  <c r="N684" i="2" s="1"/>
  <c r="O684" i="2" s="1"/>
  <c r="P684" i="2" s="1"/>
  <c r="H676" i="2"/>
  <c r="I676" i="2" s="1"/>
  <c r="J676" i="2" s="1"/>
  <c r="K676" i="2" s="1"/>
  <c r="L676" i="2" s="1"/>
  <c r="M676" i="2" s="1"/>
  <c r="N676" i="2" s="1"/>
  <c r="O676" i="2" s="1"/>
  <c r="P676" i="2" s="1"/>
  <c r="H668" i="2"/>
  <c r="I668" i="2" s="1"/>
  <c r="J668" i="2" s="1"/>
  <c r="K668" i="2" s="1"/>
  <c r="L668" i="2" s="1"/>
  <c r="M668" i="2" s="1"/>
  <c r="N668" i="2" s="1"/>
  <c r="O668" i="2" s="1"/>
  <c r="P668" i="2" s="1"/>
  <c r="H660" i="2"/>
  <c r="I660" i="2" s="1"/>
  <c r="J660" i="2" s="1"/>
  <c r="K660" i="2" s="1"/>
  <c r="L660" i="2" s="1"/>
  <c r="M660" i="2" s="1"/>
  <c r="N660" i="2" s="1"/>
  <c r="O660" i="2" s="1"/>
  <c r="P660" i="2" s="1"/>
  <c r="H652" i="2"/>
  <c r="I652" i="2" s="1"/>
  <c r="J652" i="2" s="1"/>
  <c r="K652" i="2" s="1"/>
  <c r="L652" i="2" s="1"/>
  <c r="M652" i="2" s="1"/>
  <c r="N652" i="2" s="1"/>
  <c r="O652" i="2" s="1"/>
  <c r="P652" i="2" s="1"/>
  <c r="H644" i="2"/>
  <c r="I644" i="2" s="1"/>
  <c r="J644" i="2" s="1"/>
  <c r="K644" i="2" s="1"/>
  <c r="L644" i="2" s="1"/>
  <c r="M644" i="2" s="1"/>
  <c r="N644" i="2" s="1"/>
  <c r="O644" i="2" s="1"/>
  <c r="P644" i="2" s="1"/>
  <c r="H636" i="2"/>
  <c r="I636" i="2" s="1"/>
  <c r="J636" i="2" s="1"/>
  <c r="K636" i="2" s="1"/>
  <c r="L636" i="2" s="1"/>
  <c r="M636" i="2" s="1"/>
  <c r="N636" i="2" s="1"/>
  <c r="O636" i="2" s="1"/>
  <c r="P636" i="2" s="1"/>
  <c r="H628" i="2"/>
  <c r="I628" i="2" s="1"/>
  <c r="J628" i="2" s="1"/>
  <c r="K628" i="2" s="1"/>
  <c r="L628" i="2" s="1"/>
  <c r="M628" i="2" s="1"/>
  <c r="N628" i="2" s="1"/>
  <c r="O628" i="2" s="1"/>
  <c r="P628" i="2" s="1"/>
  <c r="H620" i="2"/>
  <c r="I620" i="2" s="1"/>
  <c r="J620" i="2" s="1"/>
  <c r="K620" i="2" s="1"/>
  <c r="L620" i="2" s="1"/>
  <c r="M620" i="2" s="1"/>
  <c r="N620" i="2" s="1"/>
  <c r="O620" i="2" s="1"/>
  <c r="P620" i="2" s="1"/>
  <c r="H612" i="2"/>
  <c r="I612" i="2" s="1"/>
  <c r="J612" i="2" s="1"/>
  <c r="K612" i="2" s="1"/>
  <c r="L612" i="2" s="1"/>
  <c r="M612" i="2" s="1"/>
  <c r="N612" i="2" s="1"/>
  <c r="O612" i="2" s="1"/>
  <c r="P612" i="2" s="1"/>
  <c r="H604" i="2"/>
  <c r="I604" i="2" s="1"/>
  <c r="J604" i="2" s="1"/>
  <c r="K604" i="2" s="1"/>
  <c r="L604" i="2" s="1"/>
  <c r="M604" i="2" s="1"/>
  <c r="N604" i="2" s="1"/>
  <c r="O604" i="2" s="1"/>
  <c r="P604" i="2" s="1"/>
  <c r="H596" i="2"/>
  <c r="I596" i="2" s="1"/>
  <c r="J596" i="2" s="1"/>
  <c r="K596" i="2" s="1"/>
  <c r="L596" i="2" s="1"/>
  <c r="M596" i="2" s="1"/>
  <c r="N596" i="2" s="1"/>
  <c r="O596" i="2" s="1"/>
  <c r="P596" i="2" s="1"/>
  <c r="H588" i="2"/>
  <c r="I588" i="2" s="1"/>
  <c r="J588" i="2" s="1"/>
  <c r="K588" i="2" s="1"/>
  <c r="L588" i="2" s="1"/>
  <c r="M588" i="2" s="1"/>
  <c r="N588" i="2" s="1"/>
  <c r="O588" i="2" s="1"/>
  <c r="P588" i="2" s="1"/>
  <c r="H580" i="2"/>
  <c r="I580" i="2" s="1"/>
  <c r="J580" i="2" s="1"/>
  <c r="K580" i="2" s="1"/>
  <c r="L580" i="2" s="1"/>
  <c r="M580" i="2" s="1"/>
  <c r="N580" i="2" s="1"/>
  <c r="O580" i="2" s="1"/>
  <c r="P580" i="2" s="1"/>
  <c r="H572" i="2"/>
  <c r="I572" i="2" s="1"/>
  <c r="J572" i="2" s="1"/>
  <c r="K572" i="2" s="1"/>
  <c r="L572" i="2" s="1"/>
  <c r="M572" i="2" s="1"/>
  <c r="N572" i="2" s="1"/>
  <c r="O572" i="2" s="1"/>
  <c r="P572" i="2" s="1"/>
  <c r="H564" i="2"/>
  <c r="I564" i="2" s="1"/>
  <c r="J564" i="2" s="1"/>
  <c r="K564" i="2" s="1"/>
  <c r="L564" i="2" s="1"/>
  <c r="M564" i="2" s="1"/>
  <c r="N564" i="2" s="1"/>
  <c r="O564" i="2" s="1"/>
  <c r="P564" i="2" s="1"/>
  <c r="H556" i="2"/>
  <c r="I556" i="2" s="1"/>
  <c r="J556" i="2" s="1"/>
  <c r="K556" i="2" s="1"/>
  <c r="L556" i="2" s="1"/>
  <c r="M556" i="2" s="1"/>
  <c r="N556" i="2" s="1"/>
  <c r="O556" i="2" s="1"/>
  <c r="P556" i="2" s="1"/>
  <c r="H548" i="2"/>
  <c r="I548" i="2" s="1"/>
  <c r="J548" i="2" s="1"/>
  <c r="K548" i="2" s="1"/>
  <c r="L548" i="2" s="1"/>
  <c r="M548" i="2" s="1"/>
  <c r="N548" i="2" s="1"/>
  <c r="O548" i="2" s="1"/>
  <c r="P548" i="2" s="1"/>
  <c r="H540" i="2"/>
  <c r="I540" i="2" s="1"/>
  <c r="J540" i="2" s="1"/>
  <c r="K540" i="2" s="1"/>
  <c r="L540" i="2" s="1"/>
  <c r="M540" i="2" s="1"/>
  <c r="N540" i="2" s="1"/>
  <c r="O540" i="2" s="1"/>
  <c r="P540" i="2" s="1"/>
  <c r="H532" i="2"/>
  <c r="I532" i="2" s="1"/>
  <c r="J532" i="2" s="1"/>
  <c r="K532" i="2" s="1"/>
  <c r="L532" i="2" s="1"/>
  <c r="M532" i="2" s="1"/>
  <c r="N532" i="2" s="1"/>
  <c r="O532" i="2" s="1"/>
  <c r="P532" i="2" s="1"/>
  <c r="H524" i="2"/>
  <c r="I524" i="2" s="1"/>
  <c r="J524" i="2" s="1"/>
  <c r="K524" i="2" s="1"/>
  <c r="L524" i="2" s="1"/>
  <c r="M524" i="2" s="1"/>
  <c r="N524" i="2" s="1"/>
  <c r="O524" i="2" s="1"/>
  <c r="P524" i="2" s="1"/>
  <c r="H516" i="2"/>
  <c r="I516" i="2" s="1"/>
  <c r="J516" i="2" s="1"/>
  <c r="K516" i="2" s="1"/>
  <c r="L516" i="2" s="1"/>
  <c r="M516" i="2" s="1"/>
  <c r="N516" i="2" s="1"/>
  <c r="O516" i="2" s="1"/>
  <c r="P516" i="2" s="1"/>
  <c r="H508" i="2"/>
  <c r="I508" i="2" s="1"/>
  <c r="J508" i="2" s="1"/>
  <c r="K508" i="2" s="1"/>
  <c r="L508" i="2" s="1"/>
  <c r="M508" i="2" s="1"/>
  <c r="N508" i="2" s="1"/>
  <c r="O508" i="2" s="1"/>
  <c r="P508" i="2" s="1"/>
  <c r="H500" i="2"/>
  <c r="I500" i="2" s="1"/>
  <c r="J500" i="2" s="1"/>
  <c r="K500" i="2" s="1"/>
  <c r="L500" i="2" s="1"/>
  <c r="M500" i="2" s="1"/>
  <c r="N500" i="2" s="1"/>
  <c r="O500" i="2" s="1"/>
  <c r="P500" i="2" s="1"/>
  <c r="H492" i="2"/>
  <c r="I492" i="2" s="1"/>
  <c r="J492" i="2" s="1"/>
  <c r="K492" i="2" s="1"/>
  <c r="L492" i="2" s="1"/>
  <c r="M492" i="2" s="1"/>
  <c r="N492" i="2" s="1"/>
  <c r="O492" i="2" s="1"/>
  <c r="P492" i="2" s="1"/>
  <c r="H484" i="2"/>
  <c r="I484" i="2" s="1"/>
  <c r="J484" i="2" s="1"/>
  <c r="K484" i="2" s="1"/>
  <c r="L484" i="2" s="1"/>
  <c r="M484" i="2" s="1"/>
  <c r="N484" i="2" s="1"/>
  <c r="O484" i="2" s="1"/>
  <c r="P484" i="2" s="1"/>
  <c r="H476" i="2"/>
  <c r="I476" i="2" s="1"/>
  <c r="J476" i="2" s="1"/>
  <c r="K476" i="2" s="1"/>
  <c r="L476" i="2" s="1"/>
  <c r="M476" i="2" s="1"/>
  <c r="N476" i="2" s="1"/>
  <c r="O476" i="2" s="1"/>
  <c r="P476" i="2" s="1"/>
  <c r="H468" i="2"/>
  <c r="I468" i="2" s="1"/>
  <c r="J468" i="2" s="1"/>
  <c r="K468" i="2" s="1"/>
  <c r="L468" i="2" s="1"/>
  <c r="M468" i="2" s="1"/>
  <c r="N468" i="2" s="1"/>
  <c r="O468" i="2" s="1"/>
  <c r="P468" i="2" s="1"/>
  <c r="H460" i="2"/>
  <c r="I460" i="2" s="1"/>
  <c r="J460" i="2" s="1"/>
  <c r="K460" i="2" s="1"/>
  <c r="L460" i="2" s="1"/>
  <c r="M460" i="2" s="1"/>
  <c r="N460" i="2" s="1"/>
  <c r="O460" i="2" s="1"/>
  <c r="P460" i="2" s="1"/>
  <c r="H452" i="2"/>
  <c r="I452" i="2" s="1"/>
  <c r="J452" i="2" s="1"/>
  <c r="K452" i="2" s="1"/>
  <c r="L452" i="2" s="1"/>
  <c r="M452" i="2" s="1"/>
  <c r="N452" i="2" s="1"/>
  <c r="O452" i="2" s="1"/>
  <c r="P452" i="2" s="1"/>
  <c r="H444" i="2"/>
  <c r="I444" i="2" s="1"/>
  <c r="J444" i="2" s="1"/>
  <c r="K444" i="2" s="1"/>
  <c r="L444" i="2" s="1"/>
  <c r="M444" i="2" s="1"/>
  <c r="N444" i="2" s="1"/>
  <c r="O444" i="2" s="1"/>
  <c r="P444" i="2" s="1"/>
  <c r="H436" i="2"/>
  <c r="I436" i="2" s="1"/>
  <c r="J436" i="2" s="1"/>
  <c r="K436" i="2" s="1"/>
  <c r="L436" i="2" s="1"/>
  <c r="M436" i="2" s="1"/>
  <c r="N436" i="2" s="1"/>
  <c r="O436" i="2" s="1"/>
  <c r="P436" i="2" s="1"/>
  <c r="H428" i="2"/>
  <c r="I428" i="2" s="1"/>
  <c r="J428" i="2" s="1"/>
  <c r="K428" i="2" s="1"/>
  <c r="L428" i="2" s="1"/>
  <c r="M428" i="2" s="1"/>
  <c r="N428" i="2" s="1"/>
  <c r="O428" i="2" s="1"/>
  <c r="P428" i="2" s="1"/>
  <c r="H420" i="2"/>
  <c r="I420" i="2" s="1"/>
  <c r="J420" i="2" s="1"/>
  <c r="K420" i="2" s="1"/>
  <c r="L420" i="2" s="1"/>
  <c r="M420" i="2" s="1"/>
  <c r="N420" i="2" s="1"/>
  <c r="O420" i="2" s="1"/>
  <c r="P420" i="2" s="1"/>
  <c r="H412" i="2"/>
  <c r="I412" i="2" s="1"/>
  <c r="J412" i="2" s="1"/>
  <c r="K412" i="2" s="1"/>
  <c r="L412" i="2" s="1"/>
  <c r="M412" i="2" s="1"/>
  <c r="N412" i="2" s="1"/>
  <c r="O412" i="2" s="1"/>
  <c r="P412" i="2" s="1"/>
  <c r="H404" i="2"/>
  <c r="I404" i="2" s="1"/>
  <c r="J404" i="2" s="1"/>
  <c r="K404" i="2" s="1"/>
  <c r="L404" i="2" s="1"/>
  <c r="M404" i="2" s="1"/>
  <c r="N404" i="2" s="1"/>
  <c r="O404" i="2" s="1"/>
  <c r="P404" i="2" s="1"/>
  <c r="H396" i="2"/>
  <c r="I396" i="2" s="1"/>
  <c r="J396" i="2" s="1"/>
  <c r="K396" i="2" s="1"/>
  <c r="L396" i="2" s="1"/>
  <c r="M396" i="2" s="1"/>
  <c r="N396" i="2" s="1"/>
  <c r="O396" i="2" s="1"/>
  <c r="P396" i="2" s="1"/>
  <c r="H388" i="2"/>
  <c r="I388" i="2" s="1"/>
  <c r="J388" i="2" s="1"/>
  <c r="K388" i="2" s="1"/>
  <c r="L388" i="2" s="1"/>
  <c r="M388" i="2" s="1"/>
  <c r="N388" i="2" s="1"/>
  <c r="O388" i="2" s="1"/>
  <c r="P388" i="2" s="1"/>
  <c r="H380" i="2"/>
  <c r="I380" i="2" s="1"/>
  <c r="J380" i="2" s="1"/>
  <c r="K380" i="2" s="1"/>
  <c r="L380" i="2" s="1"/>
  <c r="M380" i="2" s="1"/>
  <c r="N380" i="2" s="1"/>
  <c r="O380" i="2" s="1"/>
  <c r="P380" i="2" s="1"/>
  <c r="H372" i="2"/>
  <c r="I372" i="2" s="1"/>
  <c r="J372" i="2" s="1"/>
  <c r="K372" i="2" s="1"/>
  <c r="L372" i="2" s="1"/>
  <c r="M372" i="2" s="1"/>
  <c r="N372" i="2" s="1"/>
  <c r="O372" i="2" s="1"/>
  <c r="P372" i="2" s="1"/>
  <c r="H364" i="2"/>
  <c r="I364" i="2" s="1"/>
  <c r="J364" i="2" s="1"/>
  <c r="K364" i="2" s="1"/>
  <c r="L364" i="2" s="1"/>
  <c r="M364" i="2" s="1"/>
  <c r="N364" i="2" s="1"/>
  <c r="O364" i="2" s="1"/>
  <c r="P364" i="2" s="1"/>
  <c r="H356" i="2"/>
  <c r="I356" i="2" s="1"/>
  <c r="J356" i="2" s="1"/>
  <c r="K356" i="2" s="1"/>
  <c r="L356" i="2" s="1"/>
  <c r="M356" i="2" s="1"/>
  <c r="N356" i="2" s="1"/>
  <c r="O356" i="2" s="1"/>
  <c r="P356" i="2" s="1"/>
  <c r="H348" i="2"/>
  <c r="I348" i="2" s="1"/>
  <c r="J348" i="2" s="1"/>
  <c r="K348" i="2" s="1"/>
  <c r="L348" i="2" s="1"/>
  <c r="M348" i="2" s="1"/>
  <c r="N348" i="2" s="1"/>
  <c r="O348" i="2" s="1"/>
  <c r="P348" i="2" s="1"/>
  <c r="H340" i="2"/>
  <c r="I340" i="2" s="1"/>
  <c r="J340" i="2" s="1"/>
  <c r="K340" i="2" s="1"/>
  <c r="L340" i="2" s="1"/>
  <c r="M340" i="2" s="1"/>
  <c r="N340" i="2" s="1"/>
  <c r="O340" i="2" s="1"/>
  <c r="P340" i="2" s="1"/>
  <c r="H332" i="2"/>
  <c r="I332" i="2" s="1"/>
  <c r="J332" i="2" s="1"/>
  <c r="K332" i="2" s="1"/>
  <c r="L332" i="2" s="1"/>
  <c r="M332" i="2" s="1"/>
  <c r="N332" i="2" s="1"/>
  <c r="O332" i="2" s="1"/>
  <c r="P332" i="2" s="1"/>
  <c r="H324" i="2"/>
  <c r="I324" i="2" s="1"/>
  <c r="J324" i="2" s="1"/>
  <c r="K324" i="2" s="1"/>
  <c r="L324" i="2" s="1"/>
  <c r="M324" i="2" s="1"/>
  <c r="N324" i="2" s="1"/>
  <c r="O324" i="2" s="1"/>
  <c r="P324" i="2" s="1"/>
  <c r="H316" i="2"/>
  <c r="I316" i="2" s="1"/>
  <c r="J316" i="2" s="1"/>
  <c r="K316" i="2" s="1"/>
  <c r="L316" i="2" s="1"/>
  <c r="M316" i="2" s="1"/>
  <c r="N316" i="2" s="1"/>
  <c r="O316" i="2" s="1"/>
  <c r="P316" i="2" s="1"/>
  <c r="H308" i="2"/>
  <c r="I308" i="2" s="1"/>
  <c r="J308" i="2" s="1"/>
  <c r="K308" i="2" s="1"/>
  <c r="L308" i="2" s="1"/>
  <c r="M308" i="2" s="1"/>
  <c r="N308" i="2" s="1"/>
  <c r="O308" i="2" s="1"/>
  <c r="P308" i="2" s="1"/>
  <c r="H300" i="2"/>
  <c r="I300" i="2" s="1"/>
  <c r="J300" i="2" s="1"/>
  <c r="K300" i="2" s="1"/>
  <c r="L300" i="2" s="1"/>
  <c r="M300" i="2" s="1"/>
  <c r="N300" i="2" s="1"/>
  <c r="O300" i="2" s="1"/>
  <c r="P300" i="2" s="1"/>
  <c r="H292" i="2"/>
  <c r="I292" i="2" s="1"/>
  <c r="J292" i="2" s="1"/>
  <c r="K292" i="2" s="1"/>
  <c r="L292" i="2" s="1"/>
  <c r="M292" i="2" s="1"/>
  <c r="N292" i="2" s="1"/>
  <c r="O292" i="2" s="1"/>
  <c r="P292" i="2" s="1"/>
  <c r="H284" i="2"/>
  <c r="I284" i="2" s="1"/>
  <c r="J284" i="2" s="1"/>
  <c r="K284" i="2" s="1"/>
  <c r="L284" i="2" s="1"/>
  <c r="M284" i="2" s="1"/>
  <c r="N284" i="2" s="1"/>
  <c r="O284" i="2" s="1"/>
  <c r="P284" i="2" s="1"/>
  <c r="H276" i="2"/>
  <c r="I276" i="2" s="1"/>
  <c r="J276" i="2" s="1"/>
  <c r="K276" i="2" s="1"/>
  <c r="L276" i="2" s="1"/>
  <c r="M276" i="2" s="1"/>
  <c r="N276" i="2" s="1"/>
  <c r="O276" i="2" s="1"/>
  <c r="P276" i="2" s="1"/>
  <c r="H268" i="2"/>
  <c r="I268" i="2" s="1"/>
  <c r="J268" i="2" s="1"/>
  <c r="K268" i="2" s="1"/>
  <c r="L268" i="2" s="1"/>
  <c r="M268" i="2" s="1"/>
  <c r="N268" i="2" s="1"/>
  <c r="O268" i="2" s="1"/>
  <c r="P268" i="2" s="1"/>
  <c r="H260" i="2"/>
  <c r="I260" i="2" s="1"/>
  <c r="J260" i="2" s="1"/>
  <c r="K260" i="2" s="1"/>
  <c r="L260" i="2" s="1"/>
  <c r="M260" i="2" s="1"/>
  <c r="N260" i="2" s="1"/>
  <c r="O260" i="2" s="1"/>
  <c r="P260" i="2" s="1"/>
  <c r="H252" i="2"/>
  <c r="I252" i="2" s="1"/>
  <c r="J252" i="2" s="1"/>
  <c r="K252" i="2" s="1"/>
  <c r="L252" i="2" s="1"/>
  <c r="M252" i="2" s="1"/>
  <c r="N252" i="2" s="1"/>
  <c r="O252" i="2" s="1"/>
  <c r="P252" i="2" s="1"/>
  <c r="H244" i="2"/>
  <c r="I244" i="2" s="1"/>
  <c r="J244" i="2" s="1"/>
  <c r="K244" i="2" s="1"/>
  <c r="L244" i="2" s="1"/>
  <c r="M244" i="2" s="1"/>
  <c r="N244" i="2" s="1"/>
  <c r="O244" i="2" s="1"/>
  <c r="P244" i="2" s="1"/>
  <c r="Q1000" i="2"/>
  <c r="R1000" i="2" s="1"/>
  <c r="S1000" i="2" s="1"/>
  <c r="Q977" i="2"/>
  <c r="R977" i="2" s="1"/>
  <c r="S977" i="2" s="1"/>
  <c r="Q958" i="2"/>
  <c r="R958" i="2" s="1"/>
  <c r="S958" i="2" s="1"/>
  <c r="Q936" i="2"/>
  <c r="R936" i="2" s="1"/>
  <c r="S936" i="2" s="1"/>
  <c r="Q913" i="2"/>
  <c r="R913" i="2" s="1"/>
  <c r="S913" i="2" s="1"/>
  <c r="Q894" i="2"/>
  <c r="R894" i="2" s="1"/>
  <c r="S894" i="2" s="1"/>
  <c r="Q872" i="2"/>
  <c r="R872" i="2" s="1"/>
  <c r="S872" i="2" s="1"/>
  <c r="Q849" i="2"/>
  <c r="R849" i="2" s="1"/>
  <c r="S849" i="2" s="1"/>
  <c r="Q830" i="2"/>
  <c r="R830" i="2" s="1"/>
  <c r="S830" i="2" s="1"/>
  <c r="Q808" i="2"/>
  <c r="R808" i="2" s="1"/>
  <c r="S808" i="2" s="1"/>
  <c r="Q785" i="2"/>
  <c r="R785" i="2" s="1"/>
  <c r="S785" i="2" s="1"/>
  <c r="Q766" i="2"/>
  <c r="R766" i="2" s="1"/>
  <c r="S766" i="2" s="1"/>
  <c r="Q744" i="2"/>
  <c r="R744" i="2" s="1"/>
  <c r="S744" i="2" s="1"/>
  <c r="Q721" i="2"/>
  <c r="R721" i="2" s="1"/>
  <c r="S721" i="2" s="1"/>
  <c r="Q702" i="2"/>
  <c r="R702" i="2" s="1"/>
  <c r="S702" i="2" s="1"/>
  <c r="Q675" i="2"/>
  <c r="R675" i="2" s="1"/>
  <c r="S675" i="2" s="1"/>
  <c r="Q639" i="2"/>
  <c r="R639" i="2" s="1"/>
  <c r="S639" i="2" s="1"/>
  <c r="Q608" i="2"/>
  <c r="R608" i="2" s="1"/>
  <c r="S608" i="2" s="1"/>
  <c r="Q571" i="2"/>
  <c r="R571" i="2" s="1"/>
  <c r="S571" i="2" s="1"/>
  <c r="Q510" i="2"/>
  <c r="R510" i="2" s="1"/>
  <c r="S510" i="2" s="1"/>
  <c r="Q459" i="2"/>
  <c r="R459" i="2" s="1"/>
  <c r="S459" i="2" s="1"/>
  <c r="Q400" i="2"/>
  <c r="R400" i="2" s="1"/>
  <c r="S400" i="2" s="1"/>
  <c r="Q246" i="2"/>
  <c r="R246" i="2" s="1"/>
  <c r="S246" i="2" s="1"/>
  <c r="Q75" i="2"/>
  <c r="R75" i="2" s="1"/>
  <c r="S75" i="2" s="1"/>
  <c r="H665" i="2"/>
  <c r="I665" i="2" s="1"/>
  <c r="J665" i="2" s="1"/>
  <c r="K665" i="2" s="1"/>
  <c r="L665" i="2" s="1"/>
  <c r="M665" i="2" s="1"/>
  <c r="N665" i="2" s="1"/>
  <c r="O665" i="2" s="1"/>
  <c r="P665" i="2" s="1"/>
  <c r="H609" i="2"/>
  <c r="I609" i="2" s="1"/>
  <c r="J609" i="2" s="1"/>
  <c r="K609" i="2" s="1"/>
  <c r="L609" i="2" s="1"/>
  <c r="M609" i="2" s="1"/>
  <c r="N609" i="2" s="1"/>
  <c r="O609" i="2" s="1"/>
  <c r="P609" i="2" s="1"/>
  <c r="H561" i="2"/>
  <c r="I561" i="2" s="1"/>
  <c r="J561" i="2" s="1"/>
  <c r="K561" i="2" s="1"/>
  <c r="L561" i="2" s="1"/>
  <c r="M561" i="2" s="1"/>
  <c r="N561" i="2" s="1"/>
  <c r="O561" i="2" s="1"/>
  <c r="P561" i="2" s="1"/>
  <c r="H497" i="2"/>
  <c r="I497" i="2" s="1"/>
  <c r="J497" i="2" s="1"/>
  <c r="K497" i="2" s="1"/>
  <c r="L497" i="2" s="1"/>
  <c r="M497" i="2" s="1"/>
  <c r="N497" i="2" s="1"/>
  <c r="O497" i="2" s="1"/>
  <c r="P497" i="2" s="1"/>
  <c r="H441" i="2"/>
  <c r="I441" i="2" s="1"/>
  <c r="J441" i="2" s="1"/>
  <c r="K441" i="2" s="1"/>
  <c r="L441" i="2" s="1"/>
  <c r="M441" i="2" s="1"/>
  <c r="N441" i="2" s="1"/>
  <c r="O441" i="2" s="1"/>
  <c r="P441" i="2" s="1"/>
  <c r="H385" i="2"/>
  <c r="I385" i="2" s="1"/>
  <c r="J385" i="2" s="1"/>
  <c r="K385" i="2" s="1"/>
  <c r="L385" i="2" s="1"/>
  <c r="M385" i="2" s="1"/>
  <c r="N385" i="2" s="1"/>
  <c r="O385" i="2" s="1"/>
  <c r="P385" i="2" s="1"/>
  <c r="H337" i="2"/>
  <c r="I337" i="2" s="1"/>
  <c r="J337" i="2" s="1"/>
  <c r="K337" i="2" s="1"/>
  <c r="L337" i="2" s="1"/>
  <c r="M337" i="2" s="1"/>
  <c r="N337" i="2" s="1"/>
  <c r="O337" i="2" s="1"/>
  <c r="P337" i="2" s="1"/>
  <c r="H297" i="2"/>
  <c r="I297" i="2" s="1"/>
  <c r="J297" i="2" s="1"/>
  <c r="K297" i="2" s="1"/>
  <c r="L297" i="2" s="1"/>
  <c r="M297" i="2" s="1"/>
  <c r="N297" i="2" s="1"/>
  <c r="O297" i="2" s="1"/>
  <c r="P297" i="2" s="1"/>
  <c r="H241" i="2"/>
  <c r="I241" i="2" s="1"/>
  <c r="J241" i="2" s="1"/>
  <c r="K241" i="2" s="1"/>
  <c r="L241" i="2" s="1"/>
  <c r="M241" i="2" s="1"/>
  <c r="N241" i="2" s="1"/>
  <c r="O241" i="2" s="1"/>
  <c r="P241" i="2" s="1"/>
  <c r="H193" i="2"/>
  <c r="I193" i="2" s="1"/>
  <c r="J193" i="2" s="1"/>
  <c r="K193" i="2" s="1"/>
  <c r="L193" i="2" s="1"/>
  <c r="M193" i="2" s="1"/>
  <c r="N193" i="2" s="1"/>
  <c r="O193" i="2" s="1"/>
  <c r="P193" i="2" s="1"/>
  <c r="H145" i="2"/>
  <c r="I145" i="2" s="1"/>
  <c r="J145" i="2" s="1"/>
  <c r="K145" i="2" s="1"/>
  <c r="L145" i="2" s="1"/>
  <c r="M145" i="2" s="1"/>
  <c r="N145" i="2" s="1"/>
  <c r="O145" i="2" s="1"/>
  <c r="P145" i="2" s="1"/>
  <c r="H81" i="2"/>
  <c r="I81" i="2" s="1"/>
  <c r="J81" i="2" s="1"/>
  <c r="K81" i="2" s="1"/>
  <c r="L81" i="2" s="1"/>
  <c r="M81" i="2" s="1"/>
  <c r="N81" i="2" s="1"/>
  <c r="O81" i="2" s="1"/>
  <c r="P81" i="2" s="1"/>
  <c r="H41" i="2"/>
  <c r="I41" i="2" s="1"/>
  <c r="J41" i="2" s="1"/>
  <c r="K41" i="2" s="1"/>
  <c r="L41" i="2" s="1"/>
  <c r="M41" i="2" s="1"/>
  <c r="N41" i="2" s="1"/>
  <c r="O41" i="2" s="1"/>
  <c r="P41" i="2" s="1"/>
  <c r="Q841" i="2"/>
  <c r="R841" i="2" s="1"/>
  <c r="S841" i="2" s="1"/>
  <c r="H1003" i="2"/>
  <c r="I1003" i="2" s="1"/>
  <c r="J1003" i="2" s="1"/>
  <c r="K1003" i="2" s="1"/>
  <c r="L1003" i="2" s="1"/>
  <c r="M1003" i="2" s="1"/>
  <c r="N1003" i="2" s="1"/>
  <c r="O1003" i="2" s="1"/>
  <c r="P1003" i="2" s="1"/>
  <c r="H987" i="2"/>
  <c r="I987" i="2" s="1"/>
  <c r="J987" i="2" s="1"/>
  <c r="K987" i="2" s="1"/>
  <c r="L987" i="2" s="1"/>
  <c r="M987" i="2" s="1"/>
  <c r="N987" i="2" s="1"/>
  <c r="O987" i="2" s="1"/>
  <c r="P987" i="2" s="1"/>
  <c r="H971" i="2"/>
  <c r="I971" i="2" s="1"/>
  <c r="J971" i="2" s="1"/>
  <c r="K971" i="2" s="1"/>
  <c r="L971" i="2" s="1"/>
  <c r="M971" i="2" s="1"/>
  <c r="N971" i="2" s="1"/>
  <c r="O971" i="2" s="1"/>
  <c r="P971" i="2" s="1"/>
  <c r="H955" i="2"/>
  <c r="I955" i="2" s="1"/>
  <c r="J955" i="2" s="1"/>
  <c r="K955" i="2" s="1"/>
  <c r="L955" i="2" s="1"/>
  <c r="M955" i="2" s="1"/>
  <c r="N955" i="2" s="1"/>
  <c r="O955" i="2" s="1"/>
  <c r="P955" i="2" s="1"/>
  <c r="H939" i="2"/>
  <c r="I939" i="2" s="1"/>
  <c r="J939" i="2" s="1"/>
  <c r="K939" i="2" s="1"/>
  <c r="L939" i="2" s="1"/>
  <c r="M939" i="2" s="1"/>
  <c r="N939" i="2" s="1"/>
  <c r="O939" i="2" s="1"/>
  <c r="P939" i="2" s="1"/>
  <c r="H923" i="2"/>
  <c r="I923" i="2" s="1"/>
  <c r="J923" i="2" s="1"/>
  <c r="K923" i="2" s="1"/>
  <c r="L923" i="2" s="1"/>
  <c r="M923" i="2" s="1"/>
  <c r="N923" i="2" s="1"/>
  <c r="O923" i="2" s="1"/>
  <c r="P923" i="2" s="1"/>
  <c r="H907" i="2"/>
  <c r="I907" i="2" s="1"/>
  <c r="J907" i="2" s="1"/>
  <c r="K907" i="2" s="1"/>
  <c r="L907" i="2" s="1"/>
  <c r="M907" i="2" s="1"/>
  <c r="N907" i="2" s="1"/>
  <c r="O907" i="2" s="1"/>
  <c r="P907" i="2" s="1"/>
  <c r="H891" i="2"/>
  <c r="I891" i="2" s="1"/>
  <c r="J891" i="2" s="1"/>
  <c r="K891" i="2" s="1"/>
  <c r="L891" i="2" s="1"/>
  <c r="M891" i="2" s="1"/>
  <c r="N891" i="2" s="1"/>
  <c r="O891" i="2" s="1"/>
  <c r="P891" i="2" s="1"/>
  <c r="H875" i="2"/>
  <c r="I875" i="2" s="1"/>
  <c r="J875" i="2" s="1"/>
  <c r="K875" i="2" s="1"/>
  <c r="L875" i="2" s="1"/>
  <c r="M875" i="2" s="1"/>
  <c r="N875" i="2" s="1"/>
  <c r="O875" i="2" s="1"/>
  <c r="P875" i="2" s="1"/>
  <c r="H859" i="2"/>
  <c r="I859" i="2" s="1"/>
  <c r="J859" i="2" s="1"/>
  <c r="K859" i="2" s="1"/>
  <c r="L859" i="2" s="1"/>
  <c r="M859" i="2" s="1"/>
  <c r="N859" i="2" s="1"/>
  <c r="O859" i="2" s="1"/>
  <c r="P859" i="2" s="1"/>
  <c r="H843" i="2"/>
  <c r="I843" i="2" s="1"/>
  <c r="J843" i="2" s="1"/>
  <c r="K843" i="2" s="1"/>
  <c r="L843" i="2" s="1"/>
  <c r="M843" i="2" s="1"/>
  <c r="N843" i="2" s="1"/>
  <c r="O843" i="2" s="1"/>
  <c r="P843" i="2" s="1"/>
  <c r="H827" i="2"/>
  <c r="I827" i="2" s="1"/>
  <c r="J827" i="2" s="1"/>
  <c r="K827" i="2" s="1"/>
  <c r="L827" i="2" s="1"/>
  <c r="M827" i="2" s="1"/>
  <c r="N827" i="2" s="1"/>
  <c r="O827" i="2" s="1"/>
  <c r="P827" i="2" s="1"/>
  <c r="H811" i="2"/>
  <c r="I811" i="2" s="1"/>
  <c r="J811" i="2" s="1"/>
  <c r="K811" i="2" s="1"/>
  <c r="L811" i="2" s="1"/>
  <c r="M811" i="2" s="1"/>
  <c r="N811" i="2" s="1"/>
  <c r="O811" i="2" s="1"/>
  <c r="P811" i="2" s="1"/>
  <c r="H795" i="2"/>
  <c r="I795" i="2" s="1"/>
  <c r="J795" i="2" s="1"/>
  <c r="K795" i="2" s="1"/>
  <c r="L795" i="2" s="1"/>
  <c r="M795" i="2" s="1"/>
  <c r="N795" i="2" s="1"/>
  <c r="O795" i="2" s="1"/>
  <c r="P795" i="2" s="1"/>
  <c r="H779" i="2"/>
  <c r="I779" i="2" s="1"/>
  <c r="J779" i="2" s="1"/>
  <c r="K779" i="2" s="1"/>
  <c r="L779" i="2" s="1"/>
  <c r="M779" i="2" s="1"/>
  <c r="N779" i="2" s="1"/>
  <c r="O779" i="2" s="1"/>
  <c r="P779" i="2" s="1"/>
  <c r="H763" i="2"/>
  <c r="I763" i="2" s="1"/>
  <c r="J763" i="2" s="1"/>
  <c r="K763" i="2" s="1"/>
  <c r="L763" i="2" s="1"/>
  <c r="M763" i="2" s="1"/>
  <c r="N763" i="2" s="1"/>
  <c r="O763" i="2" s="1"/>
  <c r="P763" i="2" s="1"/>
  <c r="H747" i="2"/>
  <c r="I747" i="2" s="1"/>
  <c r="J747" i="2" s="1"/>
  <c r="K747" i="2" s="1"/>
  <c r="L747" i="2" s="1"/>
  <c r="M747" i="2" s="1"/>
  <c r="N747" i="2" s="1"/>
  <c r="O747" i="2" s="1"/>
  <c r="P747" i="2" s="1"/>
  <c r="H739" i="2"/>
  <c r="I739" i="2" s="1"/>
  <c r="J739" i="2" s="1"/>
  <c r="K739" i="2" s="1"/>
  <c r="L739" i="2" s="1"/>
  <c r="M739" i="2" s="1"/>
  <c r="N739" i="2" s="1"/>
  <c r="O739" i="2" s="1"/>
  <c r="P739" i="2" s="1"/>
  <c r="H731" i="2"/>
  <c r="I731" i="2" s="1"/>
  <c r="J731" i="2" s="1"/>
  <c r="K731" i="2" s="1"/>
  <c r="L731" i="2" s="1"/>
  <c r="M731" i="2" s="1"/>
  <c r="N731" i="2" s="1"/>
  <c r="O731" i="2" s="1"/>
  <c r="P731" i="2" s="1"/>
  <c r="H723" i="2"/>
  <c r="I723" i="2" s="1"/>
  <c r="J723" i="2" s="1"/>
  <c r="K723" i="2" s="1"/>
  <c r="L723" i="2" s="1"/>
  <c r="M723" i="2" s="1"/>
  <c r="N723" i="2" s="1"/>
  <c r="O723" i="2" s="1"/>
  <c r="P723" i="2" s="1"/>
  <c r="H715" i="2"/>
  <c r="I715" i="2" s="1"/>
  <c r="J715" i="2" s="1"/>
  <c r="K715" i="2" s="1"/>
  <c r="L715" i="2" s="1"/>
  <c r="M715" i="2" s="1"/>
  <c r="N715" i="2" s="1"/>
  <c r="O715" i="2" s="1"/>
  <c r="P715" i="2" s="1"/>
  <c r="H707" i="2"/>
  <c r="I707" i="2" s="1"/>
  <c r="J707" i="2" s="1"/>
  <c r="K707" i="2" s="1"/>
  <c r="L707" i="2" s="1"/>
  <c r="M707" i="2" s="1"/>
  <c r="N707" i="2" s="1"/>
  <c r="O707" i="2" s="1"/>
  <c r="P707" i="2" s="1"/>
  <c r="H699" i="2"/>
  <c r="I699" i="2" s="1"/>
  <c r="J699" i="2" s="1"/>
  <c r="K699" i="2" s="1"/>
  <c r="L699" i="2" s="1"/>
  <c r="M699" i="2" s="1"/>
  <c r="N699" i="2" s="1"/>
  <c r="O699" i="2" s="1"/>
  <c r="P699" i="2" s="1"/>
  <c r="H691" i="2"/>
  <c r="I691" i="2" s="1"/>
  <c r="J691" i="2" s="1"/>
  <c r="K691" i="2" s="1"/>
  <c r="L691" i="2" s="1"/>
  <c r="M691" i="2" s="1"/>
  <c r="N691" i="2" s="1"/>
  <c r="O691" i="2" s="1"/>
  <c r="P691" i="2" s="1"/>
  <c r="H683" i="2"/>
  <c r="I683" i="2" s="1"/>
  <c r="J683" i="2" s="1"/>
  <c r="K683" i="2" s="1"/>
  <c r="L683" i="2" s="1"/>
  <c r="M683" i="2" s="1"/>
  <c r="N683" i="2" s="1"/>
  <c r="O683" i="2" s="1"/>
  <c r="P683" i="2" s="1"/>
  <c r="H643" i="2"/>
  <c r="I643" i="2" s="1"/>
  <c r="J643" i="2" s="1"/>
  <c r="K643" i="2" s="1"/>
  <c r="L643" i="2" s="1"/>
  <c r="M643" i="2" s="1"/>
  <c r="N643" i="2" s="1"/>
  <c r="O643" i="2" s="1"/>
  <c r="P643" i="2" s="1"/>
  <c r="H627" i="2"/>
  <c r="I627" i="2" s="1"/>
  <c r="J627" i="2" s="1"/>
  <c r="K627" i="2" s="1"/>
  <c r="L627" i="2" s="1"/>
  <c r="M627" i="2" s="1"/>
  <c r="N627" i="2" s="1"/>
  <c r="O627" i="2" s="1"/>
  <c r="P627" i="2" s="1"/>
  <c r="H603" i="2"/>
  <c r="I603" i="2" s="1"/>
  <c r="J603" i="2" s="1"/>
  <c r="K603" i="2" s="1"/>
  <c r="L603" i="2" s="1"/>
  <c r="M603" i="2" s="1"/>
  <c r="N603" i="2" s="1"/>
  <c r="O603" i="2" s="1"/>
  <c r="P603" i="2" s="1"/>
  <c r="H579" i="2"/>
  <c r="I579" i="2" s="1"/>
  <c r="J579" i="2" s="1"/>
  <c r="K579" i="2" s="1"/>
  <c r="L579" i="2" s="1"/>
  <c r="M579" i="2" s="1"/>
  <c r="N579" i="2" s="1"/>
  <c r="O579" i="2" s="1"/>
  <c r="P579" i="2" s="1"/>
  <c r="H563" i="2"/>
  <c r="I563" i="2" s="1"/>
  <c r="J563" i="2" s="1"/>
  <c r="K563" i="2" s="1"/>
  <c r="L563" i="2" s="1"/>
  <c r="M563" i="2" s="1"/>
  <c r="N563" i="2" s="1"/>
  <c r="O563" i="2" s="1"/>
  <c r="P563" i="2" s="1"/>
  <c r="H555" i="2"/>
  <c r="I555" i="2" s="1"/>
  <c r="J555" i="2" s="1"/>
  <c r="K555" i="2" s="1"/>
  <c r="L555" i="2" s="1"/>
  <c r="M555" i="2" s="1"/>
  <c r="N555" i="2" s="1"/>
  <c r="O555" i="2" s="1"/>
  <c r="P555" i="2" s="1"/>
  <c r="H547" i="2"/>
  <c r="I547" i="2" s="1"/>
  <c r="J547" i="2" s="1"/>
  <c r="K547" i="2" s="1"/>
  <c r="L547" i="2" s="1"/>
  <c r="M547" i="2" s="1"/>
  <c r="N547" i="2" s="1"/>
  <c r="O547" i="2" s="1"/>
  <c r="P547" i="2" s="1"/>
  <c r="H539" i="2"/>
  <c r="I539" i="2" s="1"/>
  <c r="J539" i="2" s="1"/>
  <c r="K539" i="2" s="1"/>
  <c r="L539" i="2" s="1"/>
  <c r="M539" i="2" s="1"/>
  <c r="N539" i="2" s="1"/>
  <c r="O539" i="2" s="1"/>
  <c r="P539" i="2" s="1"/>
  <c r="H499" i="2"/>
  <c r="I499" i="2" s="1"/>
  <c r="J499" i="2" s="1"/>
  <c r="K499" i="2" s="1"/>
  <c r="L499" i="2" s="1"/>
  <c r="M499" i="2" s="1"/>
  <c r="N499" i="2" s="1"/>
  <c r="O499" i="2" s="1"/>
  <c r="P499" i="2" s="1"/>
  <c r="H491" i="2"/>
  <c r="I491" i="2" s="1"/>
  <c r="J491" i="2" s="1"/>
  <c r="K491" i="2" s="1"/>
  <c r="L491" i="2" s="1"/>
  <c r="M491" i="2" s="1"/>
  <c r="N491" i="2" s="1"/>
  <c r="O491" i="2" s="1"/>
  <c r="P491" i="2" s="1"/>
  <c r="H483" i="2"/>
  <c r="I483" i="2" s="1"/>
  <c r="J483" i="2" s="1"/>
  <c r="K483" i="2" s="1"/>
  <c r="L483" i="2" s="1"/>
  <c r="M483" i="2" s="1"/>
  <c r="N483" i="2" s="1"/>
  <c r="O483" i="2" s="1"/>
  <c r="P483" i="2" s="1"/>
  <c r="H475" i="2"/>
  <c r="I475" i="2" s="1"/>
  <c r="J475" i="2" s="1"/>
  <c r="K475" i="2" s="1"/>
  <c r="L475" i="2" s="1"/>
  <c r="M475" i="2" s="1"/>
  <c r="N475" i="2" s="1"/>
  <c r="O475" i="2" s="1"/>
  <c r="P475" i="2" s="1"/>
  <c r="H451" i="2"/>
  <c r="I451" i="2" s="1"/>
  <c r="J451" i="2" s="1"/>
  <c r="K451" i="2" s="1"/>
  <c r="L451" i="2" s="1"/>
  <c r="M451" i="2" s="1"/>
  <c r="N451" i="2" s="1"/>
  <c r="O451" i="2" s="1"/>
  <c r="P451" i="2" s="1"/>
  <c r="H435" i="2"/>
  <c r="I435" i="2" s="1"/>
  <c r="J435" i="2" s="1"/>
  <c r="K435" i="2" s="1"/>
  <c r="L435" i="2" s="1"/>
  <c r="M435" i="2" s="1"/>
  <c r="N435" i="2" s="1"/>
  <c r="O435" i="2" s="1"/>
  <c r="P435" i="2" s="1"/>
  <c r="H427" i="2"/>
  <c r="I427" i="2" s="1"/>
  <c r="J427" i="2" s="1"/>
  <c r="K427" i="2" s="1"/>
  <c r="L427" i="2" s="1"/>
  <c r="M427" i="2" s="1"/>
  <c r="N427" i="2" s="1"/>
  <c r="O427" i="2" s="1"/>
  <c r="P427" i="2" s="1"/>
  <c r="H419" i="2"/>
  <c r="I419" i="2" s="1"/>
  <c r="J419" i="2" s="1"/>
  <c r="K419" i="2" s="1"/>
  <c r="L419" i="2" s="1"/>
  <c r="M419" i="2" s="1"/>
  <c r="N419" i="2" s="1"/>
  <c r="O419" i="2" s="1"/>
  <c r="P419" i="2" s="1"/>
  <c r="H411" i="2"/>
  <c r="I411" i="2" s="1"/>
  <c r="J411" i="2" s="1"/>
  <c r="K411" i="2" s="1"/>
  <c r="L411" i="2" s="1"/>
  <c r="M411" i="2" s="1"/>
  <c r="N411" i="2" s="1"/>
  <c r="O411" i="2" s="1"/>
  <c r="P411" i="2" s="1"/>
  <c r="H387" i="2"/>
  <c r="I387" i="2" s="1"/>
  <c r="J387" i="2" s="1"/>
  <c r="K387" i="2" s="1"/>
  <c r="L387" i="2" s="1"/>
  <c r="M387" i="2" s="1"/>
  <c r="N387" i="2" s="1"/>
  <c r="O387" i="2" s="1"/>
  <c r="P387" i="2" s="1"/>
  <c r="H379" i="2"/>
  <c r="I379" i="2" s="1"/>
  <c r="J379" i="2" s="1"/>
  <c r="K379" i="2" s="1"/>
  <c r="L379" i="2" s="1"/>
  <c r="M379" i="2" s="1"/>
  <c r="N379" i="2" s="1"/>
  <c r="O379" i="2" s="1"/>
  <c r="P379" i="2" s="1"/>
  <c r="H371" i="2"/>
  <c r="I371" i="2" s="1"/>
  <c r="J371" i="2" s="1"/>
  <c r="K371" i="2" s="1"/>
  <c r="L371" i="2" s="1"/>
  <c r="M371" i="2" s="1"/>
  <c r="N371" i="2" s="1"/>
  <c r="O371" i="2" s="1"/>
  <c r="P371" i="2" s="1"/>
  <c r="H363" i="2"/>
  <c r="I363" i="2" s="1"/>
  <c r="J363" i="2" s="1"/>
  <c r="K363" i="2" s="1"/>
  <c r="L363" i="2" s="1"/>
  <c r="M363" i="2" s="1"/>
  <c r="N363" i="2" s="1"/>
  <c r="O363" i="2" s="1"/>
  <c r="P363" i="2" s="1"/>
  <c r="H355" i="2"/>
  <c r="I355" i="2" s="1"/>
  <c r="J355" i="2" s="1"/>
  <c r="K355" i="2" s="1"/>
  <c r="L355" i="2" s="1"/>
  <c r="M355" i="2" s="1"/>
  <c r="N355" i="2" s="1"/>
  <c r="O355" i="2" s="1"/>
  <c r="P355" i="2" s="1"/>
  <c r="H347" i="2"/>
  <c r="I347" i="2" s="1"/>
  <c r="J347" i="2" s="1"/>
  <c r="K347" i="2" s="1"/>
  <c r="L347" i="2" s="1"/>
  <c r="M347" i="2" s="1"/>
  <c r="N347" i="2" s="1"/>
  <c r="O347" i="2" s="1"/>
  <c r="P347" i="2" s="1"/>
  <c r="H339" i="2"/>
  <c r="I339" i="2" s="1"/>
  <c r="J339" i="2" s="1"/>
  <c r="K339" i="2" s="1"/>
  <c r="L339" i="2" s="1"/>
  <c r="M339" i="2" s="1"/>
  <c r="N339" i="2" s="1"/>
  <c r="O339" i="2" s="1"/>
  <c r="P339" i="2" s="1"/>
  <c r="H323" i="2"/>
  <c r="I323" i="2" s="1"/>
  <c r="J323" i="2" s="1"/>
  <c r="K323" i="2" s="1"/>
  <c r="L323" i="2" s="1"/>
  <c r="M323" i="2" s="1"/>
  <c r="N323" i="2" s="1"/>
  <c r="O323" i="2" s="1"/>
  <c r="P323" i="2" s="1"/>
  <c r="H315" i="2"/>
  <c r="I315" i="2" s="1"/>
  <c r="J315" i="2" s="1"/>
  <c r="K315" i="2" s="1"/>
  <c r="L315" i="2" s="1"/>
  <c r="M315" i="2" s="1"/>
  <c r="N315" i="2" s="1"/>
  <c r="O315" i="2" s="1"/>
  <c r="P315" i="2" s="1"/>
  <c r="H307" i="2"/>
  <c r="I307" i="2" s="1"/>
  <c r="J307" i="2" s="1"/>
  <c r="K307" i="2" s="1"/>
  <c r="L307" i="2" s="1"/>
  <c r="M307" i="2" s="1"/>
  <c r="N307" i="2" s="1"/>
  <c r="O307" i="2" s="1"/>
  <c r="P307" i="2" s="1"/>
  <c r="H299" i="2"/>
  <c r="I299" i="2" s="1"/>
  <c r="J299" i="2" s="1"/>
  <c r="K299" i="2" s="1"/>
  <c r="L299" i="2" s="1"/>
  <c r="M299" i="2" s="1"/>
  <c r="N299" i="2" s="1"/>
  <c r="O299" i="2" s="1"/>
  <c r="P299" i="2" s="1"/>
  <c r="H291" i="2"/>
  <c r="I291" i="2" s="1"/>
  <c r="J291" i="2" s="1"/>
  <c r="K291" i="2" s="1"/>
  <c r="L291" i="2" s="1"/>
  <c r="M291" i="2" s="1"/>
  <c r="N291" i="2" s="1"/>
  <c r="O291" i="2" s="1"/>
  <c r="P291" i="2" s="1"/>
  <c r="H283" i="2"/>
  <c r="I283" i="2" s="1"/>
  <c r="J283" i="2" s="1"/>
  <c r="K283" i="2" s="1"/>
  <c r="L283" i="2" s="1"/>
  <c r="M283" i="2" s="1"/>
  <c r="N283" i="2" s="1"/>
  <c r="O283" i="2" s="1"/>
  <c r="P283" i="2" s="1"/>
  <c r="H275" i="2"/>
  <c r="I275" i="2" s="1"/>
  <c r="J275" i="2" s="1"/>
  <c r="K275" i="2" s="1"/>
  <c r="L275" i="2" s="1"/>
  <c r="M275" i="2" s="1"/>
  <c r="N275" i="2" s="1"/>
  <c r="O275" i="2" s="1"/>
  <c r="P275" i="2" s="1"/>
  <c r="H259" i="2"/>
  <c r="I259" i="2" s="1"/>
  <c r="J259" i="2" s="1"/>
  <c r="K259" i="2" s="1"/>
  <c r="L259" i="2" s="1"/>
  <c r="M259" i="2" s="1"/>
  <c r="N259" i="2" s="1"/>
  <c r="O259" i="2" s="1"/>
  <c r="P259" i="2" s="1"/>
  <c r="H251" i="2"/>
  <c r="I251" i="2" s="1"/>
  <c r="J251" i="2" s="1"/>
  <c r="K251" i="2" s="1"/>
  <c r="L251" i="2" s="1"/>
  <c r="M251" i="2" s="1"/>
  <c r="N251" i="2" s="1"/>
  <c r="O251" i="2" s="1"/>
  <c r="P251" i="2" s="1"/>
  <c r="H243" i="2"/>
  <c r="I243" i="2" s="1"/>
  <c r="J243" i="2" s="1"/>
  <c r="K243" i="2" s="1"/>
  <c r="L243" i="2" s="1"/>
  <c r="M243" i="2" s="1"/>
  <c r="N243" i="2" s="1"/>
  <c r="O243" i="2" s="1"/>
  <c r="P243" i="2" s="1"/>
  <c r="H235" i="2"/>
  <c r="I235" i="2" s="1"/>
  <c r="J235" i="2" s="1"/>
  <c r="K235" i="2" s="1"/>
  <c r="L235" i="2" s="1"/>
  <c r="M235" i="2" s="1"/>
  <c r="N235" i="2" s="1"/>
  <c r="O235" i="2" s="1"/>
  <c r="P235" i="2" s="1"/>
  <c r="H227" i="2"/>
  <c r="I227" i="2" s="1"/>
  <c r="J227" i="2" s="1"/>
  <c r="K227" i="2" s="1"/>
  <c r="L227" i="2" s="1"/>
  <c r="M227" i="2" s="1"/>
  <c r="N227" i="2" s="1"/>
  <c r="O227" i="2" s="1"/>
  <c r="P227" i="2" s="1"/>
  <c r="H219" i="2"/>
  <c r="I219" i="2" s="1"/>
  <c r="J219" i="2" s="1"/>
  <c r="K219" i="2" s="1"/>
  <c r="L219" i="2" s="1"/>
  <c r="M219" i="2" s="1"/>
  <c r="N219" i="2" s="1"/>
  <c r="O219" i="2" s="1"/>
  <c r="P219" i="2" s="1"/>
  <c r="H211" i="2"/>
  <c r="I211" i="2" s="1"/>
  <c r="J211" i="2" s="1"/>
  <c r="K211" i="2" s="1"/>
  <c r="L211" i="2" s="1"/>
  <c r="M211" i="2" s="1"/>
  <c r="N211" i="2" s="1"/>
  <c r="O211" i="2" s="1"/>
  <c r="P211" i="2" s="1"/>
  <c r="H195" i="2"/>
  <c r="I195" i="2" s="1"/>
  <c r="J195" i="2" s="1"/>
  <c r="K195" i="2" s="1"/>
  <c r="L195" i="2" s="1"/>
  <c r="M195" i="2" s="1"/>
  <c r="N195" i="2" s="1"/>
  <c r="O195" i="2" s="1"/>
  <c r="P195" i="2" s="1"/>
  <c r="H187" i="2"/>
  <c r="I187" i="2" s="1"/>
  <c r="J187" i="2" s="1"/>
  <c r="K187" i="2" s="1"/>
  <c r="L187" i="2" s="1"/>
  <c r="M187" i="2" s="1"/>
  <c r="N187" i="2" s="1"/>
  <c r="O187" i="2" s="1"/>
  <c r="P187" i="2" s="1"/>
  <c r="H179" i="2"/>
  <c r="I179" i="2" s="1"/>
  <c r="J179" i="2" s="1"/>
  <c r="K179" i="2" s="1"/>
  <c r="L179" i="2" s="1"/>
  <c r="M179" i="2" s="1"/>
  <c r="N179" i="2" s="1"/>
  <c r="O179" i="2" s="1"/>
  <c r="P179" i="2" s="1"/>
  <c r="H171" i="2"/>
  <c r="I171" i="2" s="1"/>
  <c r="J171" i="2" s="1"/>
  <c r="K171" i="2" s="1"/>
  <c r="L171" i="2" s="1"/>
  <c r="M171" i="2" s="1"/>
  <c r="N171" i="2" s="1"/>
  <c r="O171" i="2" s="1"/>
  <c r="P171" i="2" s="1"/>
  <c r="H163" i="2"/>
  <c r="I163" i="2" s="1"/>
  <c r="J163" i="2" s="1"/>
  <c r="K163" i="2" s="1"/>
  <c r="L163" i="2" s="1"/>
  <c r="M163" i="2" s="1"/>
  <c r="N163" i="2" s="1"/>
  <c r="O163" i="2" s="1"/>
  <c r="P163" i="2" s="1"/>
  <c r="H155" i="2"/>
  <c r="I155" i="2" s="1"/>
  <c r="J155" i="2" s="1"/>
  <c r="K155" i="2" s="1"/>
  <c r="L155" i="2" s="1"/>
  <c r="M155" i="2" s="1"/>
  <c r="N155" i="2" s="1"/>
  <c r="O155" i="2" s="1"/>
  <c r="P155" i="2" s="1"/>
  <c r="H147" i="2"/>
  <c r="I147" i="2" s="1"/>
  <c r="J147" i="2" s="1"/>
  <c r="K147" i="2" s="1"/>
  <c r="L147" i="2" s="1"/>
  <c r="M147" i="2" s="1"/>
  <c r="N147" i="2" s="1"/>
  <c r="O147" i="2" s="1"/>
  <c r="P147" i="2" s="1"/>
  <c r="H131" i="2"/>
  <c r="I131" i="2" s="1"/>
  <c r="J131" i="2" s="1"/>
  <c r="K131" i="2" s="1"/>
  <c r="L131" i="2" s="1"/>
  <c r="M131" i="2" s="1"/>
  <c r="N131" i="2" s="1"/>
  <c r="O131" i="2" s="1"/>
  <c r="P131" i="2" s="1"/>
  <c r="H123" i="2"/>
  <c r="I123" i="2" s="1"/>
  <c r="J123" i="2" s="1"/>
  <c r="K123" i="2" s="1"/>
  <c r="L123" i="2" s="1"/>
  <c r="M123" i="2" s="1"/>
  <c r="N123" i="2" s="1"/>
  <c r="O123" i="2" s="1"/>
  <c r="P123" i="2" s="1"/>
  <c r="H115" i="2"/>
  <c r="I115" i="2" s="1"/>
  <c r="J115" i="2" s="1"/>
  <c r="K115" i="2" s="1"/>
  <c r="L115" i="2" s="1"/>
  <c r="M115" i="2" s="1"/>
  <c r="N115" i="2" s="1"/>
  <c r="O115" i="2" s="1"/>
  <c r="P115" i="2" s="1"/>
  <c r="H107" i="2"/>
  <c r="I107" i="2" s="1"/>
  <c r="J107" i="2" s="1"/>
  <c r="K107" i="2" s="1"/>
  <c r="L107" i="2" s="1"/>
  <c r="M107" i="2" s="1"/>
  <c r="N107" i="2" s="1"/>
  <c r="O107" i="2" s="1"/>
  <c r="P107" i="2" s="1"/>
  <c r="H99" i="2"/>
  <c r="I99" i="2" s="1"/>
  <c r="J99" i="2" s="1"/>
  <c r="K99" i="2" s="1"/>
  <c r="L99" i="2" s="1"/>
  <c r="M99" i="2" s="1"/>
  <c r="N99" i="2" s="1"/>
  <c r="O99" i="2" s="1"/>
  <c r="P99" i="2" s="1"/>
  <c r="H91" i="2"/>
  <c r="I91" i="2" s="1"/>
  <c r="J91" i="2" s="1"/>
  <c r="K91" i="2" s="1"/>
  <c r="L91" i="2" s="1"/>
  <c r="M91" i="2" s="1"/>
  <c r="N91" i="2" s="1"/>
  <c r="O91" i="2" s="1"/>
  <c r="P91" i="2" s="1"/>
  <c r="H83" i="2"/>
  <c r="I83" i="2" s="1"/>
  <c r="J83" i="2" s="1"/>
  <c r="K83" i="2" s="1"/>
  <c r="L83" i="2" s="1"/>
  <c r="M83" i="2" s="1"/>
  <c r="N83" i="2" s="1"/>
  <c r="O83" i="2" s="1"/>
  <c r="P83" i="2" s="1"/>
  <c r="H67" i="2"/>
  <c r="I67" i="2" s="1"/>
  <c r="J67" i="2" s="1"/>
  <c r="K67" i="2" s="1"/>
  <c r="L67" i="2" s="1"/>
  <c r="M67" i="2" s="1"/>
  <c r="N67" i="2" s="1"/>
  <c r="O67" i="2" s="1"/>
  <c r="P67" i="2" s="1"/>
  <c r="H59" i="2"/>
  <c r="I59" i="2" s="1"/>
  <c r="J59" i="2" s="1"/>
  <c r="K59" i="2" s="1"/>
  <c r="L59" i="2" s="1"/>
  <c r="M59" i="2" s="1"/>
  <c r="N59" i="2" s="1"/>
  <c r="O59" i="2" s="1"/>
  <c r="P59" i="2" s="1"/>
  <c r="H51" i="2"/>
  <c r="I51" i="2" s="1"/>
  <c r="J51" i="2" s="1"/>
  <c r="K51" i="2" s="1"/>
  <c r="L51" i="2" s="1"/>
  <c r="M51" i="2" s="1"/>
  <c r="N51" i="2" s="1"/>
  <c r="O51" i="2" s="1"/>
  <c r="P51" i="2" s="1"/>
  <c r="H43" i="2"/>
  <c r="I43" i="2" s="1"/>
  <c r="J43" i="2" s="1"/>
  <c r="K43" i="2" s="1"/>
  <c r="L43" i="2" s="1"/>
  <c r="M43" i="2" s="1"/>
  <c r="N43" i="2" s="1"/>
  <c r="O43" i="2" s="1"/>
  <c r="P43" i="2" s="1"/>
  <c r="Q998" i="2"/>
  <c r="R998" i="2" s="1"/>
  <c r="S998" i="2" s="1"/>
  <c r="Q976" i="2"/>
  <c r="R976" i="2" s="1"/>
  <c r="S976" i="2" s="1"/>
  <c r="Q953" i="2"/>
  <c r="R953" i="2" s="1"/>
  <c r="S953" i="2" s="1"/>
  <c r="Q934" i="2"/>
  <c r="R934" i="2" s="1"/>
  <c r="S934" i="2" s="1"/>
  <c r="Q912" i="2"/>
  <c r="R912" i="2" s="1"/>
  <c r="S912" i="2" s="1"/>
  <c r="Q889" i="2"/>
  <c r="R889" i="2" s="1"/>
  <c r="S889" i="2" s="1"/>
  <c r="Q870" i="2"/>
  <c r="R870" i="2" s="1"/>
  <c r="S870" i="2" s="1"/>
  <c r="Q848" i="2"/>
  <c r="R848" i="2" s="1"/>
  <c r="S848" i="2" s="1"/>
  <c r="Q825" i="2"/>
  <c r="R825" i="2" s="1"/>
  <c r="S825" i="2" s="1"/>
  <c r="Q806" i="2"/>
  <c r="R806" i="2" s="1"/>
  <c r="S806" i="2" s="1"/>
  <c r="Q784" i="2"/>
  <c r="R784" i="2" s="1"/>
  <c r="S784" i="2" s="1"/>
  <c r="Q761" i="2"/>
  <c r="R761" i="2" s="1"/>
  <c r="S761" i="2" s="1"/>
  <c r="Q742" i="2"/>
  <c r="R742" i="2" s="1"/>
  <c r="S742" i="2" s="1"/>
  <c r="Q720" i="2"/>
  <c r="R720" i="2" s="1"/>
  <c r="S720" i="2" s="1"/>
  <c r="Q697" i="2"/>
  <c r="R697" i="2" s="1"/>
  <c r="S697" i="2" s="1"/>
  <c r="Q672" i="2"/>
  <c r="R672" i="2" s="1"/>
  <c r="S672" i="2" s="1"/>
  <c r="Q638" i="2"/>
  <c r="R638" i="2" s="1"/>
  <c r="S638" i="2" s="1"/>
  <c r="Q600" i="2"/>
  <c r="R600" i="2" s="1"/>
  <c r="S600" i="2" s="1"/>
  <c r="Q566" i="2"/>
  <c r="R566" i="2" s="1"/>
  <c r="S566" i="2" s="1"/>
  <c r="Q507" i="2"/>
  <c r="R507" i="2" s="1"/>
  <c r="S507" i="2" s="1"/>
  <c r="Q446" i="2"/>
  <c r="R446" i="2" s="1"/>
  <c r="S446" i="2" s="1"/>
  <c r="Q395" i="2"/>
  <c r="R395" i="2" s="1"/>
  <c r="S395" i="2" s="1"/>
  <c r="Q224" i="2"/>
  <c r="R224" i="2" s="1"/>
  <c r="S224" i="2" s="1"/>
  <c r="H657" i="2"/>
  <c r="I657" i="2" s="1"/>
  <c r="J657" i="2" s="1"/>
  <c r="K657" i="2" s="1"/>
  <c r="L657" i="2" s="1"/>
  <c r="M657" i="2" s="1"/>
  <c r="N657" i="2" s="1"/>
  <c r="O657" i="2" s="1"/>
  <c r="P657" i="2" s="1"/>
  <c r="H577" i="2"/>
  <c r="I577" i="2" s="1"/>
  <c r="J577" i="2" s="1"/>
  <c r="K577" i="2" s="1"/>
  <c r="L577" i="2" s="1"/>
  <c r="M577" i="2" s="1"/>
  <c r="N577" i="2" s="1"/>
  <c r="O577" i="2" s="1"/>
  <c r="P577" i="2" s="1"/>
  <c r="H521" i="2"/>
  <c r="I521" i="2" s="1"/>
  <c r="J521" i="2" s="1"/>
  <c r="K521" i="2" s="1"/>
  <c r="L521" i="2" s="1"/>
  <c r="M521" i="2" s="1"/>
  <c r="N521" i="2" s="1"/>
  <c r="O521" i="2" s="1"/>
  <c r="P521" i="2" s="1"/>
  <c r="H457" i="2"/>
  <c r="I457" i="2" s="1"/>
  <c r="J457" i="2" s="1"/>
  <c r="K457" i="2" s="1"/>
  <c r="L457" i="2" s="1"/>
  <c r="M457" i="2" s="1"/>
  <c r="N457" i="2" s="1"/>
  <c r="O457" i="2" s="1"/>
  <c r="P457" i="2" s="1"/>
  <c r="H401" i="2"/>
  <c r="I401" i="2" s="1"/>
  <c r="J401" i="2" s="1"/>
  <c r="K401" i="2" s="1"/>
  <c r="L401" i="2" s="1"/>
  <c r="M401" i="2" s="1"/>
  <c r="N401" i="2" s="1"/>
  <c r="O401" i="2" s="1"/>
  <c r="P401" i="2" s="1"/>
  <c r="H329" i="2"/>
  <c r="I329" i="2" s="1"/>
  <c r="J329" i="2" s="1"/>
  <c r="K329" i="2" s="1"/>
  <c r="L329" i="2" s="1"/>
  <c r="M329" i="2" s="1"/>
  <c r="N329" i="2" s="1"/>
  <c r="O329" i="2" s="1"/>
  <c r="P329" i="2" s="1"/>
  <c r="H281" i="2"/>
  <c r="I281" i="2" s="1"/>
  <c r="J281" i="2" s="1"/>
  <c r="K281" i="2" s="1"/>
  <c r="L281" i="2" s="1"/>
  <c r="M281" i="2" s="1"/>
  <c r="N281" i="2" s="1"/>
  <c r="O281" i="2" s="1"/>
  <c r="P281" i="2" s="1"/>
  <c r="H225" i="2"/>
  <c r="I225" i="2" s="1"/>
  <c r="J225" i="2" s="1"/>
  <c r="K225" i="2" s="1"/>
  <c r="L225" i="2" s="1"/>
  <c r="M225" i="2" s="1"/>
  <c r="N225" i="2" s="1"/>
  <c r="O225" i="2" s="1"/>
  <c r="P225" i="2" s="1"/>
  <c r="H169" i="2"/>
  <c r="I169" i="2" s="1"/>
  <c r="J169" i="2" s="1"/>
  <c r="K169" i="2" s="1"/>
  <c r="L169" i="2" s="1"/>
  <c r="M169" i="2" s="1"/>
  <c r="N169" i="2" s="1"/>
  <c r="O169" i="2" s="1"/>
  <c r="P169" i="2" s="1"/>
  <c r="H121" i="2"/>
  <c r="I121" i="2" s="1"/>
  <c r="J121" i="2" s="1"/>
  <c r="K121" i="2" s="1"/>
  <c r="L121" i="2" s="1"/>
  <c r="M121" i="2" s="1"/>
  <c r="N121" i="2" s="1"/>
  <c r="O121" i="2" s="1"/>
  <c r="P121" i="2" s="1"/>
  <c r="H73" i="2"/>
  <c r="I73" i="2" s="1"/>
  <c r="J73" i="2" s="1"/>
  <c r="K73" i="2" s="1"/>
  <c r="L73" i="2" s="1"/>
  <c r="M73" i="2" s="1"/>
  <c r="N73" i="2" s="1"/>
  <c r="O73" i="2" s="1"/>
  <c r="P73" i="2" s="1"/>
  <c r="H17" i="2"/>
  <c r="I17" i="2" s="1"/>
  <c r="J17" i="2" s="1"/>
  <c r="K17" i="2" s="1"/>
  <c r="L17" i="2" s="1"/>
  <c r="M17" i="2" s="1"/>
  <c r="N17" i="2" s="1"/>
  <c r="O17" i="2" s="1"/>
  <c r="P17" i="2" s="1"/>
  <c r="H995" i="2"/>
  <c r="I995" i="2" s="1"/>
  <c r="J995" i="2" s="1"/>
  <c r="K995" i="2" s="1"/>
  <c r="L995" i="2" s="1"/>
  <c r="M995" i="2" s="1"/>
  <c r="N995" i="2" s="1"/>
  <c r="O995" i="2" s="1"/>
  <c r="P995" i="2" s="1"/>
  <c r="H979" i="2"/>
  <c r="I979" i="2" s="1"/>
  <c r="J979" i="2" s="1"/>
  <c r="K979" i="2" s="1"/>
  <c r="L979" i="2" s="1"/>
  <c r="M979" i="2" s="1"/>
  <c r="N979" i="2" s="1"/>
  <c r="O979" i="2" s="1"/>
  <c r="P979" i="2" s="1"/>
  <c r="H963" i="2"/>
  <c r="I963" i="2" s="1"/>
  <c r="J963" i="2" s="1"/>
  <c r="K963" i="2" s="1"/>
  <c r="L963" i="2" s="1"/>
  <c r="M963" i="2" s="1"/>
  <c r="N963" i="2" s="1"/>
  <c r="O963" i="2" s="1"/>
  <c r="P963" i="2" s="1"/>
  <c r="H947" i="2"/>
  <c r="I947" i="2" s="1"/>
  <c r="J947" i="2" s="1"/>
  <c r="K947" i="2" s="1"/>
  <c r="L947" i="2" s="1"/>
  <c r="M947" i="2" s="1"/>
  <c r="N947" i="2" s="1"/>
  <c r="O947" i="2" s="1"/>
  <c r="P947" i="2" s="1"/>
  <c r="H931" i="2"/>
  <c r="I931" i="2" s="1"/>
  <c r="J931" i="2" s="1"/>
  <c r="K931" i="2" s="1"/>
  <c r="L931" i="2" s="1"/>
  <c r="M931" i="2" s="1"/>
  <c r="N931" i="2" s="1"/>
  <c r="O931" i="2" s="1"/>
  <c r="P931" i="2" s="1"/>
  <c r="H915" i="2"/>
  <c r="I915" i="2" s="1"/>
  <c r="J915" i="2" s="1"/>
  <c r="K915" i="2" s="1"/>
  <c r="L915" i="2" s="1"/>
  <c r="M915" i="2" s="1"/>
  <c r="N915" i="2" s="1"/>
  <c r="O915" i="2" s="1"/>
  <c r="P915" i="2" s="1"/>
  <c r="H899" i="2"/>
  <c r="I899" i="2" s="1"/>
  <c r="J899" i="2" s="1"/>
  <c r="K899" i="2" s="1"/>
  <c r="L899" i="2" s="1"/>
  <c r="M899" i="2" s="1"/>
  <c r="N899" i="2" s="1"/>
  <c r="O899" i="2" s="1"/>
  <c r="P899" i="2" s="1"/>
  <c r="H883" i="2"/>
  <c r="I883" i="2" s="1"/>
  <c r="J883" i="2" s="1"/>
  <c r="K883" i="2" s="1"/>
  <c r="L883" i="2" s="1"/>
  <c r="M883" i="2" s="1"/>
  <c r="N883" i="2" s="1"/>
  <c r="O883" i="2" s="1"/>
  <c r="P883" i="2" s="1"/>
  <c r="H867" i="2"/>
  <c r="I867" i="2" s="1"/>
  <c r="J867" i="2" s="1"/>
  <c r="K867" i="2" s="1"/>
  <c r="L867" i="2" s="1"/>
  <c r="M867" i="2" s="1"/>
  <c r="N867" i="2" s="1"/>
  <c r="O867" i="2" s="1"/>
  <c r="P867" i="2" s="1"/>
  <c r="H851" i="2"/>
  <c r="I851" i="2" s="1"/>
  <c r="J851" i="2" s="1"/>
  <c r="K851" i="2" s="1"/>
  <c r="L851" i="2" s="1"/>
  <c r="M851" i="2" s="1"/>
  <c r="N851" i="2" s="1"/>
  <c r="O851" i="2" s="1"/>
  <c r="P851" i="2" s="1"/>
  <c r="H835" i="2"/>
  <c r="I835" i="2" s="1"/>
  <c r="J835" i="2" s="1"/>
  <c r="K835" i="2" s="1"/>
  <c r="L835" i="2" s="1"/>
  <c r="M835" i="2" s="1"/>
  <c r="N835" i="2" s="1"/>
  <c r="O835" i="2" s="1"/>
  <c r="P835" i="2" s="1"/>
  <c r="H819" i="2"/>
  <c r="I819" i="2" s="1"/>
  <c r="J819" i="2" s="1"/>
  <c r="K819" i="2" s="1"/>
  <c r="L819" i="2" s="1"/>
  <c r="M819" i="2" s="1"/>
  <c r="N819" i="2" s="1"/>
  <c r="O819" i="2" s="1"/>
  <c r="P819" i="2" s="1"/>
  <c r="H803" i="2"/>
  <c r="I803" i="2" s="1"/>
  <c r="J803" i="2" s="1"/>
  <c r="K803" i="2" s="1"/>
  <c r="L803" i="2" s="1"/>
  <c r="M803" i="2" s="1"/>
  <c r="N803" i="2" s="1"/>
  <c r="O803" i="2" s="1"/>
  <c r="P803" i="2" s="1"/>
  <c r="H787" i="2"/>
  <c r="I787" i="2" s="1"/>
  <c r="J787" i="2" s="1"/>
  <c r="K787" i="2" s="1"/>
  <c r="L787" i="2" s="1"/>
  <c r="M787" i="2" s="1"/>
  <c r="N787" i="2" s="1"/>
  <c r="O787" i="2" s="1"/>
  <c r="P787" i="2" s="1"/>
  <c r="H771" i="2"/>
  <c r="I771" i="2" s="1"/>
  <c r="J771" i="2" s="1"/>
  <c r="K771" i="2" s="1"/>
  <c r="L771" i="2" s="1"/>
  <c r="M771" i="2" s="1"/>
  <c r="N771" i="2" s="1"/>
  <c r="O771" i="2" s="1"/>
  <c r="P771" i="2" s="1"/>
  <c r="H755" i="2"/>
  <c r="I755" i="2" s="1"/>
  <c r="J755" i="2" s="1"/>
  <c r="K755" i="2" s="1"/>
  <c r="L755" i="2" s="1"/>
  <c r="M755" i="2" s="1"/>
  <c r="N755" i="2" s="1"/>
  <c r="O755" i="2" s="1"/>
  <c r="P755" i="2" s="1"/>
  <c r="H667" i="2"/>
  <c r="I667" i="2" s="1"/>
  <c r="J667" i="2" s="1"/>
  <c r="K667" i="2" s="1"/>
  <c r="L667" i="2" s="1"/>
  <c r="M667" i="2" s="1"/>
  <c r="N667" i="2" s="1"/>
  <c r="O667" i="2" s="1"/>
  <c r="P667" i="2" s="1"/>
  <c r="H635" i="2"/>
  <c r="I635" i="2" s="1"/>
  <c r="J635" i="2" s="1"/>
  <c r="K635" i="2" s="1"/>
  <c r="L635" i="2" s="1"/>
  <c r="M635" i="2" s="1"/>
  <c r="N635" i="2" s="1"/>
  <c r="O635" i="2" s="1"/>
  <c r="P635" i="2" s="1"/>
  <c r="H619" i="2"/>
  <c r="I619" i="2" s="1"/>
  <c r="J619" i="2" s="1"/>
  <c r="K619" i="2" s="1"/>
  <c r="L619" i="2" s="1"/>
  <c r="M619" i="2" s="1"/>
  <c r="N619" i="2" s="1"/>
  <c r="O619" i="2" s="1"/>
  <c r="P619" i="2" s="1"/>
  <c r="H515" i="2"/>
  <c r="I515" i="2" s="1"/>
  <c r="J515" i="2" s="1"/>
  <c r="K515" i="2" s="1"/>
  <c r="L515" i="2" s="1"/>
  <c r="M515" i="2" s="1"/>
  <c r="N515" i="2" s="1"/>
  <c r="O515" i="2" s="1"/>
  <c r="P515" i="2" s="1"/>
  <c r="H1002" i="2"/>
  <c r="I1002" i="2" s="1"/>
  <c r="J1002" i="2" s="1"/>
  <c r="K1002" i="2" s="1"/>
  <c r="L1002" i="2" s="1"/>
  <c r="M1002" i="2" s="1"/>
  <c r="N1002" i="2" s="1"/>
  <c r="O1002" i="2" s="1"/>
  <c r="P1002" i="2" s="1"/>
  <c r="H994" i="2"/>
  <c r="I994" i="2" s="1"/>
  <c r="J994" i="2" s="1"/>
  <c r="K994" i="2" s="1"/>
  <c r="L994" i="2" s="1"/>
  <c r="M994" i="2" s="1"/>
  <c r="N994" i="2" s="1"/>
  <c r="O994" i="2" s="1"/>
  <c r="P994" i="2" s="1"/>
  <c r="H986" i="2"/>
  <c r="I986" i="2" s="1"/>
  <c r="J986" i="2" s="1"/>
  <c r="K986" i="2" s="1"/>
  <c r="L986" i="2" s="1"/>
  <c r="M986" i="2" s="1"/>
  <c r="N986" i="2" s="1"/>
  <c r="O986" i="2" s="1"/>
  <c r="P986" i="2" s="1"/>
  <c r="H978" i="2"/>
  <c r="I978" i="2" s="1"/>
  <c r="J978" i="2" s="1"/>
  <c r="K978" i="2" s="1"/>
  <c r="L978" i="2" s="1"/>
  <c r="M978" i="2" s="1"/>
  <c r="N978" i="2" s="1"/>
  <c r="O978" i="2" s="1"/>
  <c r="P978" i="2" s="1"/>
  <c r="H970" i="2"/>
  <c r="I970" i="2" s="1"/>
  <c r="J970" i="2" s="1"/>
  <c r="K970" i="2" s="1"/>
  <c r="L970" i="2" s="1"/>
  <c r="M970" i="2" s="1"/>
  <c r="N970" i="2" s="1"/>
  <c r="O970" i="2" s="1"/>
  <c r="P970" i="2" s="1"/>
  <c r="H962" i="2"/>
  <c r="I962" i="2" s="1"/>
  <c r="J962" i="2" s="1"/>
  <c r="K962" i="2" s="1"/>
  <c r="L962" i="2" s="1"/>
  <c r="M962" i="2" s="1"/>
  <c r="N962" i="2" s="1"/>
  <c r="O962" i="2" s="1"/>
  <c r="P962" i="2" s="1"/>
  <c r="H954" i="2"/>
  <c r="I954" i="2" s="1"/>
  <c r="J954" i="2" s="1"/>
  <c r="K954" i="2" s="1"/>
  <c r="L954" i="2" s="1"/>
  <c r="M954" i="2" s="1"/>
  <c r="N954" i="2" s="1"/>
  <c r="O954" i="2" s="1"/>
  <c r="P954" i="2" s="1"/>
  <c r="H946" i="2"/>
  <c r="I946" i="2" s="1"/>
  <c r="J946" i="2" s="1"/>
  <c r="K946" i="2" s="1"/>
  <c r="L946" i="2" s="1"/>
  <c r="M946" i="2" s="1"/>
  <c r="N946" i="2" s="1"/>
  <c r="O946" i="2" s="1"/>
  <c r="P946" i="2" s="1"/>
  <c r="H938" i="2"/>
  <c r="I938" i="2" s="1"/>
  <c r="J938" i="2" s="1"/>
  <c r="K938" i="2" s="1"/>
  <c r="L938" i="2" s="1"/>
  <c r="M938" i="2" s="1"/>
  <c r="N938" i="2" s="1"/>
  <c r="O938" i="2" s="1"/>
  <c r="P938" i="2" s="1"/>
  <c r="H930" i="2"/>
  <c r="I930" i="2" s="1"/>
  <c r="J930" i="2" s="1"/>
  <c r="K930" i="2" s="1"/>
  <c r="L930" i="2" s="1"/>
  <c r="M930" i="2" s="1"/>
  <c r="N930" i="2" s="1"/>
  <c r="O930" i="2" s="1"/>
  <c r="P930" i="2" s="1"/>
  <c r="H922" i="2"/>
  <c r="I922" i="2" s="1"/>
  <c r="J922" i="2" s="1"/>
  <c r="K922" i="2" s="1"/>
  <c r="L922" i="2" s="1"/>
  <c r="M922" i="2" s="1"/>
  <c r="N922" i="2" s="1"/>
  <c r="O922" i="2" s="1"/>
  <c r="P922" i="2" s="1"/>
  <c r="H914" i="2"/>
  <c r="I914" i="2" s="1"/>
  <c r="J914" i="2" s="1"/>
  <c r="K914" i="2" s="1"/>
  <c r="L914" i="2" s="1"/>
  <c r="M914" i="2" s="1"/>
  <c r="N914" i="2" s="1"/>
  <c r="O914" i="2" s="1"/>
  <c r="P914" i="2" s="1"/>
  <c r="H906" i="2"/>
  <c r="I906" i="2" s="1"/>
  <c r="J906" i="2" s="1"/>
  <c r="K906" i="2" s="1"/>
  <c r="L906" i="2" s="1"/>
  <c r="M906" i="2" s="1"/>
  <c r="N906" i="2" s="1"/>
  <c r="O906" i="2" s="1"/>
  <c r="P906" i="2" s="1"/>
  <c r="H898" i="2"/>
  <c r="I898" i="2" s="1"/>
  <c r="J898" i="2" s="1"/>
  <c r="K898" i="2" s="1"/>
  <c r="L898" i="2" s="1"/>
  <c r="M898" i="2" s="1"/>
  <c r="N898" i="2" s="1"/>
  <c r="O898" i="2" s="1"/>
  <c r="P898" i="2" s="1"/>
  <c r="H890" i="2"/>
  <c r="I890" i="2" s="1"/>
  <c r="J890" i="2" s="1"/>
  <c r="K890" i="2" s="1"/>
  <c r="L890" i="2" s="1"/>
  <c r="M890" i="2" s="1"/>
  <c r="N890" i="2" s="1"/>
  <c r="O890" i="2" s="1"/>
  <c r="P890" i="2" s="1"/>
  <c r="H882" i="2"/>
  <c r="I882" i="2" s="1"/>
  <c r="J882" i="2" s="1"/>
  <c r="K882" i="2" s="1"/>
  <c r="L882" i="2" s="1"/>
  <c r="M882" i="2" s="1"/>
  <c r="N882" i="2" s="1"/>
  <c r="O882" i="2" s="1"/>
  <c r="P882" i="2" s="1"/>
  <c r="H874" i="2"/>
  <c r="I874" i="2" s="1"/>
  <c r="J874" i="2" s="1"/>
  <c r="K874" i="2" s="1"/>
  <c r="L874" i="2" s="1"/>
  <c r="M874" i="2" s="1"/>
  <c r="N874" i="2" s="1"/>
  <c r="O874" i="2" s="1"/>
  <c r="P874" i="2" s="1"/>
  <c r="H866" i="2"/>
  <c r="I866" i="2" s="1"/>
  <c r="J866" i="2" s="1"/>
  <c r="K866" i="2" s="1"/>
  <c r="L866" i="2" s="1"/>
  <c r="M866" i="2" s="1"/>
  <c r="N866" i="2" s="1"/>
  <c r="O866" i="2" s="1"/>
  <c r="P866" i="2" s="1"/>
  <c r="H858" i="2"/>
  <c r="I858" i="2" s="1"/>
  <c r="J858" i="2" s="1"/>
  <c r="K858" i="2" s="1"/>
  <c r="L858" i="2" s="1"/>
  <c r="M858" i="2" s="1"/>
  <c r="N858" i="2" s="1"/>
  <c r="O858" i="2" s="1"/>
  <c r="P858" i="2" s="1"/>
  <c r="H850" i="2"/>
  <c r="I850" i="2" s="1"/>
  <c r="J850" i="2" s="1"/>
  <c r="K850" i="2" s="1"/>
  <c r="L850" i="2" s="1"/>
  <c r="M850" i="2" s="1"/>
  <c r="N850" i="2" s="1"/>
  <c r="O850" i="2" s="1"/>
  <c r="P850" i="2" s="1"/>
  <c r="H842" i="2"/>
  <c r="I842" i="2" s="1"/>
  <c r="J842" i="2" s="1"/>
  <c r="K842" i="2" s="1"/>
  <c r="L842" i="2" s="1"/>
  <c r="M842" i="2" s="1"/>
  <c r="N842" i="2" s="1"/>
  <c r="O842" i="2" s="1"/>
  <c r="P842" i="2" s="1"/>
  <c r="H834" i="2"/>
  <c r="I834" i="2" s="1"/>
  <c r="J834" i="2" s="1"/>
  <c r="K834" i="2" s="1"/>
  <c r="L834" i="2" s="1"/>
  <c r="M834" i="2" s="1"/>
  <c r="N834" i="2" s="1"/>
  <c r="O834" i="2" s="1"/>
  <c r="P834" i="2" s="1"/>
  <c r="H826" i="2"/>
  <c r="I826" i="2" s="1"/>
  <c r="J826" i="2" s="1"/>
  <c r="K826" i="2" s="1"/>
  <c r="L826" i="2" s="1"/>
  <c r="M826" i="2" s="1"/>
  <c r="N826" i="2" s="1"/>
  <c r="O826" i="2" s="1"/>
  <c r="P826" i="2" s="1"/>
  <c r="H818" i="2"/>
  <c r="I818" i="2" s="1"/>
  <c r="J818" i="2" s="1"/>
  <c r="K818" i="2" s="1"/>
  <c r="L818" i="2" s="1"/>
  <c r="M818" i="2" s="1"/>
  <c r="N818" i="2" s="1"/>
  <c r="O818" i="2" s="1"/>
  <c r="P818" i="2" s="1"/>
  <c r="H810" i="2"/>
  <c r="I810" i="2" s="1"/>
  <c r="J810" i="2" s="1"/>
  <c r="K810" i="2" s="1"/>
  <c r="L810" i="2" s="1"/>
  <c r="M810" i="2" s="1"/>
  <c r="N810" i="2" s="1"/>
  <c r="O810" i="2" s="1"/>
  <c r="P810" i="2" s="1"/>
  <c r="H802" i="2"/>
  <c r="I802" i="2" s="1"/>
  <c r="J802" i="2" s="1"/>
  <c r="K802" i="2" s="1"/>
  <c r="L802" i="2" s="1"/>
  <c r="M802" i="2" s="1"/>
  <c r="N802" i="2" s="1"/>
  <c r="O802" i="2" s="1"/>
  <c r="P802" i="2" s="1"/>
  <c r="H794" i="2"/>
  <c r="I794" i="2" s="1"/>
  <c r="J794" i="2" s="1"/>
  <c r="K794" i="2" s="1"/>
  <c r="L794" i="2" s="1"/>
  <c r="M794" i="2" s="1"/>
  <c r="N794" i="2" s="1"/>
  <c r="O794" i="2" s="1"/>
  <c r="P794" i="2" s="1"/>
  <c r="H786" i="2"/>
  <c r="I786" i="2" s="1"/>
  <c r="J786" i="2" s="1"/>
  <c r="K786" i="2" s="1"/>
  <c r="L786" i="2" s="1"/>
  <c r="M786" i="2" s="1"/>
  <c r="N786" i="2" s="1"/>
  <c r="O786" i="2" s="1"/>
  <c r="P786" i="2" s="1"/>
  <c r="H778" i="2"/>
  <c r="I778" i="2" s="1"/>
  <c r="J778" i="2" s="1"/>
  <c r="K778" i="2" s="1"/>
  <c r="L778" i="2" s="1"/>
  <c r="M778" i="2" s="1"/>
  <c r="N778" i="2" s="1"/>
  <c r="O778" i="2" s="1"/>
  <c r="P778" i="2" s="1"/>
  <c r="H770" i="2"/>
  <c r="I770" i="2" s="1"/>
  <c r="J770" i="2" s="1"/>
  <c r="K770" i="2" s="1"/>
  <c r="L770" i="2" s="1"/>
  <c r="M770" i="2" s="1"/>
  <c r="N770" i="2" s="1"/>
  <c r="O770" i="2" s="1"/>
  <c r="P770" i="2" s="1"/>
  <c r="Q770" i="2" s="1"/>
  <c r="R770" i="2" s="1"/>
  <c r="S770" i="2" s="1"/>
  <c r="H762" i="2"/>
  <c r="I762" i="2" s="1"/>
  <c r="J762" i="2" s="1"/>
  <c r="K762" i="2" s="1"/>
  <c r="L762" i="2" s="1"/>
  <c r="M762" i="2" s="1"/>
  <c r="N762" i="2" s="1"/>
  <c r="O762" i="2" s="1"/>
  <c r="P762" i="2" s="1"/>
  <c r="H754" i="2"/>
  <c r="I754" i="2" s="1"/>
  <c r="J754" i="2" s="1"/>
  <c r="K754" i="2" s="1"/>
  <c r="L754" i="2" s="1"/>
  <c r="M754" i="2" s="1"/>
  <c r="N754" i="2" s="1"/>
  <c r="O754" i="2" s="1"/>
  <c r="P754" i="2" s="1"/>
  <c r="H746" i="2"/>
  <c r="I746" i="2" s="1"/>
  <c r="J746" i="2" s="1"/>
  <c r="K746" i="2" s="1"/>
  <c r="L746" i="2" s="1"/>
  <c r="M746" i="2" s="1"/>
  <c r="N746" i="2" s="1"/>
  <c r="O746" i="2" s="1"/>
  <c r="P746" i="2" s="1"/>
  <c r="H738" i="2"/>
  <c r="I738" i="2" s="1"/>
  <c r="J738" i="2" s="1"/>
  <c r="K738" i="2" s="1"/>
  <c r="L738" i="2" s="1"/>
  <c r="M738" i="2" s="1"/>
  <c r="N738" i="2" s="1"/>
  <c r="O738" i="2" s="1"/>
  <c r="P738" i="2" s="1"/>
  <c r="H730" i="2"/>
  <c r="I730" i="2" s="1"/>
  <c r="J730" i="2" s="1"/>
  <c r="K730" i="2" s="1"/>
  <c r="L730" i="2" s="1"/>
  <c r="M730" i="2" s="1"/>
  <c r="N730" i="2" s="1"/>
  <c r="O730" i="2" s="1"/>
  <c r="P730" i="2" s="1"/>
  <c r="H722" i="2"/>
  <c r="I722" i="2" s="1"/>
  <c r="J722" i="2" s="1"/>
  <c r="K722" i="2" s="1"/>
  <c r="L722" i="2" s="1"/>
  <c r="M722" i="2" s="1"/>
  <c r="N722" i="2" s="1"/>
  <c r="O722" i="2" s="1"/>
  <c r="P722" i="2" s="1"/>
  <c r="H714" i="2"/>
  <c r="I714" i="2" s="1"/>
  <c r="J714" i="2" s="1"/>
  <c r="K714" i="2" s="1"/>
  <c r="L714" i="2" s="1"/>
  <c r="M714" i="2" s="1"/>
  <c r="N714" i="2" s="1"/>
  <c r="O714" i="2" s="1"/>
  <c r="P714" i="2" s="1"/>
  <c r="H706" i="2"/>
  <c r="I706" i="2" s="1"/>
  <c r="J706" i="2" s="1"/>
  <c r="K706" i="2" s="1"/>
  <c r="L706" i="2" s="1"/>
  <c r="M706" i="2" s="1"/>
  <c r="N706" i="2" s="1"/>
  <c r="O706" i="2" s="1"/>
  <c r="P706" i="2" s="1"/>
  <c r="H698" i="2"/>
  <c r="I698" i="2" s="1"/>
  <c r="J698" i="2" s="1"/>
  <c r="K698" i="2" s="1"/>
  <c r="L698" i="2" s="1"/>
  <c r="M698" i="2" s="1"/>
  <c r="N698" i="2" s="1"/>
  <c r="O698" i="2" s="1"/>
  <c r="P698" i="2" s="1"/>
  <c r="H690" i="2"/>
  <c r="I690" i="2" s="1"/>
  <c r="J690" i="2" s="1"/>
  <c r="K690" i="2" s="1"/>
  <c r="L690" i="2" s="1"/>
  <c r="M690" i="2" s="1"/>
  <c r="N690" i="2" s="1"/>
  <c r="O690" i="2" s="1"/>
  <c r="P690" i="2" s="1"/>
  <c r="H682" i="2"/>
  <c r="I682" i="2" s="1"/>
  <c r="J682" i="2" s="1"/>
  <c r="K682" i="2" s="1"/>
  <c r="L682" i="2" s="1"/>
  <c r="M682" i="2" s="1"/>
  <c r="N682" i="2" s="1"/>
  <c r="O682" i="2" s="1"/>
  <c r="P682" i="2" s="1"/>
  <c r="H674" i="2"/>
  <c r="I674" i="2" s="1"/>
  <c r="J674" i="2" s="1"/>
  <c r="K674" i="2" s="1"/>
  <c r="L674" i="2" s="1"/>
  <c r="M674" i="2" s="1"/>
  <c r="N674" i="2" s="1"/>
  <c r="O674" i="2" s="1"/>
  <c r="P674" i="2" s="1"/>
  <c r="H666" i="2"/>
  <c r="I666" i="2" s="1"/>
  <c r="J666" i="2" s="1"/>
  <c r="K666" i="2" s="1"/>
  <c r="L666" i="2" s="1"/>
  <c r="M666" i="2" s="1"/>
  <c r="N666" i="2" s="1"/>
  <c r="O666" i="2" s="1"/>
  <c r="P666" i="2" s="1"/>
  <c r="H658" i="2"/>
  <c r="I658" i="2" s="1"/>
  <c r="J658" i="2" s="1"/>
  <c r="K658" i="2" s="1"/>
  <c r="L658" i="2" s="1"/>
  <c r="M658" i="2" s="1"/>
  <c r="N658" i="2" s="1"/>
  <c r="O658" i="2" s="1"/>
  <c r="P658" i="2" s="1"/>
  <c r="H642" i="2"/>
  <c r="I642" i="2" s="1"/>
  <c r="J642" i="2" s="1"/>
  <c r="K642" i="2" s="1"/>
  <c r="L642" i="2" s="1"/>
  <c r="M642" i="2" s="1"/>
  <c r="N642" i="2" s="1"/>
  <c r="O642" i="2" s="1"/>
  <c r="P642" i="2" s="1"/>
  <c r="H618" i="2"/>
  <c r="I618" i="2" s="1"/>
  <c r="J618" i="2" s="1"/>
  <c r="K618" i="2" s="1"/>
  <c r="L618" i="2" s="1"/>
  <c r="M618" i="2" s="1"/>
  <c r="N618" i="2" s="1"/>
  <c r="O618" i="2" s="1"/>
  <c r="P618" i="2" s="1"/>
  <c r="H610" i="2"/>
  <c r="I610" i="2" s="1"/>
  <c r="J610" i="2" s="1"/>
  <c r="K610" i="2" s="1"/>
  <c r="L610" i="2" s="1"/>
  <c r="M610" i="2" s="1"/>
  <c r="N610" i="2" s="1"/>
  <c r="O610" i="2" s="1"/>
  <c r="P610" i="2" s="1"/>
  <c r="H602" i="2"/>
  <c r="I602" i="2" s="1"/>
  <c r="J602" i="2" s="1"/>
  <c r="K602" i="2" s="1"/>
  <c r="L602" i="2" s="1"/>
  <c r="M602" i="2" s="1"/>
  <c r="N602" i="2" s="1"/>
  <c r="O602" i="2" s="1"/>
  <c r="P602" i="2" s="1"/>
  <c r="H594" i="2"/>
  <c r="I594" i="2" s="1"/>
  <c r="J594" i="2" s="1"/>
  <c r="K594" i="2" s="1"/>
  <c r="L594" i="2" s="1"/>
  <c r="M594" i="2" s="1"/>
  <c r="N594" i="2" s="1"/>
  <c r="O594" i="2" s="1"/>
  <c r="P594" i="2" s="1"/>
  <c r="H578" i="2"/>
  <c r="I578" i="2" s="1"/>
  <c r="J578" i="2" s="1"/>
  <c r="K578" i="2" s="1"/>
  <c r="L578" i="2" s="1"/>
  <c r="M578" i="2" s="1"/>
  <c r="N578" i="2" s="1"/>
  <c r="O578" i="2" s="1"/>
  <c r="P578" i="2" s="1"/>
  <c r="H570" i="2"/>
  <c r="I570" i="2" s="1"/>
  <c r="J570" i="2" s="1"/>
  <c r="K570" i="2" s="1"/>
  <c r="L570" i="2" s="1"/>
  <c r="M570" i="2" s="1"/>
  <c r="N570" i="2" s="1"/>
  <c r="O570" i="2" s="1"/>
  <c r="P570" i="2" s="1"/>
  <c r="H562" i="2"/>
  <c r="I562" i="2" s="1"/>
  <c r="J562" i="2" s="1"/>
  <c r="K562" i="2" s="1"/>
  <c r="L562" i="2" s="1"/>
  <c r="M562" i="2" s="1"/>
  <c r="N562" i="2" s="1"/>
  <c r="O562" i="2" s="1"/>
  <c r="P562" i="2" s="1"/>
  <c r="H554" i="2"/>
  <c r="I554" i="2" s="1"/>
  <c r="J554" i="2" s="1"/>
  <c r="K554" i="2" s="1"/>
  <c r="L554" i="2" s="1"/>
  <c r="M554" i="2" s="1"/>
  <c r="N554" i="2" s="1"/>
  <c r="O554" i="2" s="1"/>
  <c r="P554" i="2" s="1"/>
  <c r="H546" i="2"/>
  <c r="I546" i="2" s="1"/>
  <c r="J546" i="2" s="1"/>
  <c r="K546" i="2" s="1"/>
  <c r="L546" i="2" s="1"/>
  <c r="M546" i="2" s="1"/>
  <c r="N546" i="2" s="1"/>
  <c r="O546" i="2" s="1"/>
  <c r="P546" i="2" s="1"/>
  <c r="H538" i="2"/>
  <c r="I538" i="2" s="1"/>
  <c r="J538" i="2" s="1"/>
  <c r="K538" i="2" s="1"/>
  <c r="L538" i="2" s="1"/>
  <c r="M538" i="2" s="1"/>
  <c r="N538" i="2" s="1"/>
  <c r="O538" i="2" s="1"/>
  <c r="P538" i="2" s="1"/>
  <c r="H530" i="2"/>
  <c r="I530" i="2" s="1"/>
  <c r="J530" i="2" s="1"/>
  <c r="K530" i="2" s="1"/>
  <c r="L530" i="2" s="1"/>
  <c r="M530" i="2" s="1"/>
  <c r="N530" i="2" s="1"/>
  <c r="O530" i="2" s="1"/>
  <c r="P530" i="2" s="1"/>
  <c r="H522" i="2"/>
  <c r="I522" i="2" s="1"/>
  <c r="J522" i="2" s="1"/>
  <c r="K522" i="2" s="1"/>
  <c r="L522" i="2" s="1"/>
  <c r="M522" i="2" s="1"/>
  <c r="N522" i="2" s="1"/>
  <c r="O522" i="2" s="1"/>
  <c r="P522" i="2" s="1"/>
  <c r="H514" i="2"/>
  <c r="I514" i="2" s="1"/>
  <c r="J514" i="2" s="1"/>
  <c r="K514" i="2" s="1"/>
  <c r="L514" i="2" s="1"/>
  <c r="M514" i="2" s="1"/>
  <c r="N514" i="2" s="1"/>
  <c r="O514" i="2" s="1"/>
  <c r="P514" i="2" s="1"/>
  <c r="H506" i="2"/>
  <c r="I506" i="2" s="1"/>
  <c r="J506" i="2" s="1"/>
  <c r="K506" i="2" s="1"/>
  <c r="L506" i="2" s="1"/>
  <c r="M506" i="2" s="1"/>
  <c r="N506" i="2" s="1"/>
  <c r="O506" i="2" s="1"/>
  <c r="P506" i="2" s="1"/>
  <c r="H498" i="2"/>
  <c r="I498" i="2" s="1"/>
  <c r="J498" i="2" s="1"/>
  <c r="K498" i="2" s="1"/>
  <c r="L498" i="2" s="1"/>
  <c r="M498" i="2" s="1"/>
  <c r="N498" i="2" s="1"/>
  <c r="O498" i="2" s="1"/>
  <c r="P498" i="2" s="1"/>
  <c r="H490" i="2"/>
  <c r="I490" i="2" s="1"/>
  <c r="J490" i="2" s="1"/>
  <c r="K490" i="2" s="1"/>
  <c r="L490" i="2" s="1"/>
  <c r="M490" i="2" s="1"/>
  <c r="N490" i="2" s="1"/>
  <c r="O490" i="2" s="1"/>
  <c r="P490" i="2" s="1"/>
  <c r="H482" i="2"/>
  <c r="I482" i="2" s="1"/>
  <c r="J482" i="2" s="1"/>
  <c r="K482" i="2" s="1"/>
  <c r="L482" i="2" s="1"/>
  <c r="M482" i="2" s="1"/>
  <c r="N482" i="2" s="1"/>
  <c r="O482" i="2" s="1"/>
  <c r="P482" i="2" s="1"/>
  <c r="H474" i="2"/>
  <c r="I474" i="2" s="1"/>
  <c r="J474" i="2" s="1"/>
  <c r="K474" i="2" s="1"/>
  <c r="L474" i="2" s="1"/>
  <c r="M474" i="2" s="1"/>
  <c r="N474" i="2" s="1"/>
  <c r="O474" i="2" s="1"/>
  <c r="P474" i="2" s="1"/>
  <c r="H466" i="2"/>
  <c r="I466" i="2" s="1"/>
  <c r="J466" i="2" s="1"/>
  <c r="K466" i="2" s="1"/>
  <c r="L466" i="2" s="1"/>
  <c r="M466" i="2" s="1"/>
  <c r="N466" i="2" s="1"/>
  <c r="O466" i="2" s="1"/>
  <c r="P466" i="2" s="1"/>
  <c r="Q466" i="2" s="1"/>
  <c r="R466" i="2" s="1"/>
  <c r="S466" i="2" s="1"/>
  <c r="H458" i="2"/>
  <c r="I458" i="2" s="1"/>
  <c r="J458" i="2" s="1"/>
  <c r="K458" i="2" s="1"/>
  <c r="L458" i="2" s="1"/>
  <c r="M458" i="2" s="1"/>
  <c r="N458" i="2" s="1"/>
  <c r="O458" i="2" s="1"/>
  <c r="P458" i="2" s="1"/>
  <c r="H450" i="2"/>
  <c r="I450" i="2" s="1"/>
  <c r="J450" i="2" s="1"/>
  <c r="K450" i="2" s="1"/>
  <c r="L450" i="2" s="1"/>
  <c r="M450" i="2" s="1"/>
  <c r="N450" i="2" s="1"/>
  <c r="O450" i="2" s="1"/>
  <c r="P450" i="2" s="1"/>
  <c r="H442" i="2"/>
  <c r="I442" i="2" s="1"/>
  <c r="J442" i="2" s="1"/>
  <c r="K442" i="2" s="1"/>
  <c r="L442" i="2" s="1"/>
  <c r="M442" i="2" s="1"/>
  <c r="N442" i="2" s="1"/>
  <c r="O442" i="2" s="1"/>
  <c r="P442" i="2" s="1"/>
  <c r="H434" i="2"/>
  <c r="I434" i="2" s="1"/>
  <c r="J434" i="2" s="1"/>
  <c r="K434" i="2" s="1"/>
  <c r="L434" i="2" s="1"/>
  <c r="M434" i="2" s="1"/>
  <c r="N434" i="2" s="1"/>
  <c r="O434" i="2" s="1"/>
  <c r="P434" i="2" s="1"/>
  <c r="H426" i="2"/>
  <c r="I426" i="2" s="1"/>
  <c r="J426" i="2" s="1"/>
  <c r="K426" i="2" s="1"/>
  <c r="L426" i="2" s="1"/>
  <c r="M426" i="2" s="1"/>
  <c r="N426" i="2" s="1"/>
  <c r="O426" i="2" s="1"/>
  <c r="P426" i="2" s="1"/>
  <c r="H418" i="2"/>
  <c r="I418" i="2" s="1"/>
  <c r="J418" i="2" s="1"/>
  <c r="K418" i="2" s="1"/>
  <c r="L418" i="2" s="1"/>
  <c r="M418" i="2" s="1"/>
  <c r="N418" i="2" s="1"/>
  <c r="O418" i="2" s="1"/>
  <c r="P418" i="2" s="1"/>
  <c r="H410" i="2"/>
  <c r="I410" i="2" s="1"/>
  <c r="J410" i="2" s="1"/>
  <c r="K410" i="2" s="1"/>
  <c r="L410" i="2" s="1"/>
  <c r="M410" i="2" s="1"/>
  <c r="N410" i="2" s="1"/>
  <c r="O410" i="2" s="1"/>
  <c r="P410" i="2" s="1"/>
  <c r="H402" i="2"/>
  <c r="I402" i="2" s="1"/>
  <c r="J402" i="2" s="1"/>
  <c r="K402" i="2" s="1"/>
  <c r="L402" i="2" s="1"/>
  <c r="M402" i="2" s="1"/>
  <c r="N402" i="2" s="1"/>
  <c r="O402" i="2" s="1"/>
  <c r="P402" i="2" s="1"/>
  <c r="H394" i="2"/>
  <c r="I394" i="2" s="1"/>
  <c r="J394" i="2" s="1"/>
  <c r="K394" i="2" s="1"/>
  <c r="L394" i="2" s="1"/>
  <c r="M394" i="2" s="1"/>
  <c r="N394" i="2" s="1"/>
  <c r="O394" i="2" s="1"/>
  <c r="P394" i="2" s="1"/>
  <c r="H386" i="2"/>
  <c r="I386" i="2" s="1"/>
  <c r="J386" i="2" s="1"/>
  <c r="K386" i="2" s="1"/>
  <c r="L386" i="2" s="1"/>
  <c r="M386" i="2" s="1"/>
  <c r="N386" i="2" s="1"/>
  <c r="O386" i="2" s="1"/>
  <c r="P386" i="2" s="1"/>
  <c r="H378" i="2"/>
  <c r="I378" i="2" s="1"/>
  <c r="J378" i="2" s="1"/>
  <c r="K378" i="2" s="1"/>
  <c r="L378" i="2" s="1"/>
  <c r="M378" i="2" s="1"/>
  <c r="N378" i="2" s="1"/>
  <c r="O378" i="2" s="1"/>
  <c r="P378" i="2" s="1"/>
  <c r="H370" i="2"/>
  <c r="I370" i="2" s="1"/>
  <c r="J370" i="2" s="1"/>
  <c r="K370" i="2" s="1"/>
  <c r="L370" i="2" s="1"/>
  <c r="M370" i="2" s="1"/>
  <c r="N370" i="2" s="1"/>
  <c r="O370" i="2" s="1"/>
  <c r="P370" i="2" s="1"/>
  <c r="H362" i="2"/>
  <c r="I362" i="2" s="1"/>
  <c r="J362" i="2" s="1"/>
  <c r="K362" i="2" s="1"/>
  <c r="L362" i="2" s="1"/>
  <c r="M362" i="2" s="1"/>
  <c r="N362" i="2" s="1"/>
  <c r="O362" i="2" s="1"/>
  <c r="P362" i="2" s="1"/>
  <c r="H354" i="2"/>
  <c r="I354" i="2" s="1"/>
  <c r="J354" i="2" s="1"/>
  <c r="K354" i="2" s="1"/>
  <c r="L354" i="2" s="1"/>
  <c r="M354" i="2" s="1"/>
  <c r="N354" i="2" s="1"/>
  <c r="O354" i="2" s="1"/>
  <c r="P354" i="2" s="1"/>
  <c r="H346" i="2"/>
  <c r="I346" i="2" s="1"/>
  <c r="J346" i="2" s="1"/>
  <c r="K346" i="2" s="1"/>
  <c r="L346" i="2" s="1"/>
  <c r="M346" i="2" s="1"/>
  <c r="N346" i="2" s="1"/>
  <c r="O346" i="2" s="1"/>
  <c r="P346" i="2" s="1"/>
  <c r="H338" i="2"/>
  <c r="I338" i="2" s="1"/>
  <c r="J338" i="2" s="1"/>
  <c r="K338" i="2" s="1"/>
  <c r="L338" i="2" s="1"/>
  <c r="M338" i="2" s="1"/>
  <c r="N338" i="2" s="1"/>
  <c r="O338" i="2" s="1"/>
  <c r="P338" i="2" s="1"/>
  <c r="H330" i="2"/>
  <c r="I330" i="2" s="1"/>
  <c r="J330" i="2" s="1"/>
  <c r="K330" i="2" s="1"/>
  <c r="L330" i="2" s="1"/>
  <c r="M330" i="2" s="1"/>
  <c r="N330" i="2" s="1"/>
  <c r="O330" i="2" s="1"/>
  <c r="P330" i="2" s="1"/>
  <c r="H322" i="2"/>
  <c r="I322" i="2" s="1"/>
  <c r="J322" i="2" s="1"/>
  <c r="K322" i="2" s="1"/>
  <c r="L322" i="2" s="1"/>
  <c r="M322" i="2" s="1"/>
  <c r="N322" i="2" s="1"/>
  <c r="O322" i="2" s="1"/>
  <c r="P322" i="2" s="1"/>
  <c r="H314" i="2"/>
  <c r="I314" i="2" s="1"/>
  <c r="J314" i="2" s="1"/>
  <c r="K314" i="2" s="1"/>
  <c r="L314" i="2" s="1"/>
  <c r="M314" i="2" s="1"/>
  <c r="N314" i="2" s="1"/>
  <c r="O314" i="2" s="1"/>
  <c r="P314" i="2" s="1"/>
  <c r="H306" i="2"/>
  <c r="I306" i="2" s="1"/>
  <c r="J306" i="2" s="1"/>
  <c r="K306" i="2" s="1"/>
  <c r="L306" i="2" s="1"/>
  <c r="M306" i="2" s="1"/>
  <c r="N306" i="2" s="1"/>
  <c r="O306" i="2" s="1"/>
  <c r="P306" i="2" s="1"/>
  <c r="H298" i="2"/>
  <c r="I298" i="2" s="1"/>
  <c r="J298" i="2" s="1"/>
  <c r="K298" i="2" s="1"/>
  <c r="L298" i="2" s="1"/>
  <c r="M298" i="2" s="1"/>
  <c r="N298" i="2" s="1"/>
  <c r="O298" i="2" s="1"/>
  <c r="P298" i="2" s="1"/>
  <c r="H290" i="2"/>
  <c r="I290" i="2" s="1"/>
  <c r="J290" i="2" s="1"/>
  <c r="K290" i="2" s="1"/>
  <c r="L290" i="2" s="1"/>
  <c r="M290" i="2" s="1"/>
  <c r="N290" i="2" s="1"/>
  <c r="O290" i="2" s="1"/>
  <c r="P290" i="2" s="1"/>
  <c r="H282" i="2"/>
  <c r="I282" i="2" s="1"/>
  <c r="J282" i="2" s="1"/>
  <c r="K282" i="2" s="1"/>
  <c r="L282" i="2" s="1"/>
  <c r="M282" i="2" s="1"/>
  <c r="N282" i="2" s="1"/>
  <c r="O282" i="2" s="1"/>
  <c r="P282" i="2" s="1"/>
  <c r="H274" i="2"/>
  <c r="I274" i="2" s="1"/>
  <c r="J274" i="2" s="1"/>
  <c r="K274" i="2" s="1"/>
  <c r="L274" i="2" s="1"/>
  <c r="M274" i="2" s="1"/>
  <c r="N274" i="2" s="1"/>
  <c r="O274" i="2" s="1"/>
  <c r="P274" i="2" s="1"/>
  <c r="H266" i="2"/>
  <c r="I266" i="2" s="1"/>
  <c r="J266" i="2" s="1"/>
  <c r="K266" i="2" s="1"/>
  <c r="L266" i="2" s="1"/>
  <c r="M266" i="2" s="1"/>
  <c r="N266" i="2" s="1"/>
  <c r="O266" i="2" s="1"/>
  <c r="P266" i="2" s="1"/>
  <c r="H258" i="2"/>
  <c r="I258" i="2" s="1"/>
  <c r="J258" i="2" s="1"/>
  <c r="K258" i="2" s="1"/>
  <c r="L258" i="2" s="1"/>
  <c r="M258" i="2" s="1"/>
  <c r="N258" i="2" s="1"/>
  <c r="O258" i="2" s="1"/>
  <c r="P258" i="2" s="1"/>
  <c r="H250" i="2"/>
  <c r="I250" i="2" s="1"/>
  <c r="J250" i="2" s="1"/>
  <c r="K250" i="2" s="1"/>
  <c r="L250" i="2" s="1"/>
  <c r="M250" i="2" s="1"/>
  <c r="N250" i="2" s="1"/>
  <c r="O250" i="2" s="1"/>
  <c r="P250" i="2" s="1"/>
  <c r="H242" i="2"/>
  <c r="I242" i="2" s="1"/>
  <c r="J242" i="2" s="1"/>
  <c r="K242" i="2" s="1"/>
  <c r="L242" i="2" s="1"/>
  <c r="M242" i="2" s="1"/>
  <c r="N242" i="2" s="1"/>
  <c r="O242" i="2" s="1"/>
  <c r="P242" i="2" s="1"/>
  <c r="Q993" i="2"/>
  <c r="R993" i="2" s="1"/>
  <c r="S993" i="2" s="1"/>
  <c r="Q974" i="2"/>
  <c r="R974" i="2" s="1"/>
  <c r="S974" i="2" s="1"/>
  <c r="Q952" i="2"/>
  <c r="R952" i="2" s="1"/>
  <c r="S952" i="2" s="1"/>
  <c r="Q929" i="2"/>
  <c r="R929" i="2" s="1"/>
  <c r="S929" i="2" s="1"/>
  <c r="Q910" i="2"/>
  <c r="R910" i="2" s="1"/>
  <c r="S910" i="2" s="1"/>
  <c r="Q888" i="2"/>
  <c r="R888" i="2" s="1"/>
  <c r="S888" i="2" s="1"/>
  <c r="Q865" i="2"/>
  <c r="R865" i="2" s="1"/>
  <c r="S865" i="2" s="1"/>
  <c r="Q846" i="2"/>
  <c r="R846" i="2" s="1"/>
  <c r="S846" i="2" s="1"/>
  <c r="Q824" i="2"/>
  <c r="R824" i="2" s="1"/>
  <c r="S824" i="2" s="1"/>
  <c r="Q801" i="2"/>
  <c r="R801" i="2" s="1"/>
  <c r="S801" i="2" s="1"/>
  <c r="Q782" i="2"/>
  <c r="R782" i="2" s="1"/>
  <c r="S782" i="2" s="1"/>
  <c r="Q760" i="2"/>
  <c r="R760" i="2" s="1"/>
  <c r="S760" i="2" s="1"/>
  <c r="Q737" i="2"/>
  <c r="R737" i="2" s="1"/>
  <c r="S737" i="2" s="1"/>
  <c r="Q718" i="2"/>
  <c r="R718" i="2" s="1"/>
  <c r="S718" i="2" s="1"/>
  <c r="Q696" i="2"/>
  <c r="R696" i="2" s="1"/>
  <c r="S696" i="2" s="1"/>
  <c r="Q664" i="2"/>
  <c r="R664" i="2" s="1"/>
  <c r="S664" i="2" s="1"/>
  <c r="Q634" i="2"/>
  <c r="R634" i="2" s="1"/>
  <c r="S634" i="2" s="1"/>
  <c r="Q599" i="2"/>
  <c r="R599" i="2" s="1"/>
  <c r="S599" i="2" s="1"/>
  <c r="Q552" i="2"/>
  <c r="R552" i="2" s="1"/>
  <c r="S552" i="2" s="1"/>
  <c r="Q502" i="2"/>
  <c r="R502" i="2" s="1"/>
  <c r="S502" i="2" s="1"/>
  <c r="Q443" i="2"/>
  <c r="R443" i="2" s="1"/>
  <c r="S443" i="2" s="1"/>
  <c r="Q374" i="2"/>
  <c r="R374" i="2" s="1"/>
  <c r="S374" i="2" s="1"/>
  <c r="Q203" i="2"/>
  <c r="R203" i="2" s="1"/>
  <c r="S203" i="2" s="1"/>
  <c r="Q32" i="2"/>
  <c r="R32" i="2" s="1"/>
  <c r="S32" i="2" s="1"/>
  <c r="H205" i="2"/>
  <c r="I205" i="2" s="1"/>
  <c r="J205" i="2" s="1"/>
  <c r="K205" i="2" s="1"/>
  <c r="L205" i="2" s="1"/>
  <c r="M205" i="2" s="1"/>
  <c r="N205" i="2" s="1"/>
  <c r="O205" i="2" s="1"/>
  <c r="P205" i="2" s="1"/>
  <c r="H197" i="2"/>
  <c r="I197" i="2" s="1"/>
  <c r="J197" i="2" s="1"/>
  <c r="K197" i="2" s="1"/>
  <c r="L197" i="2" s="1"/>
  <c r="M197" i="2" s="1"/>
  <c r="N197" i="2" s="1"/>
  <c r="O197" i="2" s="1"/>
  <c r="P197" i="2" s="1"/>
  <c r="H189" i="2"/>
  <c r="I189" i="2" s="1"/>
  <c r="J189" i="2" s="1"/>
  <c r="K189" i="2" s="1"/>
  <c r="L189" i="2" s="1"/>
  <c r="M189" i="2" s="1"/>
  <c r="N189" i="2" s="1"/>
  <c r="O189" i="2" s="1"/>
  <c r="P189" i="2" s="1"/>
  <c r="H181" i="2"/>
  <c r="I181" i="2" s="1"/>
  <c r="J181" i="2" s="1"/>
  <c r="K181" i="2" s="1"/>
  <c r="L181" i="2" s="1"/>
  <c r="M181" i="2" s="1"/>
  <c r="N181" i="2" s="1"/>
  <c r="O181" i="2" s="1"/>
  <c r="P181" i="2" s="1"/>
  <c r="H173" i="2"/>
  <c r="I173" i="2" s="1"/>
  <c r="J173" i="2" s="1"/>
  <c r="K173" i="2" s="1"/>
  <c r="L173" i="2" s="1"/>
  <c r="M173" i="2" s="1"/>
  <c r="N173" i="2" s="1"/>
  <c r="O173" i="2" s="1"/>
  <c r="P173" i="2" s="1"/>
  <c r="H165" i="2"/>
  <c r="I165" i="2" s="1"/>
  <c r="J165" i="2" s="1"/>
  <c r="K165" i="2" s="1"/>
  <c r="L165" i="2" s="1"/>
  <c r="M165" i="2" s="1"/>
  <c r="N165" i="2" s="1"/>
  <c r="O165" i="2" s="1"/>
  <c r="P165" i="2" s="1"/>
  <c r="H157" i="2"/>
  <c r="I157" i="2" s="1"/>
  <c r="J157" i="2" s="1"/>
  <c r="K157" i="2" s="1"/>
  <c r="L157" i="2" s="1"/>
  <c r="M157" i="2" s="1"/>
  <c r="N157" i="2" s="1"/>
  <c r="O157" i="2" s="1"/>
  <c r="P157" i="2" s="1"/>
  <c r="H149" i="2"/>
  <c r="I149" i="2" s="1"/>
  <c r="J149" i="2" s="1"/>
  <c r="K149" i="2" s="1"/>
  <c r="L149" i="2" s="1"/>
  <c r="M149" i="2" s="1"/>
  <c r="N149" i="2" s="1"/>
  <c r="O149" i="2" s="1"/>
  <c r="P149" i="2" s="1"/>
  <c r="H141" i="2"/>
  <c r="I141" i="2" s="1"/>
  <c r="J141" i="2" s="1"/>
  <c r="K141" i="2" s="1"/>
  <c r="L141" i="2" s="1"/>
  <c r="M141" i="2" s="1"/>
  <c r="N141" i="2" s="1"/>
  <c r="O141" i="2" s="1"/>
  <c r="P141" i="2" s="1"/>
  <c r="H133" i="2"/>
  <c r="I133" i="2" s="1"/>
  <c r="J133" i="2" s="1"/>
  <c r="K133" i="2" s="1"/>
  <c r="L133" i="2" s="1"/>
  <c r="M133" i="2" s="1"/>
  <c r="N133" i="2" s="1"/>
  <c r="O133" i="2" s="1"/>
  <c r="P133" i="2" s="1"/>
  <c r="H125" i="2"/>
  <c r="I125" i="2" s="1"/>
  <c r="J125" i="2" s="1"/>
  <c r="K125" i="2" s="1"/>
  <c r="L125" i="2" s="1"/>
  <c r="M125" i="2" s="1"/>
  <c r="N125" i="2" s="1"/>
  <c r="O125" i="2" s="1"/>
  <c r="P125" i="2" s="1"/>
  <c r="Q125" i="2" s="1"/>
  <c r="R125" i="2" s="1"/>
  <c r="S125" i="2" s="1"/>
  <c r="H117" i="2"/>
  <c r="I117" i="2" s="1"/>
  <c r="J117" i="2" s="1"/>
  <c r="K117" i="2" s="1"/>
  <c r="L117" i="2" s="1"/>
  <c r="M117" i="2" s="1"/>
  <c r="N117" i="2" s="1"/>
  <c r="O117" i="2" s="1"/>
  <c r="P117" i="2" s="1"/>
  <c r="H109" i="2"/>
  <c r="I109" i="2" s="1"/>
  <c r="J109" i="2" s="1"/>
  <c r="K109" i="2" s="1"/>
  <c r="L109" i="2" s="1"/>
  <c r="M109" i="2" s="1"/>
  <c r="N109" i="2" s="1"/>
  <c r="O109" i="2" s="1"/>
  <c r="P109" i="2" s="1"/>
  <c r="H101" i="2"/>
  <c r="I101" i="2" s="1"/>
  <c r="J101" i="2" s="1"/>
  <c r="K101" i="2" s="1"/>
  <c r="L101" i="2" s="1"/>
  <c r="M101" i="2" s="1"/>
  <c r="N101" i="2" s="1"/>
  <c r="O101" i="2" s="1"/>
  <c r="P101" i="2" s="1"/>
  <c r="H93" i="2"/>
  <c r="I93" i="2" s="1"/>
  <c r="J93" i="2" s="1"/>
  <c r="K93" i="2" s="1"/>
  <c r="L93" i="2" s="1"/>
  <c r="M93" i="2" s="1"/>
  <c r="N93" i="2" s="1"/>
  <c r="O93" i="2" s="1"/>
  <c r="P93" i="2" s="1"/>
  <c r="H85" i="2"/>
  <c r="I85" i="2" s="1"/>
  <c r="J85" i="2" s="1"/>
  <c r="K85" i="2" s="1"/>
  <c r="L85" i="2" s="1"/>
  <c r="M85" i="2" s="1"/>
  <c r="N85" i="2" s="1"/>
  <c r="O85" i="2" s="1"/>
  <c r="P85" i="2" s="1"/>
  <c r="H77" i="2"/>
  <c r="I77" i="2" s="1"/>
  <c r="J77" i="2" s="1"/>
  <c r="K77" i="2" s="1"/>
  <c r="L77" i="2" s="1"/>
  <c r="M77" i="2" s="1"/>
  <c r="N77" i="2" s="1"/>
  <c r="O77" i="2" s="1"/>
  <c r="P77" i="2" s="1"/>
  <c r="H69" i="2"/>
  <c r="I69" i="2" s="1"/>
  <c r="J69" i="2" s="1"/>
  <c r="K69" i="2" s="1"/>
  <c r="L69" i="2" s="1"/>
  <c r="M69" i="2" s="1"/>
  <c r="N69" i="2" s="1"/>
  <c r="O69" i="2" s="1"/>
  <c r="P69" i="2" s="1"/>
  <c r="H61" i="2"/>
  <c r="I61" i="2" s="1"/>
  <c r="J61" i="2" s="1"/>
  <c r="K61" i="2" s="1"/>
  <c r="L61" i="2" s="1"/>
  <c r="M61" i="2" s="1"/>
  <c r="N61" i="2" s="1"/>
  <c r="O61" i="2" s="1"/>
  <c r="P61" i="2" s="1"/>
  <c r="H53" i="2"/>
  <c r="I53" i="2" s="1"/>
  <c r="J53" i="2" s="1"/>
  <c r="K53" i="2" s="1"/>
  <c r="L53" i="2" s="1"/>
  <c r="M53" i="2" s="1"/>
  <c r="N53" i="2" s="1"/>
  <c r="O53" i="2" s="1"/>
  <c r="P53" i="2" s="1"/>
  <c r="H45" i="2"/>
  <c r="I45" i="2" s="1"/>
  <c r="J45" i="2" s="1"/>
  <c r="K45" i="2" s="1"/>
  <c r="L45" i="2" s="1"/>
  <c r="M45" i="2" s="1"/>
  <c r="N45" i="2" s="1"/>
  <c r="O45" i="2" s="1"/>
  <c r="P45" i="2" s="1"/>
  <c r="H37" i="2"/>
  <c r="I37" i="2" s="1"/>
  <c r="J37" i="2" s="1"/>
  <c r="K37" i="2" s="1"/>
  <c r="L37" i="2" s="1"/>
  <c r="M37" i="2" s="1"/>
  <c r="N37" i="2" s="1"/>
  <c r="O37" i="2" s="1"/>
  <c r="P37" i="2" s="1"/>
  <c r="H29" i="2"/>
  <c r="I29" i="2" s="1"/>
  <c r="J29" i="2" s="1"/>
  <c r="K29" i="2" s="1"/>
  <c r="L29" i="2" s="1"/>
  <c r="M29" i="2" s="1"/>
  <c r="N29" i="2" s="1"/>
  <c r="O29" i="2" s="1"/>
  <c r="P29" i="2" s="1"/>
  <c r="H21" i="2"/>
  <c r="I21" i="2" s="1"/>
  <c r="J21" i="2" s="1"/>
  <c r="K21" i="2" s="1"/>
  <c r="L21" i="2" s="1"/>
  <c r="M21" i="2" s="1"/>
  <c r="N21" i="2" s="1"/>
  <c r="O21" i="2" s="1"/>
  <c r="P21" i="2" s="1"/>
  <c r="H13" i="2"/>
  <c r="I13" i="2" s="1"/>
  <c r="J13" i="2" s="1"/>
  <c r="K13" i="2" s="1"/>
  <c r="L13" i="2" s="1"/>
  <c r="M13" i="2" s="1"/>
  <c r="N13" i="2" s="1"/>
  <c r="O13" i="2" s="1"/>
  <c r="P13" i="2" s="1"/>
  <c r="H236" i="2"/>
  <c r="I236" i="2" s="1"/>
  <c r="J236" i="2" s="1"/>
  <c r="K236" i="2" s="1"/>
  <c r="L236" i="2" s="1"/>
  <c r="M236" i="2" s="1"/>
  <c r="N236" i="2" s="1"/>
  <c r="O236" i="2" s="1"/>
  <c r="P236" i="2" s="1"/>
  <c r="H228" i="2"/>
  <c r="I228" i="2" s="1"/>
  <c r="J228" i="2" s="1"/>
  <c r="K228" i="2" s="1"/>
  <c r="L228" i="2" s="1"/>
  <c r="M228" i="2" s="1"/>
  <c r="N228" i="2" s="1"/>
  <c r="O228" i="2" s="1"/>
  <c r="P228" i="2" s="1"/>
  <c r="H220" i="2"/>
  <c r="I220" i="2" s="1"/>
  <c r="J220" i="2" s="1"/>
  <c r="K220" i="2" s="1"/>
  <c r="L220" i="2" s="1"/>
  <c r="M220" i="2" s="1"/>
  <c r="N220" i="2" s="1"/>
  <c r="O220" i="2" s="1"/>
  <c r="P220" i="2" s="1"/>
  <c r="H212" i="2"/>
  <c r="I212" i="2" s="1"/>
  <c r="J212" i="2" s="1"/>
  <c r="K212" i="2" s="1"/>
  <c r="L212" i="2" s="1"/>
  <c r="M212" i="2" s="1"/>
  <c r="N212" i="2" s="1"/>
  <c r="O212" i="2" s="1"/>
  <c r="P212" i="2" s="1"/>
  <c r="H204" i="2"/>
  <c r="I204" i="2" s="1"/>
  <c r="J204" i="2" s="1"/>
  <c r="K204" i="2" s="1"/>
  <c r="L204" i="2" s="1"/>
  <c r="M204" i="2" s="1"/>
  <c r="N204" i="2" s="1"/>
  <c r="O204" i="2" s="1"/>
  <c r="P204" i="2" s="1"/>
  <c r="H196" i="2"/>
  <c r="I196" i="2" s="1"/>
  <c r="J196" i="2" s="1"/>
  <c r="K196" i="2" s="1"/>
  <c r="L196" i="2" s="1"/>
  <c r="M196" i="2" s="1"/>
  <c r="N196" i="2" s="1"/>
  <c r="O196" i="2" s="1"/>
  <c r="P196" i="2" s="1"/>
  <c r="H188" i="2"/>
  <c r="I188" i="2" s="1"/>
  <c r="J188" i="2" s="1"/>
  <c r="K188" i="2" s="1"/>
  <c r="L188" i="2" s="1"/>
  <c r="M188" i="2" s="1"/>
  <c r="N188" i="2" s="1"/>
  <c r="O188" i="2" s="1"/>
  <c r="P188" i="2" s="1"/>
  <c r="H180" i="2"/>
  <c r="I180" i="2" s="1"/>
  <c r="J180" i="2" s="1"/>
  <c r="K180" i="2" s="1"/>
  <c r="L180" i="2" s="1"/>
  <c r="M180" i="2" s="1"/>
  <c r="N180" i="2" s="1"/>
  <c r="O180" i="2" s="1"/>
  <c r="P180" i="2" s="1"/>
  <c r="H172" i="2"/>
  <c r="I172" i="2" s="1"/>
  <c r="J172" i="2" s="1"/>
  <c r="K172" i="2" s="1"/>
  <c r="L172" i="2" s="1"/>
  <c r="M172" i="2" s="1"/>
  <c r="N172" i="2" s="1"/>
  <c r="O172" i="2" s="1"/>
  <c r="P172" i="2" s="1"/>
  <c r="H164" i="2"/>
  <c r="I164" i="2" s="1"/>
  <c r="J164" i="2" s="1"/>
  <c r="K164" i="2" s="1"/>
  <c r="L164" i="2" s="1"/>
  <c r="M164" i="2" s="1"/>
  <c r="N164" i="2" s="1"/>
  <c r="O164" i="2" s="1"/>
  <c r="P164" i="2" s="1"/>
  <c r="H156" i="2"/>
  <c r="I156" i="2" s="1"/>
  <c r="J156" i="2" s="1"/>
  <c r="K156" i="2" s="1"/>
  <c r="L156" i="2" s="1"/>
  <c r="M156" i="2" s="1"/>
  <c r="N156" i="2" s="1"/>
  <c r="O156" i="2" s="1"/>
  <c r="P156" i="2" s="1"/>
  <c r="H148" i="2"/>
  <c r="I148" i="2" s="1"/>
  <c r="J148" i="2" s="1"/>
  <c r="K148" i="2" s="1"/>
  <c r="L148" i="2" s="1"/>
  <c r="M148" i="2" s="1"/>
  <c r="N148" i="2" s="1"/>
  <c r="O148" i="2" s="1"/>
  <c r="P148" i="2" s="1"/>
  <c r="H140" i="2"/>
  <c r="I140" i="2" s="1"/>
  <c r="J140" i="2" s="1"/>
  <c r="K140" i="2" s="1"/>
  <c r="L140" i="2" s="1"/>
  <c r="M140" i="2" s="1"/>
  <c r="N140" i="2" s="1"/>
  <c r="O140" i="2" s="1"/>
  <c r="P140" i="2" s="1"/>
  <c r="H132" i="2"/>
  <c r="I132" i="2" s="1"/>
  <c r="J132" i="2" s="1"/>
  <c r="K132" i="2" s="1"/>
  <c r="L132" i="2" s="1"/>
  <c r="M132" i="2" s="1"/>
  <c r="N132" i="2" s="1"/>
  <c r="O132" i="2" s="1"/>
  <c r="P132" i="2" s="1"/>
  <c r="H124" i="2"/>
  <c r="I124" i="2" s="1"/>
  <c r="J124" i="2" s="1"/>
  <c r="K124" i="2" s="1"/>
  <c r="L124" i="2" s="1"/>
  <c r="M124" i="2" s="1"/>
  <c r="N124" i="2" s="1"/>
  <c r="O124" i="2" s="1"/>
  <c r="P124" i="2" s="1"/>
  <c r="H116" i="2"/>
  <c r="I116" i="2" s="1"/>
  <c r="J116" i="2" s="1"/>
  <c r="K116" i="2" s="1"/>
  <c r="L116" i="2" s="1"/>
  <c r="M116" i="2" s="1"/>
  <c r="N116" i="2" s="1"/>
  <c r="O116" i="2" s="1"/>
  <c r="P116" i="2" s="1"/>
  <c r="H108" i="2"/>
  <c r="I108" i="2" s="1"/>
  <c r="J108" i="2" s="1"/>
  <c r="K108" i="2" s="1"/>
  <c r="L108" i="2" s="1"/>
  <c r="M108" i="2" s="1"/>
  <c r="N108" i="2" s="1"/>
  <c r="O108" i="2" s="1"/>
  <c r="P108" i="2" s="1"/>
  <c r="H100" i="2"/>
  <c r="I100" i="2" s="1"/>
  <c r="J100" i="2" s="1"/>
  <c r="K100" i="2" s="1"/>
  <c r="L100" i="2" s="1"/>
  <c r="M100" i="2" s="1"/>
  <c r="N100" i="2" s="1"/>
  <c r="O100" i="2" s="1"/>
  <c r="P100" i="2" s="1"/>
  <c r="H92" i="2"/>
  <c r="I92" i="2" s="1"/>
  <c r="J92" i="2" s="1"/>
  <c r="K92" i="2" s="1"/>
  <c r="L92" i="2" s="1"/>
  <c r="M92" i="2" s="1"/>
  <c r="N92" i="2" s="1"/>
  <c r="O92" i="2" s="1"/>
  <c r="P92" i="2" s="1"/>
  <c r="H84" i="2"/>
  <c r="I84" i="2" s="1"/>
  <c r="J84" i="2" s="1"/>
  <c r="K84" i="2" s="1"/>
  <c r="L84" i="2" s="1"/>
  <c r="M84" i="2" s="1"/>
  <c r="N84" i="2" s="1"/>
  <c r="O84" i="2" s="1"/>
  <c r="P84" i="2" s="1"/>
  <c r="H76" i="2"/>
  <c r="I76" i="2" s="1"/>
  <c r="J76" i="2" s="1"/>
  <c r="K76" i="2" s="1"/>
  <c r="L76" i="2" s="1"/>
  <c r="M76" i="2" s="1"/>
  <c r="N76" i="2" s="1"/>
  <c r="O76" i="2" s="1"/>
  <c r="P76" i="2" s="1"/>
  <c r="H68" i="2"/>
  <c r="I68" i="2" s="1"/>
  <c r="J68" i="2" s="1"/>
  <c r="K68" i="2" s="1"/>
  <c r="L68" i="2" s="1"/>
  <c r="M68" i="2" s="1"/>
  <c r="N68" i="2" s="1"/>
  <c r="O68" i="2" s="1"/>
  <c r="P68" i="2" s="1"/>
  <c r="H60" i="2"/>
  <c r="I60" i="2" s="1"/>
  <c r="J60" i="2" s="1"/>
  <c r="K60" i="2" s="1"/>
  <c r="L60" i="2" s="1"/>
  <c r="M60" i="2" s="1"/>
  <c r="N60" i="2" s="1"/>
  <c r="O60" i="2" s="1"/>
  <c r="P60" i="2" s="1"/>
  <c r="H52" i="2"/>
  <c r="I52" i="2" s="1"/>
  <c r="J52" i="2" s="1"/>
  <c r="K52" i="2" s="1"/>
  <c r="L52" i="2" s="1"/>
  <c r="M52" i="2" s="1"/>
  <c r="N52" i="2" s="1"/>
  <c r="O52" i="2" s="1"/>
  <c r="P52" i="2" s="1"/>
  <c r="H44" i="2"/>
  <c r="I44" i="2" s="1"/>
  <c r="J44" i="2" s="1"/>
  <c r="K44" i="2" s="1"/>
  <c r="L44" i="2" s="1"/>
  <c r="M44" i="2" s="1"/>
  <c r="N44" i="2" s="1"/>
  <c r="O44" i="2" s="1"/>
  <c r="P44" i="2" s="1"/>
  <c r="H36" i="2"/>
  <c r="I36" i="2" s="1"/>
  <c r="J36" i="2" s="1"/>
  <c r="K36" i="2" s="1"/>
  <c r="L36" i="2" s="1"/>
  <c r="M36" i="2" s="1"/>
  <c r="N36" i="2" s="1"/>
  <c r="O36" i="2" s="1"/>
  <c r="P36" i="2" s="1"/>
  <c r="H28" i="2"/>
  <c r="I28" i="2" s="1"/>
  <c r="J28" i="2" s="1"/>
  <c r="K28" i="2" s="1"/>
  <c r="L28" i="2" s="1"/>
  <c r="M28" i="2" s="1"/>
  <c r="N28" i="2" s="1"/>
  <c r="O28" i="2" s="1"/>
  <c r="P28" i="2" s="1"/>
  <c r="H20" i="2"/>
  <c r="I20" i="2" s="1"/>
  <c r="J20" i="2" s="1"/>
  <c r="K20" i="2" s="1"/>
  <c r="L20" i="2" s="1"/>
  <c r="M20" i="2" s="1"/>
  <c r="N20" i="2" s="1"/>
  <c r="O20" i="2" s="1"/>
  <c r="P20" i="2" s="1"/>
  <c r="H12" i="2"/>
  <c r="I12" i="2" s="1"/>
  <c r="J12" i="2" s="1"/>
  <c r="K12" i="2" s="1"/>
  <c r="L12" i="2" s="1"/>
  <c r="M12" i="2" s="1"/>
  <c r="N12" i="2" s="1"/>
  <c r="O12" i="2" s="1"/>
  <c r="P12" i="2" s="1"/>
  <c r="Q27" i="2"/>
  <c r="R27" i="2" s="1"/>
  <c r="S27" i="2" s="1"/>
  <c r="H11" i="2"/>
  <c r="I11" i="2" s="1"/>
  <c r="J11" i="2" s="1"/>
  <c r="K11" i="2" s="1"/>
  <c r="L11" i="2" s="1"/>
  <c r="M11" i="2" s="1"/>
  <c r="N11" i="2" s="1"/>
  <c r="O11" i="2" s="1"/>
  <c r="P11" i="2" s="1"/>
  <c r="H234" i="2"/>
  <c r="I234" i="2" s="1"/>
  <c r="J234" i="2" s="1"/>
  <c r="K234" i="2" s="1"/>
  <c r="L234" i="2" s="1"/>
  <c r="M234" i="2" s="1"/>
  <c r="N234" i="2" s="1"/>
  <c r="O234" i="2" s="1"/>
  <c r="P234" i="2" s="1"/>
  <c r="H226" i="2"/>
  <c r="I226" i="2" s="1"/>
  <c r="J226" i="2" s="1"/>
  <c r="K226" i="2" s="1"/>
  <c r="L226" i="2" s="1"/>
  <c r="M226" i="2" s="1"/>
  <c r="N226" i="2" s="1"/>
  <c r="O226" i="2" s="1"/>
  <c r="P226" i="2" s="1"/>
  <c r="H218" i="2"/>
  <c r="I218" i="2" s="1"/>
  <c r="J218" i="2" s="1"/>
  <c r="K218" i="2" s="1"/>
  <c r="L218" i="2" s="1"/>
  <c r="M218" i="2" s="1"/>
  <c r="N218" i="2" s="1"/>
  <c r="O218" i="2" s="1"/>
  <c r="P218" i="2" s="1"/>
  <c r="H210" i="2"/>
  <c r="I210" i="2" s="1"/>
  <c r="J210" i="2" s="1"/>
  <c r="K210" i="2" s="1"/>
  <c r="L210" i="2" s="1"/>
  <c r="M210" i="2" s="1"/>
  <c r="N210" i="2" s="1"/>
  <c r="O210" i="2" s="1"/>
  <c r="P210" i="2" s="1"/>
  <c r="H202" i="2"/>
  <c r="I202" i="2" s="1"/>
  <c r="J202" i="2" s="1"/>
  <c r="K202" i="2" s="1"/>
  <c r="L202" i="2" s="1"/>
  <c r="M202" i="2" s="1"/>
  <c r="N202" i="2" s="1"/>
  <c r="O202" i="2" s="1"/>
  <c r="P202" i="2" s="1"/>
  <c r="H194" i="2"/>
  <c r="I194" i="2" s="1"/>
  <c r="J194" i="2" s="1"/>
  <c r="K194" i="2" s="1"/>
  <c r="L194" i="2" s="1"/>
  <c r="M194" i="2" s="1"/>
  <c r="N194" i="2" s="1"/>
  <c r="O194" i="2" s="1"/>
  <c r="P194" i="2" s="1"/>
  <c r="H186" i="2"/>
  <c r="I186" i="2" s="1"/>
  <c r="J186" i="2" s="1"/>
  <c r="K186" i="2" s="1"/>
  <c r="L186" i="2" s="1"/>
  <c r="M186" i="2" s="1"/>
  <c r="N186" i="2" s="1"/>
  <c r="O186" i="2" s="1"/>
  <c r="P186" i="2" s="1"/>
  <c r="H178" i="2"/>
  <c r="I178" i="2" s="1"/>
  <c r="J178" i="2" s="1"/>
  <c r="K178" i="2" s="1"/>
  <c r="L178" i="2" s="1"/>
  <c r="M178" i="2" s="1"/>
  <c r="N178" i="2" s="1"/>
  <c r="O178" i="2" s="1"/>
  <c r="P178" i="2" s="1"/>
  <c r="H170" i="2"/>
  <c r="I170" i="2" s="1"/>
  <c r="J170" i="2" s="1"/>
  <c r="K170" i="2" s="1"/>
  <c r="L170" i="2" s="1"/>
  <c r="M170" i="2" s="1"/>
  <c r="N170" i="2" s="1"/>
  <c r="O170" i="2" s="1"/>
  <c r="P170" i="2" s="1"/>
  <c r="H162" i="2"/>
  <c r="I162" i="2" s="1"/>
  <c r="J162" i="2" s="1"/>
  <c r="K162" i="2" s="1"/>
  <c r="L162" i="2" s="1"/>
  <c r="M162" i="2" s="1"/>
  <c r="N162" i="2" s="1"/>
  <c r="O162" i="2" s="1"/>
  <c r="P162" i="2" s="1"/>
  <c r="H154" i="2"/>
  <c r="I154" i="2" s="1"/>
  <c r="J154" i="2" s="1"/>
  <c r="K154" i="2" s="1"/>
  <c r="L154" i="2" s="1"/>
  <c r="M154" i="2" s="1"/>
  <c r="N154" i="2" s="1"/>
  <c r="O154" i="2" s="1"/>
  <c r="P154" i="2" s="1"/>
  <c r="H146" i="2"/>
  <c r="I146" i="2" s="1"/>
  <c r="J146" i="2" s="1"/>
  <c r="K146" i="2" s="1"/>
  <c r="L146" i="2" s="1"/>
  <c r="M146" i="2" s="1"/>
  <c r="N146" i="2" s="1"/>
  <c r="O146" i="2" s="1"/>
  <c r="P146" i="2" s="1"/>
  <c r="H138" i="2"/>
  <c r="I138" i="2" s="1"/>
  <c r="J138" i="2" s="1"/>
  <c r="K138" i="2" s="1"/>
  <c r="L138" i="2" s="1"/>
  <c r="M138" i="2" s="1"/>
  <c r="N138" i="2" s="1"/>
  <c r="O138" i="2" s="1"/>
  <c r="P138" i="2" s="1"/>
  <c r="H130" i="2"/>
  <c r="I130" i="2" s="1"/>
  <c r="J130" i="2" s="1"/>
  <c r="K130" i="2" s="1"/>
  <c r="L130" i="2" s="1"/>
  <c r="M130" i="2" s="1"/>
  <c r="N130" i="2" s="1"/>
  <c r="O130" i="2" s="1"/>
  <c r="P130" i="2" s="1"/>
  <c r="H122" i="2"/>
  <c r="I122" i="2" s="1"/>
  <c r="J122" i="2" s="1"/>
  <c r="K122" i="2" s="1"/>
  <c r="L122" i="2" s="1"/>
  <c r="M122" i="2" s="1"/>
  <c r="N122" i="2" s="1"/>
  <c r="O122" i="2" s="1"/>
  <c r="P122" i="2" s="1"/>
  <c r="H114" i="2"/>
  <c r="I114" i="2" s="1"/>
  <c r="J114" i="2" s="1"/>
  <c r="K114" i="2" s="1"/>
  <c r="L114" i="2" s="1"/>
  <c r="M114" i="2" s="1"/>
  <c r="N114" i="2" s="1"/>
  <c r="O114" i="2" s="1"/>
  <c r="P114" i="2" s="1"/>
  <c r="H106" i="2"/>
  <c r="I106" i="2" s="1"/>
  <c r="J106" i="2" s="1"/>
  <c r="K106" i="2" s="1"/>
  <c r="L106" i="2" s="1"/>
  <c r="M106" i="2" s="1"/>
  <c r="N106" i="2" s="1"/>
  <c r="O106" i="2" s="1"/>
  <c r="P106" i="2" s="1"/>
  <c r="H98" i="2"/>
  <c r="I98" i="2" s="1"/>
  <c r="J98" i="2" s="1"/>
  <c r="K98" i="2" s="1"/>
  <c r="L98" i="2" s="1"/>
  <c r="M98" i="2" s="1"/>
  <c r="N98" i="2" s="1"/>
  <c r="O98" i="2" s="1"/>
  <c r="P98" i="2" s="1"/>
  <c r="H90" i="2"/>
  <c r="I90" i="2" s="1"/>
  <c r="J90" i="2" s="1"/>
  <c r="K90" i="2" s="1"/>
  <c r="L90" i="2" s="1"/>
  <c r="M90" i="2" s="1"/>
  <c r="N90" i="2" s="1"/>
  <c r="O90" i="2" s="1"/>
  <c r="P90" i="2" s="1"/>
  <c r="H82" i="2"/>
  <c r="I82" i="2" s="1"/>
  <c r="J82" i="2" s="1"/>
  <c r="K82" i="2" s="1"/>
  <c r="L82" i="2" s="1"/>
  <c r="M82" i="2" s="1"/>
  <c r="N82" i="2" s="1"/>
  <c r="O82" i="2" s="1"/>
  <c r="P82" i="2" s="1"/>
  <c r="H74" i="2"/>
  <c r="I74" i="2" s="1"/>
  <c r="J74" i="2" s="1"/>
  <c r="K74" i="2" s="1"/>
  <c r="L74" i="2" s="1"/>
  <c r="M74" i="2" s="1"/>
  <c r="N74" i="2" s="1"/>
  <c r="O74" i="2" s="1"/>
  <c r="P74" i="2" s="1"/>
  <c r="H66" i="2"/>
  <c r="I66" i="2" s="1"/>
  <c r="J66" i="2" s="1"/>
  <c r="K66" i="2" s="1"/>
  <c r="L66" i="2" s="1"/>
  <c r="M66" i="2" s="1"/>
  <c r="N66" i="2" s="1"/>
  <c r="O66" i="2" s="1"/>
  <c r="P66" i="2" s="1"/>
  <c r="H58" i="2"/>
  <c r="I58" i="2" s="1"/>
  <c r="J58" i="2" s="1"/>
  <c r="K58" i="2" s="1"/>
  <c r="L58" i="2" s="1"/>
  <c r="M58" i="2" s="1"/>
  <c r="N58" i="2" s="1"/>
  <c r="O58" i="2" s="1"/>
  <c r="P58" i="2" s="1"/>
  <c r="H50" i="2"/>
  <c r="I50" i="2" s="1"/>
  <c r="J50" i="2" s="1"/>
  <c r="K50" i="2" s="1"/>
  <c r="L50" i="2" s="1"/>
  <c r="M50" i="2" s="1"/>
  <c r="N50" i="2" s="1"/>
  <c r="O50" i="2" s="1"/>
  <c r="P50" i="2" s="1"/>
  <c r="H42" i="2"/>
  <c r="I42" i="2" s="1"/>
  <c r="J42" i="2" s="1"/>
  <c r="K42" i="2" s="1"/>
  <c r="L42" i="2" s="1"/>
  <c r="M42" i="2" s="1"/>
  <c r="N42" i="2" s="1"/>
  <c r="O42" i="2" s="1"/>
  <c r="P42" i="2" s="1"/>
  <c r="H34" i="2"/>
  <c r="I34" i="2" s="1"/>
  <c r="J34" i="2" s="1"/>
  <c r="K34" i="2" s="1"/>
  <c r="L34" i="2" s="1"/>
  <c r="M34" i="2" s="1"/>
  <c r="N34" i="2" s="1"/>
  <c r="O34" i="2" s="1"/>
  <c r="P34" i="2" s="1"/>
  <c r="H26" i="2"/>
  <c r="I26" i="2" s="1"/>
  <c r="J26" i="2" s="1"/>
  <c r="K26" i="2" s="1"/>
  <c r="L26" i="2" s="1"/>
  <c r="M26" i="2" s="1"/>
  <c r="N26" i="2" s="1"/>
  <c r="O26" i="2" s="1"/>
  <c r="P26" i="2" s="1"/>
  <c r="H18" i="2"/>
  <c r="I18" i="2" s="1"/>
  <c r="J18" i="2" s="1"/>
  <c r="K18" i="2" s="1"/>
  <c r="L18" i="2" s="1"/>
  <c r="M18" i="2" s="1"/>
  <c r="N18" i="2" s="1"/>
  <c r="O18" i="2" s="1"/>
  <c r="P18" i="2" s="1"/>
  <c r="H10" i="2"/>
  <c r="I10" i="2" s="1"/>
  <c r="J10" i="2" s="1"/>
  <c r="K10" i="2" s="1"/>
  <c r="L10" i="2" s="1"/>
  <c r="M10" i="2" s="1"/>
  <c r="N10" i="2" s="1"/>
  <c r="O10" i="2" s="1"/>
  <c r="P10" i="2" s="1"/>
  <c r="Q19" i="2"/>
  <c r="R19" i="2" s="1"/>
  <c r="S19" i="2" s="1"/>
  <c r="H231" i="2"/>
  <c r="I231" i="2" s="1"/>
  <c r="J231" i="2" s="1"/>
  <c r="K231" i="2" s="1"/>
  <c r="L231" i="2" s="1"/>
  <c r="M231" i="2" s="1"/>
  <c r="N231" i="2" s="1"/>
  <c r="O231" i="2" s="1"/>
  <c r="P231" i="2" s="1"/>
  <c r="H223" i="2"/>
  <c r="I223" i="2" s="1"/>
  <c r="J223" i="2" s="1"/>
  <c r="K223" i="2" s="1"/>
  <c r="L223" i="2" s="1"/>
  <c r="M223" i="2" s="1"/>
  <c r="N223" i="2" s="1"/>
  <c r="O223" i="2" s="1"/>
  <c r="P223" i="2" s="1"/>
  <c r="H215" i="2"/>
  <c r="I215" i="2" s="1"/>
  <c r="J215" i="2" s="1"/>
  <c r="K215" i="2" s="1"/>
  <c r="L215" i="2" s="1"/>
  <c r="M215" i="2" s="1"/>
  <c r="N215" i="2" s="1"/>
  <c r="O215" i="2" s="1"/>
  <c r="P215" i="2" s="1"/>
  <c r="H207" i="2"/>
  <c r="I207" i="2" s="1"/>
  <c r="J207" i="2" s="1"/>
  <c r="K207" i="2" s="1"/>
  <c r="L207" i="2" s="1"/>
  <c r="M207" i="2" s="1"/>
  <c r="N207" i="2" s="1"/>
  <c r="O207" i="2" s="1"/>
  <c r="P207" i="2" s="1"/>
  <c r="H199" i="2"/>
  <c r="I199" i="2" s="1"/>
  <c r="J199" i="2" s="1"/>
  <c r="K199" i="2" s="1"/>
  <c r="L199" i="2" s="1"/>
  <c r="M199" i="2" s="1"/>
  <c r="N199" i="2" s="1"/>
  <c r="O199" i="2" s="1"/>
  <c r="P199" i="2" s="1"/>
  <c r="H191" i="2"/>
  <c r="I191" i="2" s="1"/>
  <c r="J191" i="2" s="1"/>
  <c r="K191" i="2" s="1"/>
  <c r="L191" i="2" s="1"/>
  <c r="M191" i="2" s="1"/>
  <c r="N191" i="2" s="1"/>
  <c r="O191" i="2" s="1"/>
  <c r="P191" i="2" s="1"/>
  <c r="H183" i="2"/>
  <c r="I183" i="2" s="1"/>
  <c r="J183" i="2" s="1"/>
  <c r="K183" i="2" s="1"/>
  <c r="L183" i="2" s="1"/>
  <c r="M183" i="2" s="1"/>
  <c r="N183" i="2" s="1"/>
  <c r="O183" i="2" s="1"/>
  <c r="P183" i="2" s="1"/>
  <c r="H175" i="2"/>
  <c r="I175" i="2" s="1"/>
  <c r="J175" i="2" s="1"/>
  <c r="K175" i="2" s="1"/>
  <c r="L175" i="2" s="1"/>
  <c r="M175" i="2" s="1"/>
  <c r="N175" i="2" s="1"/>
  <c r="O175" i="2" s="1"/>
  <c r="P175" i="2" s="1"/>
  <c r="H167" i="2"/>
  <c r="I167" i="2" s="1"/>
  <c r="J167" i="2" s="1"/>
  <c r="K167" i="2" s="1"/>
  <c r="L167" i="2" s="1"/>
  <c r="M167" i="2" s="1"/>
  <c r="N167" i="2" s="1"/>
  <c r="O167" i="2" s="1"/>
  <c r="P167" i="2" s="1"/>
  <c r="H159" i="2"/>
  <c r="I159" i="2" s="1"/>
  <c r="J159" i="2" s="1"/>
  <c r="K159" i="2" s="1"/>
  <c r="L159" i="2" s="1"/>
  <c r="M159" i="2" s="1"/>
  <c r="N159" i="2" s="1"/>
  <c r="O159" i="2" s="1"/>
  <c r="P159" i="2" s="1"/>
  <c r="H151" i="2"/>
  <c r="I151" i="2" s="1"/>
  <c r="J151" i="2" s="1"/>
  <c r="K151" i="2" s="1"/>
  <c r="L151" i="2" s="1"/>
  <c r="M151" i="2" s="1"/>
  <c r="N151" i="2" s="1"/>
  <c r="O151" i="2" s="1"/>
  <c r="P151" i="2" s="1"/>
  <c r="H143" i="2"/>
  <c r="I143" i="2" s="1"/>
  <c r="J143" i="2" s="1"/>
  <c r="K143" i="2" s="1"/>
  <c r="L143" i="2" s="1"/>
  <c r="M143" i="2" s="1"/>
  <c r="N143" i="2" s="1"/>
  <c r="O143" i="2" s="1"/>
  <c r="P143" i="2" s="1"/>
  <c r="H135" i="2"/>
  <c r="I135" i="2" s="1"/>
  <c r="J135" i="2" s="1"/>
  <c r="K135" i="2" s="1"/>
  <c r="L135" i="2" s="1"/>
  <c r="M135" i="2" s="1"/>
  <c r="N135" i="2" s="1"/>
  <c r="O135" i="2" s="1"/>
  <c r="P135" i="2" s="1"/>
  <c r="H127" i="2"/>
  <c r="I127" i="2" s="1"/>
  <c r="J127" i="2" s="1"/>
  <c r="K127" i="2" s="1"/>
  <c r="L127" i="2" s="1"/>
  <c r="M127" i="2" s="1"/>
  <c r="N127" i="2" s="1"/>
  <c r="O127" i="2" s="1"/>
  <c r="P127" i="2" s="1"/>
  <c r="H119" i="2"/>
  <c r="I119" i="2" s="1"/>
  <c r="J119" i="2" s="1"/>
  <c r="K119" i="2" s="1"/>
  <c r="L119" i="2" s="1"/>
  <c r="M119" i="2" s="1"/>
  <c r="N119" i="2" s="1"/>
  <c r="O119" i="2" s="1"/>
  <c r="P119" i="2" s="1"/>
  <c r="Q119" i="2" s="1"/>
  <c r="R119" i="2" s="1"/>
  <c r="S119" i="2" s="1"/>
  <c r="H111" i="2"/>
  <c r="I111" i="2" s="1"/>
  <c r="J111" i="2" s="1"/>
  <c r="K111" i="2" s="1"/>
  <c r="L111" i="2" s="1"/>
  <c r="M111" i="2" s="1"/>
  <c r="N111" i="2" s="1"/>
  <c r="O111" i="2" s="1"/>
  <c r="P111" i="2" s="1"/>
  <c r="H103" i="2"/>
  <c r="I103" i="2" s="1"/>
  <c r="J103" i="2" s="1"/>
  <c r="K103" i="2" s="1"/>
  <c r="L103" i="2" s="1"/>
  <c r="M103" i="2" s="1"/>
  <c r="N103" i="2" s="1"/>
  <c r="O103" i="2" s="1"/>
  <c r="P103" i="2" s="1"/>
  <c r="H95" i="2"/>
  <c r="I95" i="2" s="1"/>
  <c r="J95" i="2" s="1"/>
  <c r="K95" i="2" s="1"/>
  <c r="L95" i="2" s="1"/>
  <c r="M95" i="2" s="1"/>
  <c r="N95" i="2" s="1"/>
  <c r="O95" i="2" s="1"/>
  <c r="P95" i="2" s="1"/>
  <c r="H87" i="2"/>
  <c r="I87" i="2" s="1"/>
  <c r="J87" i="2" s="1"/>
  <c r="K87" i="2" s="1"/>
  <c r="L87" i="2" s="1"/>
  <c r="M87" i="2" s="1"/>
  <c r="N87" i="2" s="1"/>
  <c r="O87" i="2" s="1"/>
  <c r="P87" i="2" s="1"/>
  <c r="H79" i="2"/>
  <c r="I79" i="2" s="1"/>
  <c r="J79" i="2" s="1"/>
  <c r="K79" i="2" s="1"/>
  <c r="L79" i="2" s="1"/>
  <c r="M79" i="2" s="1"/>
  <c r="N79" i="2" s="1"/>
  <c r="O79" i="2" s="1"/>
  <c r="P79" i="2" s="1"/>
  <c r="H71" i="2"/>
  <c r="I71" i="2" s="1"/>
  <c r="J71" i="2" s="1"/>
  <c r="K71" i="2" s="1"/>
  <c r="L71" i="2" s="1"/>
  <c r="M71" i="2" s="1"/>
  <c r="N71" i="2" s="1"/>
  <c r="O71" i="2" s="1"/>
  <c r="P71" i="2" s="1"/>
  <c r="H63" i="2"/>
  <c r="I63" i="2" s="1"/>
  <c r="J63" i="2" s="1"/>
  <c r="K63" i="2" s="1"/>
  <c r="L63" i="2" s="1"/>
  <c r="M63" i="2" s="1"/>
  <c r="N63" i="2" s="1"/>
  <c r="O63" i="2" s="1"/>
  <c r="P63" i="2" s="1"/>
  <c r="H55" i="2"/>
  <c r="I55" i="2" s="1"/>
  <c r="J55" i="2" s="1"/>
  <c r="K55" i="2" s="1"/>
  <c r="L55" i="2" s="1"/>
  <c r="M55" i="2" s="1"/>
  <c r="N55" i="2" s="1"/>
  <c r="O55" i="2" s="1"/>
  <c r="P55" i="2" s="1"/>
  <c r="H47" i="2"/>
  <c r="I47" i="2" s="1"/>
  <c r="J47" i="2" s="1"/>
  <c r="K47" i="2" s="1"/>
  <c r="L47" i="2" s="1"/>
  <c r="M47" i="2" s="1"/>
  <c r="N47" i="2" s="1"/>
  <c r="O47" i="2" s="1"/>
  <c r="P47" i="2" s="1"/>
  <c r="H39" i="2"/>
  <c r="I39" i="2" s="1"/>
  <c r="J39" i="2" s="1"/>
  <c r="K39" i="2" s="1"/>
  <c r="L39" i="2" s="1"/>
  <c r="M39" i="2" s="1"/>
  <c r="N39" i="2" s="1"/>
  <c r="O39" i="2" s="1"/>
  <c r="P39" i="2" s="1"/>
  <c r="H31" i="2"/>
  <c r="I31" i="2" s="1"/>
  <c r="J31" i="2" s="1"/>
  <c r="K31" i="2" s="1"/>
  <c r="L31" i="2" s="1"/>
  <c r="M31" i="2" s="1"/>
  <c r="N31" i="2" s="1"/>
  <c r="O31" i="2" s="1"/>
  <c r="P31" i="2" s="1"/>
  <c r="H23" i="2"/>
  <c r="I23" i="2" s="1"/>
  <c r="J23" i="2" s="1"/>
  <c r="K23" i="2" s="1"/>
  <c r="L23" i="2" s="1"/>
  <c r="M23" i="2" s="1"/>
  <c r="N23" i="2" s="1"/>
  <c r="O23" i="2" s="1"/>
  <c r="P23" i="2" s="1"/>
  <c r="H15" i="2"/>
  <c r="I15" i="2" s="1"/>
  <c r="J15" i="2" s="1"/>
  <c r="K15" i="2" s="1"/>
  <c r="L15" i="2" s="1"/>
  <c r="M15" i="2" s="1"/>
  <c r="N15" i="2" s="1"/>
  <c r="O15" i="2" s="1"/>
  <c r="P15" i="2" s="1"/>
  <c r="H7" i="2"/>
  <c r="I7" i="2" s="1"/>
  <c r="J7" i="2" s="1"/>
  <c r="K7" i="2" s="1"/>
  <c r="L7" i="2" s="1"/>
  <c r="M7" i="2" s="1"/>
  <c r="N7" i="2" s="1"/>
  <c r="O7" i="2" s="1"/>
  <c r="P7" i="2" s="1"/>
  <c r="Q35" i="2"/>
  <c r="R35" i="2" s="1"/>
  <c r="S35" i="2" s="1"/>
  <c r="Q6" i="2"/>
  <c r="R6" i="2" s="1"/>
  <c r="S6" i="2" s="1"/>
  <c r="G24" i="1"/>
  <c r="H24" i="1" s="1"/>
  <c r="I24" i="1" s="1"/>
  <c r="N660" i="4" l="1"/>
  <c r="N684" i="4"/>
  <c r="N812" i="4"/>
  <c r="N955" i="4"/>
  <c r="N283" i="4"/>
  <c r="N995" i="4"/>
  <c r="M98" i="4"/>
  <c r="N570" i="4"/>
  <c r="N388" i="4"/>
  <c r="N690" i="4"/>
  <c r="N526" i="4"/>
  <c r="N900" i="4"/>
  <c r="N923" i="4"/>
  <c r="N562" i="4"/>
  <c r="N358" i="4"/>
  <c r="N844" i="4"/>
  <c r="N574" i="4"/>
  <c r="N35" i="4"/>
  <c r="N18" i="4"/>
  <c r="N598" i="4"/>
  <c r="N275" i="4"/>
  <c r="M14" i="4"/>
  <c r="N38" i="4"/>
  <c r="N115" i="4"/>
  <c r="N579" i="4"/>
  <c r="N142" i="4"/>
  <c r="N196" i="4"/>
  <c r="N93" i="4"/>
  <c r="N790" i="4"/>
  <c r="N286" i="4"/>
  <c r="N41" i="4"/>
  <c r="N121" i="4"/>
  <c r="N273" i="4"/>
  <c r="N361" i="4"/>
  <c r="N457" i="4"/>
  <c r="N525" i="4"/>
  <c r="N609" i="4"/>
  <c r="N681" i="4"/>
  <c r="N801" i="4"/>
  <c r="N953" i="4"/>
  <c r="N49" i="4"/>
  <c r="N113" i="4"/>
  <c r="N201" i="4"/>
  <c r="N281" i="4"/>
  <c r="N461" i="4"/>
  <c r="N597" i="4"/>
  <c r="N677" i="4"/>
  <c r="N825" i="4"/>
  <c r="N905" i="4"/>
  <c r="N961" i="4"/>
  <c r="N37" i="4"/>
  <c r="N189" i="4"/>
  <c r="N305" i="4"/>
  <c r="N369" i="4"/>
  <c r="N481" i="4"/>
  <c r="N549" i="4"/>
  <c r="N673" i="4"/>
  <c r="N833" i="4"/>
  <c r="N764" i="4"/>
  <c r="N123" i="4"/>
  <c r="N235" i="4"/>
  <c r="N491" i="4"/>
  <c r="N715" i="4"/>
  <c r="N843" i="4"/>
  <c r="N971" i="4"/>
  <c r="N700" i="4"/>
  <c r="N133" i="4"/>
  <c r="N979" i="4"/>
  <c r="N798" i="4"/>
  <c r="N362" i="4"/>
  <c r="N706" i="4"/>
  <c r="N414" i="4"/>
  <c r="N618" i="4"/>
  <c r="N723" i="4"/>
  <c r="M342" i="4"/>
  <c r="N620" i="4"/>
  <c r="N709" i="4"/>
  <c r="N106" i="4"/>
  <c r="N934" i="4"/>
  <c r="N394" i="4"/>
  <c r="N858" i="4"/>
  <c r="N482" i="4"/>
  <c r="N453" i="4"/>
  <c r="N493" i="4"/>
  <c r="N634" i="4"/>
  <c r="N171" i="4"/>
  <c r="M862" i="4"/>
  <c r="N644" i="4"/>
  <c r="N10" i="4"/>
  <c r="N990" i="4"/>
  <c r="N538" i="4"/>
  <c r="N938" i="4"/>
  <c r="N982" i="4"/>
  <c r="N378" i="4"/>
  <c r="N43" i="4"/>
  <c r="N890" i="4"/>
  <c r="N57" i="4"/>
  <c r="N153" i="4"/>
  <c r="N293" i="4"/>
  <c r="N377" i="4"/>
  <c r="N473" i="4"/>
  <c r="N537" i="4"/>
  <c r="N625" i="4"/>
  <c r="N697" i="4"/>
  <c r="N817" i="4"/>
  <c r="N969" i="4"/>
  <c r="N65" i="4"/>
  <c r="N129" i="4"/>
  <c r="N217" i="4"/>
  <c r="N297" i="4"/>
  <c r="N545" i="4"/>
  <c r="N613" i="4"/>
  <c r="N737" i="4"/>
  <c r="N841" i="4"/>
  <c r="N921" i="4"/>
  <c r="N1001" i="4"/>
  <c r="N77" i="4"/>
  <c r="N209" i="4"/>
  <c r="N321" i="4"/>
  <c r="N385" i="4"/>
  <c r="N497" i="4"/>
  <c r="N569" i="4"/>
  <c r="N689" i="4"/>
  <c r="N849" i="4"/>
  <c r="N796" i="4"/>
  <c r="N187" i="4"/>
  <c r="N403" i="4"/>
  <c r="N515" i="4"/>
  <c r="N747" i="4"/>
  <c r="N875" i="4"/>
  <c r="N1003" i="4"/>
  <c r="N517" i="4"/>
  <c r="N74" i="4"/>
  <c r="N370" i="4"/>
  <c r="N722" i="4"/>
  <c r="N771" i="4"/>
  <c r="M870" i="4"/>
  <c r="N629" i="4"/>
  <c r="N117" i="4"/>
  <c r="N78" i="4"/>
  <c r="N299" i="4"/>
  <c r="N122" i="4"/>
  <c r="N366" i="4"/>
  <c r="N654" i="4"/>
  <c r="N806" i="4"/>
  <c r="N998" i="4"/>
  <c r="N66" i="4"/>
  <c r="N386" i="4"/>
  <c r="N578" i="4"/>
  <c r="N770" i="4"/>
  <c r="N950" i="4"/>
  <c r="N867" i="4"/>
  <c r="N878" i="4"/>
  <c r="N54" i="4"/>
  <c r="N276" i="4"/>
  <c r="N748" i="4"/>
  <c r="N221" i="4"/>
  <c r="N22" i="4"/>
  <c r="N118" i="4"/>
  <c r="N363" i="4"/>
  <c r="N202" i="4"/>
  <c r="N442" i="4"/>
  <c r="N686" i="4"/>
  <c r="N822" i="4"/>
  <c r="N379" i="4"/>
  <c r="N150" i="4"/>
  <c r="N406" i="4"/>
  <c r="N626" i="4"/>
  <c r="N794" i="4"/>
  <c r="N59" i="4"/>
  <c r="N251" i="4"/>
  <c r="N670" i="4"/>
  <c r="N46" i="4"/>
  <c r="N350" i="4"/>
  <c r="N954" i="4"/>
  <c r="N323" i="4"/>
  <c r="N662" i="4"/>
  <c r="N348" i="4"/>
  <c r="N756" i="4"/>
  <c r="N237" i="4"/>
  <c r="N20" i="4"/>
  <c r="N555" i="4"/>
  <c r="N246" i="4"/>
  <c r="N458" i="4"/>
  <c r="N734" i="4"/>
  <c r="N571" i="4"/>
  <c r="N238" i="4"/>
  <c r="N462" i="4"/>
  <c r="N810" i="4"/>
  <c r="N643" i="4"/>
  <c r="N802" i="4"/>
  <c r="N750" i="4"/>
  <c r="N899" i="4"/>
  <c r="N781" i="4"/>
  <c r="N82" i="4"/>
  <c r="N178" i="4"/>
  <c r="N382" i="4"/>
  <c r="N814" i="4"/>
  <c r="N778" i="4"/>
  <c r="N364" i="4"/>
  <c r="N772" i="4"/>
  <c r="N301" i="4"/>
  <c r="N42" i="4"/>
  <c r="N540" i="4"/>
  <c r="N755" i="4"/>
  <c r="N282" i="4"/>
  <c r="N502" i="4"/>
  <c r="N742" i="4"/>
  <c r="N619" i="4"/>
  <c r="N278" i="4"/>
  <c r="N478" i="4"/>
  <c r="N650" i="4"/>
  <c r="N818" i="4"/>
  <c r="N339" i="4"/>
  <c r="N787" i="4"/>
  <c r="N454" i="4"/>
  <c r="M99" i="4"/>
  <c r="N99" i="4"/>
  <c r="M494" i="4"/>
  <c r="N494" i="4"/>
  <c r="M830" i="4"/>
  <c r="N830" i="4"/>
  <c r="M50" i="4"/>
  <c r="N50" i="4"/>
  <c r="M434" i="4"/>
  <c r="N434" i="4"/>
  <c r="M190" i="4"/>
  <c r="N190" i="4"/>
  <c r="M387" i="4"/>
  <c r="N387" i="4"/>
  <c r="N933" i="4"/>
  <c r="M933" i="4"/>
  <c r="M413" i="4"/>
  <c r="N413" i="4"/>
  <c r="M365" i="4"/>
  <c r="N365" i="4"/>
  <c r="M931" i="4"/>
  <c r="N931" i="4"/>
  <c r="M53" i="4"/>
  <c r="N53" i="4"/>
  <c r="M324" i="4"/>
  <c r="N324" i="4"/>
  <c r="M948" i="4"/>
  <c r="N948" i="4"/>
  <c r="M186" i="4"/>
  <c r="N186" i="4"/>
  <c r="M158" i="4"/>
  <c r="N158" i="4"/>
  <c r="M834" i="4"/>
  <c r="N834" i="4"/>
  <c r="M166" i="4"/>
  <c r="N166" i="4"/>
  <c r="M170" i="4"/>
  <c r="N170" i="4"/>
  <c r="M908" i="4"/>
  <c r="N908" i="4"/>
  <c r="M172" i="4"/>
  <c r="N172" i="4"/>
  <c r="M294" i="4"/>
  <c r="N294" i="4"/>
  <c r="M850" i="4"/>
  <c r="N850" i="4"/>
  <c r="M566" i="4"/>
  <c r="N566" i="4"/>
  <c r="M146" i="4"/>
  <c r="N146" i="4"/>
  <c r="M518" i="4"/>
  <c r="N518" i="4"/>
  <c r="M882" i="4"/>
  <c r="N882" i="4"/>
  <c r="M972" i="4"/>
  <c r="N972" i="4"/>
  <c r="M67" i="4"/>
  <c r="N67" i="4"/>
  <c r="N922" i="4"/>
  <c r="N446" i="4"/>
  <c r="N410" i="4"/>
  <c r="N741" i="4"/>
  <c r="N266" i="4"/>
  <c r="N302" i="4"/>
  <c r="N470" i="4"/>
  <c r="N91" i="4"/>
  <c r="M766" i="4"/>
  <c r="N766" i="4"/>
  <c r="M214" i="4"/>
  <c r="N214" i="4"/>
  <c r="M666" i="4"/>
  <c r="N666" i="4"/>
  <c r="M925" i="4"/>
  <c r="N925" i="4"/>
  <c r="M757" i="4"/>
  <c r="N757" i="4"/>
  <c r="M645" i="4"/>
  <c r="N645" i="4"/>
  <c r="M546" i="4"/>
  <c r="N546" i="4"/>
  <c r="M842" i="4"/>
  <c r="N842" i="4"/>
  <c r="M110" i="4"/>
  <c r="N110" i="4"/>
  <c r="M522" i="4"/>
  <c r="N522" i="4"/>
  <c r="M710" i="4"/>
  <c r="N710" i="4"/>
  <c r="M774" i="4"/>
  <c r="N774" i="4"/>
  <c r="M838" i="4"/>
  <c r="N838" i="4"/>
  <c r="M902" i="4"/>
  <c r="N902" i="4"/>
  <c r="M966" i="4"/>
  <c r="N966" i="4"/>
  <c r="M75" i="4"/>
  <c r="N75" i="4"/>
  <c r="M242" i="4"/>
  <c r="N242" i="4"/>
  <c r="M51" i="4"/>
  <c r="N51" i="4"/>
  <c r="M218" i="4"/>
  <c r="N218" i="4"/>
  <c r="M27" i="4"/>
  <c r="N27" i="4"/>
  <c r="N15" i="4"/>
  <c r="N47" i="4"/>
  <c r="N79" i="4"/>
  <c r="N111" i="4"/>
  <c r="N143" i="4"/>
  <c r="N175" i="4"/>
  <c r="N207" i="4"/>
  <c r="N239" i="4"/>
  <c r="N271" i="4"/>
  <c r="N303" i="4"/>
  <c r="M412" i="4"/>
  <c r="N412" i="4"/>
  <c r="M685" i="4"/>
  <c r="N685" i="4"/>
  <c r="M813" i="4"/>
  <c r="N813" i="4"/>
  <c r="N941" i="4"/>
  <c r="M941" i="4"/>
  <c r="M29" i="4"/>
  <c r="N29" i="4"/>
  <c r="N73" i="4"/>
  <c r="N137" i="4"/>
  <c r="N185" i="4"/>
  <c r="N225" i="4"/>
  <c r="N289" i="4"/>
  <c r="N357" i="4"/>
  <c r="N409" i="4"/>
  <c r="N449" i="4"/>
  <c r="N509" i="4"/>
  <c r="N589" i="4"/>
  <c r="N649" i="4"/>
  <c r="N761" i="4"/>
  <c r="N865" i="4"/>
  <c r="M108" i="4"/>
  <c r="N108" i="4"/>
  <c r="M437" i="4"/>
  <c r="N437" i="4"/>
  <c r="N311" i="4"/>
  <c r="N335" i="4"/>
  <c r="N355" i="4"/>
  <c r="N375" i="4"/>
  <c r="N399" i="4"/>
  <c r="N419" i="4"/>
  <c r="N439" i="4"/>
  <c r="N463" i="4"/>
  <c r="N483" i="4"/>
  <c r="N503" i="4"/>
  <c r="N527" i="4"/>
  <c r="N547" i="4"/>
  <c r="N567" i="4"/>
  <c r="N591" i="4"/>
  <c r="N611" i="4"/>
  <c r="N631" i="4"/>
  <c r="N655" i="4"/>
  <c r="N675" i="4"/>
  <c r="N703" i="4"/>
  <c r="N735" i="4"/>
  <c r="N767" i="4"/>
  <c r="N799" i="4"/>
  <c r="N831" i="4"/>
  <c r="N863" i="4"/>
  <c r="N895" i="4"/>
  <c r="N927" i="4"/>
  <c r="N959" i="4"/>
  <c r="N991" i="4"/>
  <c r="M805" i="4"/>
  <c r="N805" i="4"/>
  <c r="M389" i="4"/>
  <c r="N389" i="4"/>
  <c r="M691" i="4"/>
  <c r="N691" i="4"/>
  <c r="M819" i="4"/>
  <c r="N819" i="4"/>
  <c r="M947" i="4"/>
  <c r="N947" i="4"/>
  <c r="M773" i="4"/>
  <c r="N773" i="4"/>
  <c r="M541" i="4"/>
  <c r="N541" i="4"/>
  <c r="M349" i="4"/>
  <c r="N349" i="4"/>
  <c r="N708" i="4"/>
  <c r="M708" i="4"/>
  <c r="M836" i="4"/>
  <c r="N836" i="4"/>
  <c r="M964" i="4"/>
  <c r="N964" i="4"/>
  <c r="N16" i="4"/>
  <c r="N40" i="4"/>
  <c r="N60" i="4"/>
  <c r="N80" i="4"/>
  <c r="N104" i="4"/>
  <c r="N124" i="4"/>
  <c r="N144" i="4"/>
  <c r="N168" i="4"/>
  <c r="N188" i="4"/>
  <c r="N208" i="4"/>
  <c r="N232" i="4"/>
  <c r="N252" i="4"/>
  <c r="N272" i="4"/>
  <c r="N296" i="4"/>
  <c r="N316" i="4"/>
  <c r="N336" i="4"/>
  <c r="N360" i="4"/>
  <c r="N380" i="4"/>
  <c r="N400" i="4"/>
  <c r="N424" i="4"/>
  <c r="N444" i="4"/>
  <c r="N464" i="4"/>
  <c r="N488" i="4"/>
  <c r="N508" i="4"/>
  <c r="N528" i="4"/>
  <c r="N552" i="4"/>
  <c r="N572" i="4"/>
  <c r="N592" i="4"/>
  <c r="N616" i="4"/>
  <c r="N636" i="4"/>
  <c r="N656" i="4"/>
  <c r="N680" i="4"/>
  <c r="N712" i="4"/>
  <c r="N744" i="4"/>
  <c r="N776" i="4"/>
  <c r="N808" i="4"/>
  <c r="N840" i="4"/>
  <c r="N872" i="4"/>
  <c r="N904" i="4"/>
  <c r="N936" i="4"/>
  <c r="N968" i="4"/>
  <c r="N1000" i="4"/>
  <c r="M298" i="4"/>
  <c r="N298" i="4"/>
  <c r="M674" i="4"/>
  <c r="N674" i="4"/>
  <c r="M261" i="4"/>
  <c r="N261" i="4"/>
  <c r="M594" i="4"/>
  <c r="N594" i="4"/>
  <c r="M194" i="4"/>
  <c r="N194" i="4"/>
  <c r="M606" i="4"/>
  <c r="N606" i="4"/>
  <c r="M874" i="4"/>
  <c r="N874" i="4"/>
  <c r="M270" i="4"/>
  <c r="N270" i="4"/>
  <c r="M731" i="4"/>
  <c r="N731" i="4"/>
  <c r="N212" i="4"/>
  <c r="N516" i="4"/>
  <c r="N956" i="4"/>
  <c r="M940" i="4"/>
  <c r="N940" i="4"/>
  <c r="M222" i="4"/>
  <c r="N222" i="4"/>
  <c r="M762" i="4"/>
  <c r="N762" i="4"/>
  <c r="M334" i="4"/>
  <c r="N334" i="4"/>
  <c r="M230" i="4"/>
  <c r="N230" i="4"/>
  <c r="M102" i="4"/>
  <c r="N102" i="4"/>
  <c r="M426" i="4"/>
  <c r="N426" i="4"/>
  <c r="M338" i="4"/>
  <c r="N338" i="4"/>
  <c r="M698" i="4"/>
  <c r="N698" i="4"/>
  <c r="M206" i="4"/>
  <c r="N206" i="4"/>
  <c r="M582" i="4"/>
  <c r="N582" i="4"/>
  <c r="M946" i="4"/>
  <c r="N946" i="4"/>
  <c r="M451" i="4"/>
  <c r="N451" i="4"/>
  <c r="M716" i="4"/>
  <c r="N716" i="4"/>
  <c r="M83" i="4"/>
  <c r="N83" i="4"/>
  <c r="N267" i="4"/>
  <c r="N291" i="4"/>
  <c r="M894" i="4"/>
  <c r="N894" i="4"/>
  <c r="M26" i="4"/>
  <c r="N26" i="4"/>
  <c r="M797" i="4"/>
  <c r="N797" i="4"/>
  <c r="M84" i="4"/>
  <c r="N84" i="4"/>
  <c r="M820" i="4"/>
  <c r="N820" i="4"/>
  <c r="M550" i="4"/>
  <c r="N550" i="4"/>
  <c r="M138" i="4"/>
  <c r="N138" i="4"/>
  <c r="M558" i="4"/>
  <c r="N558" i="4"/>
  <c r="M718" i="4"/>
  <c r="N718" i="4"/>
  <c r="M782" i="4"/>
  <c r="N782" i="4"/>
  <c r="M846" i="4"/>
  <c r="N846" i="4"/>
  <c r="M910" i="4"/>
  <c r="N910" i="4"/>
  <c r="M974" i="4"/>
  <c r="N974" i="4"/>
  <c r="M86" i="4"/>
  <c r="N86" i="4"/>
  <c r="M498" i="4"/>
  <c r="N498" i="4"/>
  <c r="M62" i="4"/>
  <c r="N62" i="4"/>
  <c r="M243" i="4"/>
  <c r="N243" i="4"/>
  <c r="M474" i="4"/>
  <c r="N474" i="4"/>
  <c r="M156" i="4"/>
  <c r="N156" i="4"/>
  <c r="M429" i="4"/>
  <c r="N429" i="4"/>
  <c r="M701" i="4"/>
  <c r="N701" i="4"/>
  <c r="M829" i="4"/>
  <c r="N829" i="4"/>
  <c r="M957" i="4"/>
  <c r="N957" i="4"/>
  <c r="M132" i="4"/>
  <c r="N132" i="4"/>
  <c r="M596" i="4"/>
  <c r="N596" i="4"/>
  <c r="M837" i="4"/>
  <c r="N837" i="4"/>
  <c r="N9" i="4"/>
  <c r="N89" i="4"/>
  <c r="N241" i="4"/>
  <c r="N329" i="4"/>
  <c r="N397" i="4"/>
  <c r="N489" i="4"/>
  <c r="N573" i="4"/>
  <c r="N641" i="4"/>
  <c r="N729" i="4"/>
  <c r="N881" i="4"/>
  <c r="N985" i="4"/>
  <c r="M507" i="4"/>
  <c r="N507" i="4"/>
  <c r="M707" i="4"/>
  <c r="N707" i="4"/>
  <c r="M835" i="4"/>
  <c r="N835" i="4"/>
  <c r="M963" i="4"/>
  <c r="N963" i="4"/>
  <c r="M821" i="4"/>
  <c r="N821" i="4"/>
  <c r="M565" i="4"/>
  <c r="N565" i="4"/>
  <c r="N81" i="4"/>
  <c r="N145" i="4"/>
  <c r="N233" i="4"/>
  <c r="N313" i="4"/>
  <c r="N561" i="4"/>
  <c r="N633" i="4"/>
  <c r="N777" i="4"/>
  <c r="N857" i="4"/>
  <c r="N937" i="4"/>
  <c r="M44" i="4"/>
  <c r="N44" i="4"/>
  <c r="M373" i="4"/>
  <c r="N373" i="4"/>
  <c r="M724" i="4"/>
  <c r="N724" i="4"/>
  <c r="M852" i="4"/>
  <c r="N852" i="4"/>
  <c r="M980" i="4"/>
  <c r="N980" i="4"/>
  <c r="M789" i="4"/>
  <c r="N789" i="4"/>
  <c r="N141" i="4"/>
  <c r="N229" i="4"/>
  <c r="N337" i="4"/>
  <c r="N401" i="4"/>
  <c r="N513" i="4"/>
  <c r="N585" i="4"/>
  <c r="N705" i="4"/>
  <c r="N929" i="4"/>
  <c r="M354" i="4"/>
  <c r="N354" i="4"/>
  <c r="M28" i="4"/>
  <c r="N28" i="4"/>
  <c r="M310" i="4"/>
  <c r="N310" i="4"/>
  <c r="M642" i="4"/>
  <c r="N642" i="4"/>
  <c r="M898" i="4"/>
  <c r="N898" i="4"/>
  <c r="M262" i="4"/>
  <c r="N262" i="4"/>
  <c r="M646" i="4"/>
  <c r="N646" i="4"/>
  <c r="M906" i="4"/>
  <c r="N906" i="4"/>
  <c r="M322" i="4"/>
  <c r="N322" i="4"/>
  <c r="M795" i="4"/>
  <c r="N795" i="4"/>
  <c r="M1004" i="4"/>
  <c r="N1004" i="4"/>
  <c r="N924" i="4"/>
  <c r="N195" i="4"/>
  <c r="N427" i="4"/>
  <c r="N635" i="4"/>
  <c r="N779" i="4"/>
  <c r="N907" i="4"/>
  <c r="N236" i="4"/>
  <c r="M274" i="4"/>
  <c r="N274" i="4"/>
  <c r="M58" i="4"/>
  <c r="N58" i="4"/>
  <c r="M658" i="4"/>
  <c r="N658" i="4"/>
  <c r="M290" i="4"/>
  <c r="N290" i="4"/>
  <c r="M198" i="4"/>
  <c r="N198" i="4"/>
  <c r="M501" i="4"/>
  <c r="N501" i="4"/>
  <c r="M258" i="4"/>
  <c r="N258" i="4"/>
  <c r="M786" i="4"/>
  <c r="N786" i="4"/>
  <c r="M614" i="4"/>
  <c r="N614" i="4"/>
  <c r="M245" i="4"/>
  <c r="N245" i="4"/>
  <c r="M492" i="4"/>
  <c r="N492" i="4"/>
  <c r="M19" i="4"/>
  <c r="N19" i="4"/>
  <c r="M131" i="4"/>
  <c r="N131" i="4"/>
  <c r="N510" i="4"/>
  <c r="N866" i="4"/>
  <c r="M702" i="4"/>
  <c r="N702" i="4"/>
  <c r="M958" i="4"/>
  <c r="N958" i="4"/>
  <c r="M668" i="4"/>
  <c r="N668" i="4"/>
  <c r="M309" i="4"/>
  <c r="N309" i="4"/>
  <c r="M803" i="4"/>
  <c r="N803" i="4"/>
  <c r="M692" i="4"/>
  <c r="N692" i="4"/>
  <c r="M590" i="4"/>
  <c r="N590" i="4"/>
  <c r="M162" i="4"/>
  <c r="N162" i="4"/>
  <c r="M452" i="4"/>
  <c r="N452" i="4"/>
  <c r="M876" i="4"/>
  <c r="N876" i="4"/>
  <c r="M163" i="4"/>
  <c r="N163" i="4"/>
  <c r="M330" i="4"/>
  <c r="N330" i="4"/>
  <c r="M586" i="4"/>
  <c r="N586" i="4"/>
  <c r="M726" i="4"/>
  <c r="N726" i="4"/>
  <c r="M854" i="4"/>
  <c r="N854" i="4"/>
  <c r="M918" i="4"/>
  <c r="N918" i="4"/>
  <c r="N114" i="4"/>
  <c r="M114" i="4"/>
  <c r="M534" i="4"/>
  <c r="N534" i="4"/>
  <c r="M90" i="4"/>
  <c r="N90" i="4"/>
  <c r="M254" i="4"/>
  <c r="N254" i="4"/>
  <c r="M155" i="4"/>
  <c r="N155" i="4"/>
  <c r="N23" i="4"/>
  <c r="N55" i="4"/>
  <c r="N87" i="4"/>
  <c r="N119" i="4"/>
  <c r="N151" i="4"/>
  <c r="N914" i="4"/>
  <c r="N443" i="4"/>
  <c r="N183" i="4"/>
  <c r="N215" i="4"/>
  <c r="N247" i="4"/>
  <c r="N279" i="4"/>
  <c r="M173" i="4"/>
  <c r="N173" i="4"/>
  <c r="M717" i="4"/>
  <c r="N717" i="4"/>
  <c r="M845" i="4"/>
  <c r="N845" i="4"/>
  <c r="M973" i="4"/>
  <c r="N973" i="4"/>
  <c r="N21" i="4"/>
  <c r="N85" i="4"/>
  <c r="N149" i="4"/>
  <c r="N193" i="4"/>
  <c r="N253" i="4"/>
  <c r="N317" i="4"/>
  <c r="N381" i="4"/>
  <c r="N425" i="4"/>
  <c r="N465" i="4"/>
  <c r="N521" i="4"/>
  <c r="N601" i="4"/>
  <c r="N657" i="4"/>
  <c r="N769" i="4"/>
  <c r="N889" i="4"/>
  <c r="M157" i="4"/>
  <c r="N157" i="4"/>
  <c r="N319" i="4"/>
  <c r="N343" i="4"/>
  <c r="N359" i="4"/>
  <c r="N383" i="4"/>
  <c r="N407" i="4"/>
  <c r="N423" i="4"/>
  <c r="N447" i="4"/>
  <c r="N471" i="4"/>
  <c r="N487" i="4"/>
  <c r="N511" i="4"/>
  <c r="N535" i="4"/>
  <c r="N551" i="4"/>
  <c r="N575" i="4"/>
  <c r="N599" i="4"/>
  <c r="N615" i="4"/>
  <c r="N639" i="4"/>
  <c r="N663" i="4"/>
  <c r="N679" i="4"/>
  <c r="N711" i="4"/>
  <c r="N743" i="4"/>
  <c r="N775" i="4"/>
  <c r="N807" i="4"/>
  <c r="N839" i="4"/>
  <c r="N871" i="4"/>
  <c r="N903" i="4"/>
  <c r="N935" i="4"/>
  <c r="N967" i="4"/>
  <c r="N999" i="4"/>
  <c r="M869" i="4"/>
  <c r="N869" i="4"/>
  <c r="M92" i="4"/>
  <c r="N92" i="4"/>
  <c r="M531" i="4"/>
  <c r="N531" i="4"/>
  <c r="M68" i="4"/>
  <c r="N68" i="4"/>
  <c r="M532" i="4"/>
  <c r="N532" i="4"/>
  <c r="M868" i="4"/>
  <c r="N868" i="4"/>
  <c r="M996" i="4"/>
  <c r="N996" i="4"/>
  <c r="N24" i="4"/>
  <c r="N48" i="4"/>
  <c r="N64" i="4"/>
  <c r="N88" i="4"/>
  <c r="N112" i="4"/>
  <c r="N128" i="4"/>
  <c r="N152" i="4"/>
  <c r="N176" i="4"/>
  <c r="N192" i="4"/>
  <c r="N216" i="4"/>
  <c r="N240" i="4"/>
  <c r="N256" i="4"/>
  <c r="N280" i="4"/>
  <c r="N304" i="4"/>
  <c r="N320" i="4"/>
  <c r="N344" i="4"/>
  <c r="N368" i="4"/>
  <c r="N384" i="4"/>
  <c r="N408" i="4"/>
  <c r="N432" i="4"/>
  <c r="N448" i="4"/>
  <c r="N472" i="4"/>
  <c r="N496" i="4"/>
  <c r="N512" i="4"/>
  <c r="N536" i="4"/>
  <c r="N560" i="4"/>
  <c r="N576" i="4"/>
  <c r="N853" i="4"/>
  <c r="N851" i="4"/>
  <c r="N740" i="4"/>
  <c r="N624" i="4"/>
  <c r="N688" i="4"/>
  <c r="N784" i="4"/>
  <c r="N880" i="4"/>
  <c r="N976" i="4"/>
  <c r="N828" i="4"/>
  <c r="N678" i="4"/>
  <c r="N107" i="4"/>
  <c r="M861" i="4"/>
  <c r="N861" i="4"/>
  <c r="M917" i="4"/>
  <c r="N917" i="4"/>
  <c r="N25" i="4"/>
  <c r="N105" i="4"/>
  <c r="N257" i="4"/>
  <c r="N345" i="4"/>
  <c r="N441" i="4"/>
  <c r="N505" i="4"/>
  <c r="N593" i="4"/>
  <c r="N665" i="4"/>
  <c r="N897" i="4"/>
  <c r="M109" i="4"/>
  <c r="N109" i="4"/>
  <c r="M885" i="4"/>
  <c r="N885" i="4"/>
  <c r="N17" i="4"/>
  <c r="N97" i="4"/>
  <c r="N165" i="4"/>
  <c r="N249" i="4"/>
  <c r="N417" i="4"/>
  <c r="N577" i="4"/>
  <c r="N661" i="4"/>
  <c r="N793" i="4"/>
  <c r="N873" i="4"/>
  <c r="N945" i="4"/>
  <c r="N13" i="4"/>
  <c r="N177" i="4"/>
  <c r="N269" i="4"/>
  <c r="N353" i="4"/>
  <c r="N421" i="4"/>
  <c r="N529" i="4"/>
  <c r="N653" i="4"/>
  <c r="N721" i="4"/>
  <c r="N993" i="4"/>
  <c r="N732" i="4"/>
  <c r="N211" i="4"/>
  <c r="N467" i="4"/>
  <c r="N683" i="4"/>
  <c r="N811" i="4"/>
  <c r="N939" i="4"/>
  <c r="N428" i="4"/>
  <c r="N284" i="4"/>
  <c r="N476" i="4"/>
  <c r="N306" i="4"/>
  <c r="N139" i="4"/>
  <c r="N174" i="4"/>
  <c r="N730" i="4"/>
  <c r="N986" i="4"/>
  <c r="N147" i="4"/>
  <c r="N891" i="4"/>
  <c r="N31" i="4"/>
  <c r="N63" i="4"/>
  <c r="N95" i="4"/>
  <c r="N127" i="4"/>
  <c r="N159" i="4"/>
  <c r="N191" i="4"/>
  <c r="N223" i="4"/>
  <c r="N255" i="4"/>
  <c r="N287" i="4"/>
  <c r="M749" i="4"/>
  <c r="N749" i="4"/>
  <c r="M877" i="4"/>
  <c r="N877" i="4"/>
  <c r="M1005" i="4"/>
  <c r="N1005" i="4"/>
  <c r="N33" i="4"/>
  <c r="N101" i="4"/>
  <c r="N161" i="4"/>
  <c r="N205" i="4"/>
  <c r="N265" i="4"/>
  <c r="N333" i="4"/>
  <c r="N393" i="4"/>
  <c r="N433" i="4"/>
  <c r="N469" i="4"/>
  <c r="N533" i="4"/>
  <c r="N617" i="4"/>
  <c r="N713" i="4"/>
  <c r="N785" i="4"/>
  <c r="N913" i="4"/>
  <c r="M669" i="4"/>
  <c r="N669" i="4"/>
  <c r="N327" i="4"/>
  <c r="N347" i="4"/>
  <c r="N367" i="4"/>
  <c r="N391" i="4"/>
  <c r="N411" i="4"/>
  <c r="N431" i="4"/>
  <c r="N455" i="4"/>
  <c r="N475" i="4"/>
  <c r="N495" i="4"/>
  <c r="N519" i="4"/>
  <c r="N539" i="4"/>
  <c r="N559" i="4"/>
  <c r="N583" i="4"/>
  <c r="N603" i="4"/>
  <c r="N623" i="4"/>
  <c r="N647" i="4"/>
  <c r="N667" i="4"/>
  <c r="N687" i="4"/>
  <c r="N719" i="4"/>
  <c r="N751" i="4"/>
  <c r="N783" i="4"/>
  <c r="N815" i="4"/>
  <c r="N847" i="4"/>
  <c r="N879" i="4"/>
  <c r="N911" i="4"/>
  <c r="N943" i="4"/>
  <c r="N975" i="4"/>
  <c r="M325" i="4"/>
  <c r="N325" i="4"/>
  <c r="M965" i="4"/>
  <c r="N965" i="4"/>
  <c r="M901" i="4"/>
  <c r="N901" i="4"/>
  <c r="M580" i="4"/>
  <c r="N580" i="4"/>
  <c r="N8" i="4"/>
  <c r="N32" i="4"/>
  <c r="N52" i="4"/>
  <c r="N72" i="4"/>
  <c r="N96" i="4"/>
  <c r="N116" i="4"/>
  <c r="N136" i="4"/>
  <c r="N160" i="4"/>
  <c r="N180" i="4"/>
  <c r="N200" i="4"/>
  <c r="N224" i="4"/>
  <c r="N244" i="4"/>
  <c r="N264" i="4"/>
  <c r="N288" i="4"/>
  <c r="N308" i="4"/>
  <c r="N328" i="4"/>
  <c r="N352" i="4"/>
  <c r="N372" i="4"/>
  <c r="N392" i="4"/>
  <c r="N416" i="4"/>
  <c r="N436" i="4"/>
  <c r="N456" i="4"/>
  <c r="N480" i="4"/>
  <c r="N500" i="4"/>
  <c r="N520" i="4"/>
  <c r="N544" i="4"/>
  <c r="N564" i="4"/>
  <c r="N584" i="4"/>
  <c r="N608" i="4"/>
  <c r="N628" i="4"/>
  <c r="N648" i="4"/>
  <c r="N672" i="4"/>
  <c r="N696" i="4"/>
  <c r="N728" i="4"/>
  <c r="N760" i="4"/>
  <c r="N792" i="4"/>
  <c r="N824" i="4"/>
  <c r="N856" i="4"/>
  <c r="N888" i="4"/>
  <c r="N920" i="4"/>
  <c r="N952" i="4"/>
  <c r="N984" i="4"/>
  <c r="M738" i="4"/>
  <c r="N738" i="4"/>
  <c r="N260" i="4"/>
  <c r="N860" i="4"/>
  <c r="M926" i="4"/>
  <c r="N557" i="4"/>
  <c r="N300" i="4"/>
  <c r="N780" i="4"/>
  <c r="N477" i="4"/>
  <c r="N94" i="4"/>
  <c r="N226" i="4"/>
  <c r="N314" i="4"/>
  <c r="N390" i="4"/>
  <c r="N466" i="4"/>
  <c r="N542" i="4"/>
  <c r="N622" i="4"/>
  <c r="N694" i="4"/>
  <c r="N758" i="4"/>
  <c r="N886" i="4"/>
  <c r="N962" i="4"/>
  <c r="N179" i="4"/>
  <c r="N739" i="4"/>
  <c r="N182" i="4"/>
  <c r="N422" i="4"/>
  <c r="N506" i="4"/>
  <c r="N746" i="4"/>
  <c r="N826" i="4"/>
  <c r="N994" i="4"/>
  <c r="N595" i="4"/>
  <c r="N374" i="4"/>
  <c r="N640" i="4"/>
  <c r="N720" i="4"/>
  <c r="N816" i="4"/>
  <c r="N912" i="4"/>
  <c r="N988" i="4"/>
  <c r="M733" i="4"/>
  <c r="N733" i="4"/>
  <c r="N745" i="4"/>
  <c r="M942" i="4"/>
  <c r="N942" i="4"/>
  <c r="M765" i="4"/>
  <c r="N765" i="4"/>
  <c r="M893" i="4"/>
  <c r="N893" i="4"/>
  <c r="M45" i="4"/>
  <c r="N45" i="4"/>
  <c r="M997" i="4"/>
  <c r="N997" i="4"/>
  <c r="M581" i="4"/>
  <c r="N581" i="4"/>
  <c r="M949" i="4"/>
  <c r="N949" i="4"/>
  <c r="M916" i="4"/>
  <c r="N916" i="4"/>
  <c r="M610" i="4"/>
  <c r="N610" i="4"/>
  <c r="M418" i="4"/>
  <c r="N418" i="4"/>
  <c r="M340" i="4"/>
  <c r="N556" i="4"/>
  <c r="N788" i="4"/>
  <c r="N181" i="4"/>
  <c r="N30" i="4"/>
  <c r="N468" i="4"/>
  <c r="N203" i="4"/>
  <c r="N883" i="4"/>
  <c r="N154" i="4"/>
  <c r="N234" i="4"/>
  <c r="N318" i="4"/>
  <c r="N398" i="4"/>
  <c r="N630" i="4"/>
  <c r="N970" i="4"/>
  <c r="N219" i="4"/>
  <c r="N763" i="4"/>
  <c r="N126" i="4"/>
  <c r="N346" i="4"/>
  <c r="N430" i="4"/>
  <c r="N514" i="4"/>
  <c r="N754" i="4"/>
  <c r="N1002" i="4"/>
  <c r="N659" i="4"/>
  <c r="N714" i="4"/>
  <c r="N486" i="4"/>
  <c r="N210" i="4"/>
  <c r="N600" i="4"/>
  <c r="N664" i="4"/>
  <c r="N752" i="4"/>
  <c r="N848" i="4"/>
  <c r="N944" i="4"/>
  <c r="N220" i="4"/>
  <c r="M250" i="4"/>
  <c r="N250" i="4"/>
  <c r="M450" i="4"/>
  <c r="N450" i="4"/>
  <c r="M989" i="4"/>
  <c r="N989" i="4"/>
  <c r="M69" i="4"/>
  <c r="N69" i="4"/>
  <c r="N7" i="4"/>
  <c r="N39" i="4"/>
  <c r="N71" i="4"/>
  <c r="N103" i="4"/>
  <c r="N135" i="4"/>
  <c r="N167" i="4"/>
  <c r="N199" i="4"/>
  <c r="N231" i="4"/>
  <c r="N263" i="4"/>
  <c r="N295" i="4"/>
  <c r="M909" i="4"/>
  <c r="N909" i="4"/>
  <c r="M693" i="4"/>
  <c r="N693" i="4"/>
  <c r="N61" i="4"/>
  <c r="N125" i="4"/>
  <c r="N169" i="4"/>
  <c r="N213" i="4"/>
  <c r="N277" i="4"/>
  <c r="N341" i="4"/>
  <c r="N405" i="4"/>
  <c r="N445" i="4"/>
  <c r="N485" i="4"/>
  <c r="N553" i="4"/>
  <c r="N637" i="4"/>
  <c r="N753" i="4"/>
  <c r="N809" i="4"/>
  <c r="N977" i="4"/>
  <c r="N307" i="4"/>
  <c r="N331" i="4"/>
  <c r="N351" i="4"/>
  <c r="N371" i="4"/>
  <c r="N395" i="4"/>
  <c r="N415" i="4"/>
  <c r="N435" i="4"/>
  <c r="N459" i="4"/>
  <c r="N479" i="4"/>
  <c r="N499" i="4"/>
  <c r="N523" i="4"/>
  <c r="N543" i="4"/>
  <c r="N563" i="4"/>
  <c r="N587" i="4"/>
  <c r="N607" i="4"/>
  <c r="N627" i="4"/>
  <c r="N651" i="4"/>
  <c r="N671" i="4"/>
  <c r="N695" i="4"/>
  <c r="N727" i="4"/>
  <c r="N759" i="4"/>
  <c r="N791" i="4"/>
  <c r="N823" i="4"/>
  <c r="N855" i="4"/>
  <c r="N887" i="4"/>
  <c r="N919" i="4"/>
  <c r="N951" i="4"/>
  <c r="N983" i="4"/>
  <c r="M725" i="4"/>
  <c r="N725" i="4"/>
  <c r="M285" i="4"/>
  <c r="N285" i="4"/>
  <c r="M981" i="4"/>
  <c r="N981" i="4"/>
  <c r="M932" i="4"/>
  <c r="N932" i="4"/>
  <c r="N12" i="4"/>
  <c r="N36" i="4"/>
  <c r="N56" i="4"/>
  <c r="N76" i="4"/>
  <c r="N100" i="4"/>
  <c r="N120" i="4"/>
  <c r="N140" i="4"/>
  <c r="N164" i="4"/>
  <c r="N184" i="4"/>
  <c r="N204" i="4"/>
  <c r="N228" i="4"/>
  <c r="N248" i="4"/>
  <c r="N268" i="4"/>
  <c r="N292" i="4"/>
  <c r="N312" i="4"/>
  <c r="N332" i="4"/>
  <c r="N356" i="4"/>
  <c r="N376" i="4"/>
  <c r="N396" i="4"/>
  <c r="N420" i="4"/>
  <c r="N440" i="4"/>
  <c r="N460" i="4"/>
  <c r="N484" i="4"/>
  <c r="N504" i="4"/>
  <c r="N524" i="4"/>
  <c r="N548" i="4"/>
  <c r="N568" i="4"/>
  <c r="N588" i="4"/>
  <c r="N612" i="4"/>
  <c r="N632" i="4"/>
  <c r="N652" i="4"/>
  <c r="N676" i="4"/>
  <c r="N704" i="4"/>
  <c r="N736" i="4"/>
  <c r="N768" i="4"/>
  <c r="N800" i="4"/>
  <c r="N832" i="4"/>
  <c r="N864" i="4"/>
  <c r="N896" i="4"/>
  <c r="N928" i="4"/>
  <c r="N960" i="4"/>
  <c r="N992" i="4"/>
  <c r="M130" i="4"/>
  <c r="N130" i="4"/>
  <c r="N148" i="4"/>
  <c r="N404" i="4"/>
  <c r="N892" i="4"/>
  <c r="N621" i="4"/>
  <c r="N604" i="4"/>
  <c r="N804" i="4"/>
  <c r="N884" i="4"/>
  <c r="N197" i="4"/>
  <c r="N605" i="4"/>
  <c r="N34" i="4"/>
  <c r="N70" i="4"/>
  <c r="N227" i="4"/>
  <c r="N915" i="4"/>
  <c r="N326" i="4"/>
  <c r="N402" i="4"/>
  <c r="N490" i="4"/>
  <c r="N638" i="4"/>
  <c r="N978" i="4"/>
  <c r="N315" i="4"/>
  <c r="N827" i="4"/>
  <c r="N134" i="4"/>
  <c r="N438" i="4"/>
  <c r="N530" i="4"/>
  <c r="N602" i="4"/>
  <c r="N682" i="4"/>
  <c r="N930" i="4"/>
  <c r="N11" i="4"/>
  <c r="N259" i="4"/>
  <c r="N699" i="4"/>
  <c r="N987" i="4"/>
  <c r="N859" i="4"/>
  <c r="N554" i="4"/>
  <c r="M39" i="4"/>
  <c r="M103" i="4"/>
  <c r="M167" i="4"/>
  <c r="M231" i="4"/>
  <c r="M295" i="4"/>
  <c r="M61" i="4"/>
  <c r="M169" i="4"/>
  <c r="M213" i="4"/>
  <c r="M341" i="4"/>
  <c r="M445" i="4"/>
  <c r="M485" i="4"/>
  <c r="M637" i="4"/>
  <c r="M7" i="4"/>
  <c r="M71" i="4"/>
  <c r="M135" i="4"/>
  <c r="M199" i="4"/>
  <c r="M263" i="4"/>
  <c r="M125" i="4"/>
  <c r="M277" i="4"/>
  <c r="M405" i="4"/>
  <c r="M553" i="4"/>
  <c r="M753" i="4"/>
  <c r="M809" i="4"/>
  <c r="M977" i="4"/>
  <c r="M307" i="4"/>
  <c r="M331" i="4"/>
  <c r="M351" i="4"/>
  <c r="M371" i="4"/>
  <c r="M395" i="4"/>
  <c r="M415" i="4"/>
  <c r="M435" i="4"/>
  <c r="M459" i="4"/>
  <c r="M479" i="4"/>
  <c r="M499" i="4"/>
  <c r="M523" i="4"/>
  <c r="M543" i="4"/>
  <c r="M563" i="4"/>
  <c r="M587" i="4"/>
  <c r="M607" i="4"/>
  <c r="M627" i="4"/>
  <c r="M651" i="4"/>
  <c r="M671" i="4"/>
  <c r="M695" i="4"/>
  <c r="M727" i="4"/>
  <c r="M759" i="4"/>
  <c r="M791" i="4"/>
  <c r="M823" i="4"/>
  <c r="M855" i="4"/>
  <c r="M887" i="4"/>
  <c r="M919" i="4"/>
  <c r="M951" i="4"/>
  <c r="M983" i="4"/>
  <c r="M12" i="4"/>
  <c r="M36" i="4"/>
  <c r="M56" i="4"/>
  <c r="M76" i="4"/>
  <c r="M100" i="4"/>
  <c r="M120" i="4"/>
  <c r="M140" i="4"/>
  <c r="M164" i="4"/>
  <c r="M184" i="4"/>
  <c r="M204" i="4"/>
  <c r="M228" i="4"/>
  <c r="M248" i="4"/>
  <c r="M268" i="4"/>
  <c r="M292" i="4"/>
  <c r="M312" i="4"/>
  <c r="M332" i="4"/>
  <c r="M356" i="4"/>
  <c r="M376" i="4"/>
  <c r="M396" i="4"/>
  <c r="M420" i="4"/>
  <c r="M440" i="4"/>
  <c r="M460" i="4"/>
  <c r="M484" i="4"/>
  <c r="M504" i="4"/>
  <c r="M524" i="4"/>
  <c r="M548" i="4"/>
  <c r="M568" i="4"/>
  <c r="M588" i="4"/>
  <c r="M612" i="4"/>
  <c r="M632" i="4"/>
  <c r="M652" i="4"/>
  <c r="M676" i="4"/>
  <c r="M704" i="4"/>
  <c r="M736" i="4"/>
  <c r="M768" i="4"/>
  <c r="M800" i="4"/>
  <c r="M832" i="4"/>
  <c r="M864" i="4"/>
  <c r="M896" i="4"/>
  <c r="M928" i="4"/>
  <c r="M960" i="4"/>
  <c r="M992" i="4"/>
  <c r="M148" i="4"/>
  <c r="M404" i="4"/>
  <c r="M892" i="4"/>
  <c r="N6" i="4"/>
  <c r="M223" i="4"/>
  <c r="M255" i="4"/>
  <c r="M287" i="4"/>
  <c r="M41" i="4"/>
  <c r="M121" i="4"/>
  <c r="M273" i="4"/>
  <c r="M361" i="4"/>
  <c r="M457" i="4"/>
  <c r="M525" i="4"/>
  <c r="M609" i="4"/>
  <c r="M681" i="4"/>
  <c r="M801" i="4"/>
  <c r="M953" i="4"/>
  <c r="M49" i="4"/>
  <c r="M113" i="4"/>
  <c r="M201" i="4"/>
  <c r="M281" i="4"/>
  <c r="M461" i="4"/>
  <c r="M597" i="4"/>
  <c r="M677" i="4"/>
  <c r="M825" i="4"/>
  <c r="M905" i="4"/>
  <c r="M961" i="4"/>
  <c r="M37" i="4"/>
  <c r="M189" i="4"/>
  <c r="M305" i="4"/>
  <c r="M369" i="4"/>
  <c r="M481" i="4"/>
  <c r="M549" i="4"/>
  <c r="M673" i="4"/>
  <c r="M833" i="4"/>
  <c r="M764" i="4"/>
  <c r="M123" i="4"/>
  <c r="M235" i="4"/>
  <c r="M491" i="4"/>
  <c r="M715" i="4"/>
  <c r="M843" i="4"/>
  <c r="M971" i="4"/>
  <c r="M700" i="4"/>
  <c r="M57" i="4"/>
  <c r="M377" i="4"/>
  <c r="M697" i="4"/>
  <c r="M817" i="4"/>
  <c r="M969" i="4"/>
  <c r="M129" i="4"/>
  <c r="M297" i="4"/>
  <c r="M841" i="4"/>
  <c r="M1001" i="4"/>
  <c r="M321" i="4"/>
  <c r="M569" i="4"/>
  <c r="M796" i="4"/>
  <c r="M515" i="4"/>
  <c r="M175" i="4"/>
  <c r="M185" i="4"/>
  <c r="M357" i="4"/>
  <c r="M449" i="4"/>
  <c r="M649" i="4"/>
  <c r="M865" i="4"/>
  <c r="M355" i="4"/>
  <c r="M293" i="4"/>
  <c r="M625" i="4"/>
  <c r="M217" i="4"/>
  <c r="M737" i="4"/>
  <c r="M921" i="4"/>
  <c r="M209" i="4"/>
  <c r="M689" i="4"/>
  <c r="M403" i="4"/>
  <c r="M1003" i="4"/>
  <c r="M15" i="4"/>
  <c r="M143" i="4"/>
  <c r="M271" i="4"/>
  <c r="M73" i="4"/>
  <c r="M289" i="4"/>
  <c r="M589" i="4"/>
  <c r="M375" i="4"/>
  <c r="M153" i="4"/>
  <c r="M473" i="4"/>
  <c r="M65" i="4"/>
  <c r="M545" i="4"/>
  <c r="M385" i="4"/>
  <c r="M849" i="4"/>
  <c r="M187" i="4"/>
  <c r="M875" i="4"/>
  <c r="M47" i="4"/>
  <c r="M111" i="4"/>
  <c r="M239" i="4"/>
  <c r="M303" i="4"/>
  <c r="M225" i="4"/>
  <c r="M509" i="4"/>
  <c r="M335" i="4"/>
  <c r="M399" i="4"/>
  <c r="M537" i="4"/>
  <c r="M613" i="4"/>
  <c r="M77" i="4"/>
  <c r="M497" i="4"/>
  <c r="M747" i="4"/>
  <c r="M79" i="4"/>
  <c r="M207" i="4"/>
  <c r="M137" i="4"/>
  <c r="M409" i="4"/>
  <c r="M761" i="4"/>
  <c r="M311" i="4"/>
  <c r="M527" i="4"/>
  <c r="M655" i="4"/>
  <c r="M895" i="4"/>
  <c r="M16" i="4"/>
  <c r="M168" i="4"/>
  <c r="M296" i="4"/>
  <c r="M444" i="4"/>
  <c r="M552" i="4"/>
  <c r="M712" i="4"/>
  <c r="M936" i="4"/>
  <c r="M9" i="4"/>
  <c r="M89" i="4"/>
  <c r="M241" i="4"/>
  <c r="M329" i="4"/>
  <c r="M397" i="4"/>
  <c r="M489" i="4"/>
  <c r="M573" i="4"/>
  <c r="M641" i="4"/>
  <c r="M729" i="4"/>
  <c r="M881" i="4"/>
  <c r="M985" i="4"/>
  <c r="M81" i="4"/>
  <c r="M145" i="4"/>
  <c r="M233" i="4"/>
  <c r="M313" i="4"/>
  <c r="M561" i="4"/>
  <c r="M633" i="4"/>
  <c r="M777" i="4"/>
  <c r="M857" i="4"/>
  <c r="M937" i="4"/>
  <c r="M141" i="4"/>
  <c r="M229" i="4"/>
  <c r="M337" i="4"/>
  <c r="M401" i="4"/>
  <c r="M513" i="4"/>
  <c r="M585" i="4"/>
  <c r="M705" i="4"/>
  <c r="M929" i="4"/>
  <c r="M924" i="4"/>
  <c r="M195" i="4"/>
  <c r="M427" i="4"/>
  <c r="M635" i="4"/>
  <c r="M779" i="4"/>
  <c r="M907" i="4"/>
  <c r="M236" i="4"/>
  <c r="M419" i="4"/>
  <c r="M483" i="4"/>
  <c r="M547" i="4"/>
  <c r="M631" i="4"/>
  <c r="M675" i="4"/>
  <c r="M799" i="4"/>
  <c r="M959" i="4"/>
  <c r="M80" i="4"/>
  <c r="M188" i="4"/>
  <c r="M252" i="4"/>
  <c r="M316" i="4"/>
  <c r="M400" i="4"/>
  <c r="M508" i="4"/>
  <c r="M572" i="4"/>
  <c r="M656" i="4"/>
  <c r="M776" i="4"/>
  <c r="M872" i="4"/>
  <c r="M1000" i="4"/>
  <c r="M516" i="4"/>
  <c r="M55" i="4"/>
  <c r="M87" i="4"/>
  <c r="M183" i="4"/>
  <c r="M279" i="4"/>
  <c r="M149" i="4"/>
  <c r="M193" i="4"/>
  <c r="M381" i="4"/>
  <c r="M425" i="4"/>
  <c r="M601" i="4"/>
  <c r="M657" i="4"/>
  <c r="M343" i="4"/>
  <c r="M359" i="4"/>
  <c r="M423" i="4"/>
  <c r="M447" i="4"/>
  <c r="M511" i="4"/>
  <c r="M535" i="4"/>
  <c r="M599" i="4"/>
  <c r="M615" i="4"/>
  <c r="M679" i="4"/>
  <c r="M775" i="4"/>
  <c r="M871" i="4"/>
  <c r="M935" i="4"/>
  <c r="M999" i="4"/>
  <c r="M64" i="4"/>
  <c r="M128" i="4"/>
  <c r="M176" i="4"/>
  <c r="M240" i="4"/>
  <c r="M304" i="4"/>
  <c r="M344" i="4"/>
  <c r="M384" i="4"/>
  <c r="M448" i="4"/>
  <c r="M512" i="4"/>
  <c r="M576" i="4"/>
  <c r="M600" i="4"/>
  <c r="M664" i="4"/>
  <c r="M752" i="4"/>
  <c r="M848" i="4"/>
  <c r="M944" i="4"/>
  <c r="M988" i="4"/>
  <c r="M463" i="4"/>
  <c r="M611" i="4"/>
  <c r="M767" i="4"/>
  <c r="M927" i="4"/>
  <c r="M40" i="4"/>
  <c r="M144" i="4"/>
  <c r="M272" i="4"/>
  <c r="M360" i="4"/>
  <c r="M464" i="4"/>
  <c r="M592" i="4"/>
  <c r="M680" i="4"/>
  <c r="M840" i="4"/>
  <c r="M212" i="4"/>
  <c r="M23" i="4"/>
  <c r="M151" i="4"/>
  <c r="M247" i="4"/>
  <c r="M85" i="4"/>
  <c r="M317" i="4"/>
  <c r="M521" i="4"/>
  <c r="M889" i="4"/>
  <c r="M319" i="4"/>
  <c r="M407" i="4"/>
  <c r="M487" i="4"/>
  <c r="M575" i="4"/>
  <c r="M663" i="4"/>
  <c r="M743" i="4"/>
  <c r="M839" i="4"/>
  <c r="M967" i="4"/>
  <c r="M48" i="4"/>
  <c r="M112" i="4"/>
  <c r="M192" i="4"/>
  <c r="M256" i="4"/>
  <c r="M320" i="4"/>
  <c r="M408" i="4"/>
  <c r="M496" i="4"/>
  <c r="M536" i="4"/>
  <c r="M640" i="4"/>
  <c r="M720" i="4"/>
  <c r="M816" i="4"/>
  <c r="M912" i="4"/>
  <c r="M220" i="4"/>
  <c r="M25" i="4"/>
  <c r="M105" i="4"/>
  <c r="M257" i="4"/>
  <c r="M345" i="4"/>
  <c r="M441" i="4"/>
  <c r="M505" i="4"/>
  <c r="M593" i="4"/>
  <c r="M665" i="4"/>
  <c r="M745" i="4"/>
  <c r="M897" i="4"/>
  <c r="M17" i="4"/>
  <c r="M97" i="4"/>
  <c r="M165" i="4"/>
  <c r="M249" i="4"/>
  <c r="M417" i="4"/>
  <c r="M577" i="4"/>
  <c r="M661" i="4"/>
  <c r="M793" i="4"/>
  <c r="M873" i="4"/>
  <c r="M945" i="4"/>
  <c r="M13" i="4"/>
  <c r="M177" i="4"/>
  <c r="M269" i="4"/>
  <c r="M353" i="4"/>
  <c r="M421" i="4"/>
  <c r="M529" i="4"/>
  <c r="M653" i="4"/>
  <c r="M721" i="4"/>
  <c r="M993" i="4"/>
  <c r="M732" i="4"/>
  <c r="M211" i="4"/>
  <c r="M467" i="4"/>
  <c r="M683" i="4"/>
  <c r="M811" i="4"/>
  <c r="M939" i="4"/>
  <c r="M428" i="4"/>
  <c r="M439" i="4"/>
  <c r="M567" i="4"/>
  <c r="M735" i="4"/>
  <c r="M863" i="4"/>
  <c r="M104" i="4"/>
  <c r="M232" i="4"/>
  <c r="M380" i="4"/>
  <c r="M488" i="4"/>
  <c r="M616" i="4"/>
  <c r="M744" i="4"/>
  <c r="M904" i="4"/>
  <c r="M119" i="4"/>
  <c r="M215" i="4"/>
  <c r="M21" i="4"/>
  <c r="M253" i="4"/>
  <c r="M465" i="4"/>
  <c r="M769" i="4"/>
  <c r="M383" i="4"/>
  <c r="M471" i="4"/>
  <c r="M551" i="4"/>
  <c r="M639" i="4"/>
  <c r="M711" i="4"/>
  <c r="M807" i="4"/>
  <c r="M903" i="4"/>
  <c r="M24" i="4"/>
  <c r="M88" i="4"/>
  <c r="M152" i="4"/>
  <c r="M216" i="4"/>
  <c r="M280" i="4"/>
  <c r="M368" i="4"/>
  <c r="M432" i="4"/>
  <c r="M472" i="4"/>
  <c r="M560" i="4"/>
  <c r="M624" i="4"/>
  <c r="M688" i="4"/>
  <c r="M784" i="4"/>
  <c r="M880" i="4"/>
  <c r="M976" i="4"/>
  <c r="M828" i="4"/>
  <c r="M31" i="4"/>
  <c r="M63" i="4"/>
  <c r="M95" i="4"/>
  <c r="M127" i="4"/>
  <c r="M159" i="4"/>
  <c r="M191" i="4"/>
  <c r="M33" i="4"/>
  <c r="M101" i="4"/>
  <c r="M161" i="4"/>
  <c r="M205" i="4"/>
  <c r="M265" i="4"/>
  <c r="M333" i="4"/>
  <c r="M393" i="4"/>
  <c r="M433" i="4"/>
  <c r="M469" i="4"/>
  <c r="M533" i="4"/>
  <c r="M617" i="4"/>
  <c r="M713" i="4"/>
  <c r="M785" i="4"/>
  <c r="M913" i="4"/>
  <c r="M327" i="4"/>
  <c r="M347" i="4"/>
  <c r="M367" i="4"/>
  <c r="M391" i="4"/>
  <c r="M411" i="4"/>
  <c r="M431" i="4"/>
  <c r="M455" i="4"/>
  <c r="M475" i="4"/>
  <c r="M495" i="4"/>
  <c r="M519" i="4"/>
  <c r="M539" i="4"/>
  <c r="M559" i="4"/>
  <c r="M583" i="4"/>
  <c r="M603" i="4"/>
  <c r="M623" i="4"/>
  <c r="M647" i="4"/>
  <c r="M667" i="4"/>
  <c r="M687" i="4"/>
  <c r="M719" i="4"/>
  <c r="M751" i="4"/>
  <c r="M783" i="4"/>
  <c r="M815" i="4"/>
  <c r="M847" i="4"/>
  <c r="M879" i="4"/>
  <c r="M911" i="4"/>
  <c r="M943" i="4"/>
  <c r="M975" i="4"/>
  <c r="M8" i="4"/>
  <c r="M32" i="4"/>
  <c r="M52" i="4"/>
  <c r="M72" i="4"/>
  <c r="M96" i="4"/>
  <c r="M116" i="4"/>
  <c r="M136" i="4"/>
  <c r="M160" i="4"/>
  <c r="M180" i="4"/>
  <c r="M200" i="4"/>
  <c r="M224" i="4"/>
  <c r="M244" i="4"/>
  <c r="M264" i="4"/>
  <c r="M288" i="4"/>
  <c r="M308" i="4"/>
  <c r="M328" i="4"/>
  <c r="M352" i="4"/>
  <c r="M372" i="4"/>
  <c r="M392" i="4"/>
  <c r="M416" i="4"/>
  <c r="M436" i="4"/>
  <c r="M456" i="4"/>
  <c r="M480" i="4"/>
  <c r="M500" i="4"/>
  <c r="M520" i="4"/>
  <c r="M544" i="4"/>
  <c r="M564" i="4"/>
  <c r="M584" i="4"/>
  <c r="M608" i="4"/>
  <c r="M628" i="4"/>
  <c r="M648" i="4"/>
  <c r="M672" i="4"/>
  <c r="M696" i="4"/>
  <c r="M728" i="4"/>
  <c r="M760" i="4"/>
  <c r="M792" i="4"/>
  <c r="M824" i="4"/>
  <c r="M856" i="4"/>
  <c r="M888" i="4"/>
  <c r="M920" i="4"/>
  <c r="M952" i="4"/>
  <c r="M984" i="4"/>
  <c r="M260" i="4"/>
  <c r="M860" i="4"/>
  <c r="M503" i="4"/>
  <c r="M591" i="4"/>
  <c r="M703" i="4"/>
  <c r="M831" i="4"/>
  <c r="M991" i="4"/>
  <c r="M60" i="4"/>
  <c r="M124" i="4"/>
  <c r="M208" i="4"/>
  <c r="M336" i="4"/>
  <c r="M424" i="4"/>
  <c r="M528" i="4"/>
  <c r="M636" i="4"/>
  <c r="M808" i="4"/>
  <c r="M968" i="4"/>
  <c r="M956" i="4"/>
  <c r="Q597" i="3"/>
  <c r="R597" i="3" s="1"/>
  <c r="S597" i="3" s="1"/>
  <c r="Q945" i="3"/>
  <c r="R945" i="3" s="1"/>
  <c r="S945" i="3" s="1"/>
  <c r="Q403" i="3"/>
  <c r="R403" i="3" s="1"/>
  <c r="S403" i="3" s="1"/>
  <c r="Q523" i="3"/>
  <c r="R523" i="3" s="1"/>
  <c r="S523" i="3" s="1"/>
  <c r="Q557" i="3"/>
  <c r="R557" i="3" s="1"/>
  <c r="S557" i="3" s="1"/>
  <c r="Q489" i="3"/>
  <c r="R489" i="3" s="1"/>
  <c r="S489" i="3" s="1"/>
  <c r="Q809" i="3"/>
  <c r="R809" i="3" s="1"/>
  <c r="S809" i="3" s="1"/>
  <c r="Q588" i="3"/>
  <c r="R588" i="3" s="1"/>
  <c r="S588" i="3" s="1"/>
  <c r="Q411" i="3"/>
  <c r="R411" i="3" s="1"/>
  <c r="S411" i="3" s="1"/>
  <c r="Q739" i="3"/>
  <c r="R739" i="3" s="1"/>
  <c r="S739" i="3" s="1"/>
  <c r="Q283" i="3"/>
  <c r="R283" i="3" s="1"/>
  <c r="S283" i="3" s="1"/>
  <c r="Q85" i="3"/>
  <c r="R85" i="3" s="1"/>
  <c r="S85" i="3" s="1"/>
  <c r="Q880" i="3"/>
  <c r="R880" i="3" s="1"/>
  <c r="S880" i="3" s="1"/>
  <c r="Q960" i="3"/>
  <c r="R960" i="3" s="1"/>
  <c r="S960" i="3" s="1"/>
  <c r="Q979" i="3"/>
  <c r="R979" i="3" s="1"/>
  <c r="S979" i="3" s="1"/>
  <c r="Q371" i="3"/>
  <c r="R371" i="3" s="1"/>
  <c r="S371" i="3" s="1"/>
  <c r="Q475" i="3"/>
  <c r="R475" i="3" s="1"/>
  <c r="S475" i="3" s="1"/>
  <c r="Q429" i="3"/>
  <c r="R429" i="3" s="1"/>
  <c r="S429" i="3" s="1"/>
  <c r="Q643" i="3"/>
  <c r="R643" i="3" s="1"/>
  <c r="S643" i="3" s="1"/>
  <c r="Q883" i="3"/>
  <c r="R883" i="3" s="1"/>
  <c r="S883" i="3" s="1"/>
  <c r="Q804" i="3"/>
  <c r="R804" i="3" s="1"/>
  <c r="S804" i="3" s="1"/>
  <c r="Q576" i="3"/>
  <c r="R576" i="3" s="1"/>
  <c r="S576" i="3" s="1"/>
  <c r="Q625" i="3"/>
  <c r="R625" i="3" s="1"/>
  <c r="S625" i="3" s="1"/>
  <c r="Q953" i="3"/>
  <c r="R953" i="3" s="1"/>
  <c r="S953" i="3" s="1"/>
  <c r="Q810" i="3"/>
  <c r="R810" i="3" s="1"/>
  <c r="S810" i="3" s="1"/>
  <c r="Q930" i="3"/>
  <c r="R930" i="3" s="1"/>
  <c r="S930" i="3" s="1"/>
  <c r="Q787" i="3"/>
  <c r="R787" i="3" s="1"/>
  <c r="S787" i="3" s="1"/>
  <c r="Q876" i="3"/>
  <c r="R876" i="3" s="1"/>
  <c r="S876" i="3" s="1"/>
  <c r="Q829" i="3"/>
  <c r="R829" i="3" s="1"/>
  <c r="S829" i="3" s="1"/>
  <c r="Q556" i="3"/>
  <c r="R556" i="3" s="1"/>
  <c r="S556" i="3" s="1"/>
  <c r="Q91" i="3"/>
  <c r="R91" i="3" s="1"/>
  <c r="S91" i="3" s="1"/>
  <c r="Q379" i="3"/>
  <c r="R379" i="3" s="1"/>
  <c r="S379" i="3" s="1"/>
  <c r="Q587" i="3"/>
  <c r="R587" i="3" s="1"/>
  <c r="S587" i="3" s="1"/>
  <c r="Q469" i="3"/>
  <c r="R469" i="3" s="1"/>
  <c r="S469" i="3" s="1"/>
  <c r="Q457" i="3"/>
  <c r="R457" i="3" s="1"/>
  <c r="S457" i="3" s="1"/>
  <c r="Q714" i="3"/>
  <c r="R714" i="3" s="1"/>
  <c r="S714" i="3" s="1"/>
  <c r="Q907" i="3"/>
  <c r="R907" i="3" s="1"/>
  <c r="S907" i="3" s="1"/>
  <c r="Q219" i="3"/>
  <c r="R219" i="3" s="1"/>
  <c r="S219" i="3" s="1"/>
  <c r="Q539" i="3"/>
  <c r="R539" i="3" s="1"/>
  <c r="S539" i="3" s="1"/>
  <c r="Q301" i="3"/>
  <c r="R301" i="3" s="1"/>
  <c r="S301" i="3" s="1"/>
  <c r="Q800" i="3"/>
  <c r="R800" i="3" s="1"/>
  <c r="S800" i="3" s="1"/>
  <c r="Q969" i="3"/>
  <c r="R969" i="3" s="1"/>
  <c r="S969" i="3" s="1"/>
  <c r="Q778" i="3"/>
  <c r="R778" i="3" s="1"/>
  <c r="S778" i="3" s="1"/>
  <c r="Q971" i="3"/>
  <c r="R971" i="3" s="1"/>
  <c r="S971" i="3" s="1"/>
  <c r="Q741" i="3"/>
  <c r="R741" i="3" s="1"/>
  <c r="S741" i="3" s="1"/>
  <c r="Q808" i="3"/>
  <c r="R808" i="3" s="1"/>
  <c r="S808" i="3" s="1"/>
  <c r="Q872" i="3"/>
  <c r="R872" i="3" s="1"/>
  <c r="S872" i="3" s="1"/>
  <c r="Q651" i="3"/>
  <c r="R651" i="3" s="1"/>
  <c r="S651" i="3" s="1"/>
  <c r="Q347" i="3"/>
  <c r="R347" i="3" s="1"/>
  <c r="S347" i="3" s="1"/>
  <c r="Q531" i="3"/>
  <c r="R531" i="3" s="1"/>
  <c r="S531" i="3" s="1"/>
  <c r="Q512" i="3"/>
  <c r="R512" i="3" s="1"/>
  <c r="S512" i="3" s="1"/>
  <c r="Q744" i="3"/>
  <c r="R744" i="3" s="1"/>
  <c r="S744" i="3" s="1"/>
  <c r="Q761" i="3"/>
  <c r="R761" i="3" s="1"/>
  <c r="S761" i="3" s="1"/>
  <c r="Q977" i="3"/>
  <c r="R977" i="3" s="1"/>
  <c r="S977" i="3" s="1"/>
  <c r="Q938" i="3"/>
  <c r="R938" i="3" s="1"/>
  <c r="S938" i="3" s="1"/>
  <c r="Q747" i="3"/>
  <c r="R747" i="3" s="1"/>
  <c r="S747" i="3" s="1"/>
  <c r="Q772" i="3"/>
  <c r="R772" i="3" s="1"/>
  <c r="S772" i="3" s="1"/>
  <c r="Q715" i="3"/>
  <c r="R715" i="3" s="1"/>
  <c r="S715" i="3" s="1"/>
  <c r="Q899" i="3"/>
  <c r="R899" i="3" s="1"/>
  <c r="S899" i="3" s="1"/>
  <c r="Q524" i="3"/>
  <c r="R524" i="3" s="1"/>
  <c r="S524" i="3" s="1"/>
  <c r="Q459" i="3"/>
  <c r="R459" i="3" s="1"/>
  <c r="S459" i="3" s="1"/>
  <c r="Q595" i="3"/>
  <c r="R595" i="3" s="1"/>
  <c r="S595" i="3" s="1"/>
  <c r="Q45" i="3"/>
  <c r="R45" i="3" s="1"/>
  <c r="S45" i="3" s="1"/>
  <c r="Q213" i="3"/>
  <c r="R213" i="3" s="1"/>
  <c r="S213" i="3" s="1"/>
  <c r="Q906" i="3"/>
  <c r="R906" i="3" s="1"/>
  <c r="S906" i="3" s="1"/>
  <c r="Q1002" i="3"/>
  <c r="R1002" i="3" s="1"/>
  <c r="S1002" i="3" s="1"/>
  <c r="Q627" i="3"/>
  <c r="R627" i="3" s="1"/>
  <c r="S627" i="3" s="1"/>
  <c r="Q811" i="3"/>
  <c r="R811" i="3" s="1"/>
  <c r="S811" i="3" s="1"/>
  <c r="Q995" i="3"/>
  <c r="R995" i="3" s="1"/>
  <c r="S995" i="3" s="1"/>
  <c r="Q844" i="3"/>
  <c r="R844" i="3" s="1"/>
  <c r="S844" i="3" s="1"/>
  <c r="Q425" i="3"/>
  <c r="R425" i="3" s="1"/>
  <c r="S425" i="3" s="1"/>
  <c r="Q841" i="3"/>
  <c r="R841" i="3" s="1"/>
  <c r="S841" i="3" s="1"/>
  <c r="Q905" i="3"/>
  <c r="R905" i="3" s="1"/>
  <c r="S905" i="3" s="1"/>
  <c r="Q1001" i="3"/>
  <c r="R1001" i="3" s="1"/>
  <c r="S1001" i="3" s="1"/>
  <c r="Q746" i="3"/>
  <c r="R746" i="3" s="1"/>
  <c r="S746" i="3" s="1"/>
  <c r="Q954" i="3"/>
  <c r="R954" i="3" s="1"/>
  <c r="S954" i="3" s="1"/>
  <c r="Q675" i="3"/>
  <c r="R675" i="3" s="1"/>
  <c r="S675" i="3" s="1"/>
  <c r="Q723" i="3"/>
  <c r="R723" i="3" s="1"/>
  <c r="S723" i="3" s="1"/>
  <c r="Q155" i="3"/>
  <c r="R155" i="3" s="1"/>
  <c r="S155" i="3" s="1"/>
  <c r="Q467" i="3"/>
  <c r="R467" i="3" s="1"/>
  <c r="S467" i="3" s="1"/>
  <c r="Q603" i="3"/>
  <c r="R603" i="3" s="1"/>
  <c r="S603" i="3" s="1"/>
  <c r="Q173" i="3"/>
  <c r="R173" i="3" s="1"/>
  <c r="S173" i="3" s="1"/>
  <c r="Q341" i="3"/>
  <c r="R341" i="3" s="1"/>
  <c r="S341" i="3" s="1"/>
  <c r="Q701" i="3"/>
  <c r="R701" i="3" s="1"/>
  <c r="S701" i="3" s="1"/>
  <c r="Q869" i="3"/>
  <c r="R869" i="3" s="1"/>
  <c r="S869" i="3" s="1"/>
  <c r="Q927" i="3"/>
  <c r="R927" i="3" s="1"/>
  <c r="S927" i="3" s="1"/>
  <c r="Q544" i="3"/>
  <c r="R544" i="3" s="1"/>
  <c r="S544" i="3" s="1"/>
  <c r="Q728" i="3"/>
  <c r="R728" i="3" s="1"/>
  <c r="S728" i="3" s="1"/>
  <c r="Q888" i="3"/>
  <c r="R888" i="3" s="1"/>
  <c r="S888" i="3" s="1"/>
  <c r="Q952" i="3"/>
  <c r="R952" i="3" s="1"/>
  <c r="S952" i="3" s="1"/>
  <c r="Q793" i="3"/>
  <c r="R793" i="3" s="1"/>
  <c r="S793" i="3" s="1"/>
  <c r="Q819" i="3"/>
  <c r="R819" i="3" s="1"/>
  <c r="S819" i="3" s="1"/>
  <c r="Q1003" i="3"/>
  <c r="R1003" i="3" s="1"/>
  <c r="S1003" i="3" s="1"/>
  <c r="Q484" i="3"/>
  <c r="R484" i="3" s="1"/>
  <c r="S484" i="3" s="1"/>
  <c r="Q59" i="3"/>
  <c r="R59" i="3" s="1"/>
  <c r="S59" i="3" s="1"/>
  <c r="Q315" i="3"/>
  <c r="R315" i="3" s="1"/>
  <c r="S315" i="3" s="1"/>
  <c r="Q443" i="3"/>
  <c r="R443" i="3" s="1"/>
  <c r="S443" i="3" s="1"/>
  <c r="Q555" i="3"/>
  <c r="R555" i="3" s="1"/>
  <c r="S555" i="3" s="1"/>
  <c r="Q20" i="3"/>
  <c r="R20" i="3" s="1"/>
  <c r="S20" i="3" s="1"/>
  <c r="Q60" i="3"/>
  <c r="R60" i="3" s="1"/>
  <c r="S60" i="3" s="1"/>
  <c r="Q116" i="3"/>
  <c r="R116" i="3" s="1"/>
  <c r="S116" i="3" s="1"/>
  <c r="Q172" i="3"/>
  <c r="R172" i="3" s="1"/>
  <c r="S172" i="3" s="1"/>
  <c r="Q276" i="3"/>
  <c r="R276" i="3" s="1"/>
  <c r="S276" i="3" s="1"/>
  <c r="Q356" i="3"/>
  <c r="R356" i="3" s="1"/>
  <c r="S356" i="3" s="1"/>
  <c r="Q428" i="3"/>
  <c r="R428" i="3" s="1"/>
  <c r="S428" i="3" s="1"/>
  <c r="Q495" i="3"/>
  <c r="R495" i="3" s="1"/>
  <c r="S495" i="3" s="1"/>
  <c r="Q535" i="3"/>
  <c r="R535" i="3" s="1"/>
  <c r="S535" i="3" s="1"/>
  <c r="Q575" i="3"/>
  <c r="R575" i="3" s="1"/>
  <c r="S575" i="3" s="1"/>
  <c r="Q607" i="3"/>
  <c r="R607" i="3" s="1"/>
  <c r="S607" i="3" s="1"/>
  <c r="Q639" i="3"/>
  <c r="R639" i="3" s="1"/>
  <c r="S639" i="3" s="1"/>
  <c r="Q671" i="3"/>
  <c r="R671" i="3" s="1"/>
  <c r="S671" i="3" s="1"/>
  <c r="Q711" i="3"/>
  <c r="R711" i="3" s="1"/>
  <c r="S711" i="3" s="1"/>
  <c r="Q743" i="3"/>
  <c r="R743" i="3" s="1"/>
  <c r="S743" i="3" s="1"/>
  <c r="Q783" i="3"/>
  <c r="R783" i="3" s="1"/>
  <c r="S783" i="3" s="1"/>
  <c r="Q823" i="3"/>
  <c r="R823" i="3" s="1"/>
  <c r="S823" i="3" s="1"/>
  <c r="Q855" i="3"/>
  <c r="R855" i="3" s="1"/>
  <c r="S855" i="3" s="1"/>
  <c r="Q895" i="3"/>
  <c r="R895" i="3" s="1"/>
  <c r="S895" i="3" s="1"/>
  <c r="Q768" i="3"/>
  <c r="R768" i="3" s="1"/>
  <c r="S768" i="3" s="1"/>
  <c r="Q856" i="3"/>
  <c r="R856" i="3" s="1"/>
  <c r="S856" i="3" s="1"/>
  <c r="Q976" i="3"/>
  <c r="R976" i="3" s="1"/>
  <c r="S976" i="3" s="1"/>
  <c r="Q657" i="3"/>
  <c r="R657" i="3" s="1"/>
  <c r="S657" i="3" s="1"/>
  <c r="Q697" i="3"/>
  <c r="R697" i="3" s="1"/>
  <c r="S697" i="3" s="1"/>
  <c r="Q640" i="3"/>
  <c r="R640" i="3" s="1"/>
  <c r="S640" i="3" s="1"/>
  <c r="Q688" i="3"/>
  <c r="R688" i="3" s="1"/>
  <c r="S688" i="3" s="1"/>
  <c r="Q736" i="3"/>
  <c r="R736" i="3" s="1"/>
  <c r="S736" i="3" s="1"/>
  <c r="Q816" i="3"/>
  <c r="R816" i="3" s="1"/>
  <c r="S816" i="3" s="1"/>
  <c r="Q944" i="3"/>
  <c r="R944" i="3" s="1"/>
  <c r="S944" i="3" s="1"/>
  <c r="Q553" i="3"/>
  <c r="R553" i="3" s="1"/>
  <c r="S553" i="3" s="1"/>
  <c r="Q985" i="3"/>
  <c r="R985" i="3" s="1"/>
  <c r="S985" i="3" s="1"/>
  <c r="Q874" i="3"/>
  <c r="R874" i="3" s="1"/>
  <c r="S874" i="3" s="1"/>
  <c r="Q986" i="3"/>
  <c r="R986" i="3" s="1"/>
  <c r="S986" i="3" s="1"/>
  <c r="Q683" i="3"/>
  <c r="R683" i="3" s="1"/>
  <c r="S683" i="3" s="1"/>
  <c r="Q755" i="3"/>
  <c r="R755" i="3" s="1"/>
  <c r="S755" i="3" s="1"/>
  <c r="Q867" i="3"/>
  <c r="R867" i="3" s="1"/>
  <c r="S867" i="3" s="1"/>
  <c r="Q939" i="3"/>
  <c r="R939" i="3" s="1"/>
  <c r="S939" i="3" s="1"/>
  <c r="Q660" i="3"/>
  <c r="R660" i="3" s="1"/>
  <c r="S660" i="3" s="1"/>
  <c r="Q948" i="3"/>
  <c r="R948" i="3" s="1"/>
  <c r="S948" i="3" s="1"/>
  <c r="Q123" i="3"/>
  <c r="R123" i="3" s="1"/>
  <c r="S123" i="3" s="1"/>
  <c r="Q491" i="3"/>
  <c r="R491" i="3" s="1"/>
  <c r="S491" i="3" s="1"/>
  <c r="Q563" i="3"/>
  <c r="R563" i="3" s="1"/>
  <c r="S563" i="3" s="1"/>
  <c r="Q36" i="3"/>
  <c r="R36" i="3" s="1"/>
  <c r="S36" i="3" s="1"/>
  <c r="Q84" i="3"/>
  <c r="R84" i="3" s="1"/>
  <c r="S84" i="3" s="1"/>
  <c r="Q124" i="3"/>
  <c r="R124" i="3" s="1"/>
  <c r="S124" i="3" s="1"/>
  <c r="Q212" i="3"/>
  <c r="R212" i="3" s="1"/>
  <c r="S212" i="3" s="1"/>
  <c r="Q292" i="3"/>
  <c r="R292" i="3" s="1"/>
  <c r="S292" i="3" s="1"/>
  <c r="Q364" i="3"/>
  <c r="R364" i="3" s="1"/>
  <c r="S364" i="3" s="1"/>
  <c r="Q463" i="3"/>
  <c r="R463" i="3" s="1"/>
  <c r="S463" i="3" s="1"/>
  <c r="Q503" i="3"/>
  <c r="R503" i="3" s="1"/>
  <c r="S503" i="3" s="1"/>
  <c r="Q543" i="3"/>
  <c r="R543" i="3" s="1"/>
  <c r="S543" i="3" s="1"/>
  <c r="Q583" i="3"/>
  <c r="R583" i="3" s="1"/>
  <c r="S583" i="3" s="1"/>
  <c r="Q615" i="3"/>
  <c r="R615" i="3" s="1"/>
  <c r="S615" i="3" s="1"/>
  <c r="Q647" i="3"/>
  <c r="R647" i="3" s="1"/>
  <c r="S647" i="3" s="1"/>
  <c r="Q679" i="3"/>
  <c r="R679" i="3" s="1"/>
  <c r="S679" i="3" s="1"/>
  <c r="Q719" i="3"/>
  <c r="R719" i="3" s="1"/>
  <c r="S719" i="3" s="1"/>
  <c r="Q759" i="3"/>
  <c r="R759" i="3" s="1"/>
  <c r="S759" i="3" s="1"/>
  <c r="Q791" i="3"/>
  <c r="R791" i="3" s="1"/>
  <c r="S791" i="3" s="1"/>
  <c r="Q831" i="3"/>
  <c r="R831" i="3" s="1"/>
  <c r="S831" i="3" s="1"/>
  <c r="Q863" i="3"/>
  <c r="R863" i="3" s="1"/>
  <c r="S863" i="3" s="1"/>
  <c r="Q903" i="3"/>
  <c r="R903" i="3" s="1"/>
  <c r="S903" i="3" s="1"/>
  <c r="Q935" i="3"/>
  <c r="R935" i="3" s="1"/>
  <c r="S935" i="3" s="1"/>
  <c r="Q784" i="3"/>
  <c r="R784" i="3" s="1"/>
  <c r="S784" i="3" s="1"/>
  <c r="Q912" i="3"/>
  <c r="R912" i="3" s="1"/>
  <c r="S912" i="3" s="1"/>
  <c r="Q984" i="3"/>
  <c r="R984" i="3" s="1"/>
  <c r="S984" i="3" s="1"/>
  <c r="Q665" i="3"/>
  <c r="R665" i="3" s="1"/>
  <c r="S665" i="3" s="1"/>
  <c r="Q993" i="3"/>
  <c r="R993" i="3" s="1"/>
  <c r="S993" i="3" s="1"/>
  <c r="Q922" i="3"/>
  <c r="R922" i="3" s="1"/>
  <c r="S922" i="3" s="1"/>
  <c r="Q994" i="3"/>
  <c r="R994" i="3" s="1"/>
  <c r="S994" i="3" s="1"/>
  <c r="Q691" i="3"/>
  <c r="R691" i="3" s="1"/>
  <c r="S691" i="3" s="1"/>
  <c r="Q803" i="3"/>
  <c r="R803" i="3" s="1"/>
  <c r="S803" i="3" s="1"/>
  <c r="Q875" i="3"/>
  <c r="R875" i="3" s="1"/>
  <c r="S875" i="3" s="1"/>
  <c r="Q947" i="3"/>
  <c r="R947" i="3" s="1"/>
  <c r="S947" i="3" s="1"/>
  <c r="Q452" i="3"/>
  <c r="R452" i="3" s="1"/>
  <c r="S452" i="3" s="1"/>
  <c r="Q732" i="3"/>
  <c r="R732" i="3" s="1"/>
  <c r="S732" i="3" s="1"/>
  <c r="Q187" i="3"/>
  <c r="R187" i="3" s="1"/>
  <c r="S187" i="3" s="1"/>
  <c r="Q427" i="3"/>
  <c r="R427" i="3" s="1"/>
  <c r="S427" i="3" s="1"/>
  <c r="Q499" i="3"/>
  <c r="R499" i="3" s="1"/>
  <c r="S499" i="3" s="1"/>
  <c r="Q571" i="3"/>
  <c r="R571" i="3" s="1"/>
  <c r="S571" i="3" s="1"/>
  <c r="Q44" i="3"/>
  <c r="R44" i="3" s="1"/>
  <c r="S44" i="3" s="1"/>
  <c r="Q100" i="3"/>
  <c r="R100" i="3" s="1"/>
  <c r="S100" i="3" s="1"/>
  <c r="Q148" i="3"/>
  <c r="R148" i="3" s="1"/>
  <c r="S148" i="3" s="1"/>
  <c r="Q228" i="3"/>
  <c r="R228" i="3" s="1"/>
  <c r="S228" i="3" s="1"/>
  <c r="Q300" i="3"/>
  <c r="R300" i="3" s="1"/>
  <c r="S300" i="3" s="1"/>
  <c r="Q404" i="3"/>
  <c r="R404" i="3" s="1"/>
  <c r="S404" i="3" s="1"/>
  <c r="Q471" i="3"/>
  <c r="R471" i="3" s="1"/>
  <c r="S471" i="3" s="1"/>
  <c r="Q511" i="3"/>
  <c r="R511" i="3" s="1"/>
  <c r="S511" i="3" s="1"/>
  <c r="Q551" i="3"/>
  <c r="R551" i="3" s="1"/>
  <c r="S551" i="3" s="1"/>
  <c r="Q591" i="3"/>
  <c r="R591" i="3" s="1"/>
  <c r="S591" i="3" s="1"/>
  <c r="Q623" i="3"/>
  <c r="R623" i="3" s="1"/>
  <c r="S623" i="3" s="1"/>
  <c r="Q655" i="3"/>
  <c r="R655" i="3" s="1"/>
  <c r="S655" i="3" s="1"/>
  <c r="Q695" i="3"/>
  <c r="R695" i="3" s="1"/>
  <c r="S695" i="3" s="1"/>
  <c r="Q727" i="3"/>
  <c r="R727" i="3" s="1"/>
  <c r="S727" i="3" s="1"/>
  <c r="Q767" i="3"/>
  <c r="R767" i="3" s="1"/>
  <c r="S767" i="3" s="1"/>
  <c r="Q799" i="3"/>
  <c r="R799" i="3" s="1"/>
  <c r="S799" i="3" s="1"/>
  <c r="Q839" i="3"/>
  <c r="R839" i="3" s="1"/>
  <c r="S839" i="3" s="1"/>
  <c r="Q871" i="3"/>
  <c r="R871" i="3" s="1"/>
  <c r="S871" i="3" s="1"/>
  <c r="Q911" i="3"/>
  <c r="R911" i="3" s="1"/>
  <c r="S911" i="3" s="1"/>
  <c r="Q943" i="3"/>
  <c r="R943" i="3" s="1"/>
  <c r="S943" i="3" s="1"/>
  <c r="Q608" i="3"/>
  <c r="R608" i="3" s="1"/>
  <c r="S608" i="3" s="1"/>
  <c r="Q704" i="3"/>
  <c r="R704" i="3" s="1"/>
  <c r="S704" i="3" s="1"/>
  <c r="Q832" i="3"/>
  <c r="R832" i="3" s="1"/>
  <c r="S832" i="3" s="1"/>
  <c r="Q920" i="3"/>
  <c r="R920" i="3" s="1"/>
  <c r="S920" i="3" s="1"/>
  <c r="Q992" i="3"/>
  <c r="R992" i="3" s="1"/>
  <c r="S992" i="3" s="1"/>
  <c r="Q521" i="3"/>
  <c r="R521" i="3" s="1"/>
  <c r="S521" i="3" s="1"/>
  <c r="Q721" i="3"/>
  <c r="R721" i="3" s="1"/>
  <c r="S721" i="3" s="1"/>
  <c r="Q769" i="3"/>
  <c r="R769" i="3" s="1"/>
  <c r="S769" i="3" s="1"/>
  <c r="Q873" i="3"/>
  <c r="R873" i="3" s="1"/>
  <c r="S873" i="3" s="1"/>
  <c r="Q913" i="3"/>
  <c r="R913" i="3" s="1"/>
  <c r="S913" i="3" s="1"/>
  <c r="Q842" i="3"/>
  <c r="R842" i="3" s="1"/>
  <c r="S842" i="3" s="1"/>
  <c r="Q890" i="3"/>
  <c r="R890" i="3" s="1"/>
  <c r="S890" i="3" s="1"/>
  <c r="Q962" i="3"/>
  <c r="R962" i="3" s="1"/>
  <c r="S962" i="3" s="1"/>
  <c r="Q659" i="3"/>
  <c r="R659" i="3" s="1"/>
  <c r="S659" i="3" s="1"/>
  <c r="Q771" i="3"/>
  <c r="R771" i="3" s="1"/>
  <c r="S771" i="3" s="1"/>
  <c r="Q843" i="3"/>
  <c r="R843" i="3" s="1"/>
  <c r="S843" i="3" s="1"/>
  <c r="Q915" i="3"/>
  <c r="R915" i="3" s="1"/>
  <c r="S915" i="3" s="1"/>
  <c r="Q620" i="3"/>
  <c r="R620" i="3" s="1"/>
  <c r="S620" i="3" s="1"/>
  <c r="Q916" i="3"/>
  <c r="R916" i="3" s="1"/>
  <c r="S916" i="3" s="1"/>
  <c r="Q251" i="3"/>
  <c r="R251" i="3" s="1"/>
  <c r="S251" i="3" s="1"/>
  <c r="Q435" i="3"/>
  <c r="R435" i="3" s="1"/>
  <c r="S435" i="3" s="1"/>
  <c r="Q507" i="3"/>
  <c r="R507" i="3" s="1"/>
  <c r="S507" i="3" s="1"/>
  <c r="Q12" i="3"/>
  <c r="R12" i="3" s="1"/>
  <c r="S12" i="3" s="1"/>
  <c r="Q52" i="3"/>
  <c r="R52" i="3" s="1"/>
  <c r="S52" i="3" s="1"/>
  <c r="Q108" i="3"/>
  <c r="R108" i="3" s="1"/>
  <c r="S108" i="3" s="1"/>
  <c r="Q164" i="3"/>
  <c r="R164" i="3" s="1"/>
  <c r="S164" i="3" s="1"/>
  <c r="Q236" i="3"/>
  <c r="R236" i="3" s="1"/>
  <c r="S236" i="3" s="1"/>
  <c r="Q340" i="3"/>
  <c r="R340" i="3" s="1"/>
  <c r="S340" i="3" s="1"/>
  <c r="Q420" i="3"/>
  <c r="R420" i="3" s="1"/>
  <c r="S420" i="3" s="1"/>
  <c r="Q479" i="3"/>
  <c r="R479" i="3" s="1"/>
  <c r="S479" i="3" s="1"/>
  <c r="Q519" i="3"/>
  <c r="R519" i="3" s="1"/>
  <c r="S519" i="3" s="1"/>
  <c r="Q559" i="3"/>
  <c r="R559" i="3" s="1"/>
  <c r="S559" i="3" s="1"/>
  <c r="Q599" i="3"/>
  <c r="R599" i="3" s="1"/>
  <c r="S599" i="3" s="1"/>
  <c r="Q631" i="3"/>
  <c r="R631" i="3" s="1"/>
  <c r="S631" i="3" s="1"/>
  <c r="Q663" i="3"/>
  <c r="R663" i="3" s="1"/>
  <c r="S663" i="3" s="1"/>
  <c r="Q703" i="3"/>
  <c r="R703" i="3" s="1"/>
  <c r="S703" i="3" s="1"/>
  <c r="Q735" i="3"/>
  <c r="R735" i="3" s="1"/>
  <c r="S735" i="3" s="1"/>
  <c r="Q775" i="3"/>
  <c r="R775" i="3" s="1"/>
  <c r="S775" i="3" s="1"/>
  <c r="Q807" i="3"/>
  <c r="R807" i="3" s="1"/>
  <c r="S807" i="3" s="1"/>
  <c r="Q847" i="3"/>
  <c r="R847" i="3" s="1"/>
  <c r="S847" i="3" s="1"/>
  <c r="Q887" i="3"/>
  <c r="R887" i="3" s="1"/>
  <c r="S887" i="3" s="1"/>
  <c r="Q919" i="3"/>
  <c r="R919" i="3" s="1"/>
  <c r="S919" i="3" s="1"/>
  <c r="Q672" i="3"/>
  <c r="R672" i="3" s="1"/>
  <c r="S672" i="3" s="1"/>
  <c r="Q760" i="3"/>
  <c r="R760" i="3" s="1"/>
  <c r="S760" i="3" s="1"/>
  <c r="Q848" i="3"/>
  <c r="R848" i="3" s="1"/>
  <c r="S848" i="3" s="1"/>
  <c r="Q928" i="3"/>
  <c r="R928" i="3" s="1"/>
  <c r="S928" i="3" s="1"/>
  <c r="Q585" i="3"/>
  <c r="R585" i="3" s="1"/>
  <c r="S585" i="3" s="1"/>
  <c r="Q689" i="3"/>
  <c r="R689" i="3" s="1"/>
  <c r="S689" i="3" s="1"/>
  <c r="Q729" i="3"/>
  <c r="R729" i="3" s="1"/>
  <c r="S729" i="3" s="1"/>
  <c r="Q833" i="3"/>
  <c r="R833" i="3" s="1"/>
  <c r="S833" i="3" s="1"/>
  <c r="Q881" i="3"/>
  <c r="R881" i="3" s="1"/>
  <c r="S881" i="3" s="1"/>
  <c r="Q898" i="3"/>
  <c r="R898" i="3" s="1"/>
  <c r="S898" i="3" s="1"/>
  <c r="Q970" i="3"/>
  <c r="R970" i="3" s="1"/>
  <c r="S970" i="3" s="1"/>
  <c r="Q707" i="3"/>
  <c r="R707" i="3" s="1"/>
  <c r="S707" i="3" s="1"/>
  <c r="Q779" i="3"/>
  <c r="R779" i="3" s="1"/>
  <c r="S779" i="3" s="1"/>
  <c r="Q851" i="3"/>
  <c r="R851" i="3" s="1"/>
  <c r="S851" i="3" s="1"/>
  <c r="Q963" i="3"/>
  <c r="R963" i="3" s="1"/>
  <c r="S963" i="3" s="1"/>
  <c r="Q692" i="3"/>
  <c r="R692" i="3" s="1"/>
  <c r="S692" i="3" s="1"/>
  <c r="Q980" i="3"/>
  <c r="R980" i="3" s="1"/>
  <c r="S980" i="3" s="1"/>
  <c r="I125" i="3"/>
  <c r="J125" i="3" s="1"/>
  <c r="K125" i="3" s="1"/>
  <c r="L125" i="3" s="1"/>
  <c r="M125" i="3" s="1"/>
  <c r="N125" i="3" s="1"/>
  <c r="O125" i="3" s="1"/>
  <c r="P125" i="3" s="1"/>
  <c r="I253" i="3"/>
  <c r="J253" i="3" s="1"/>
  <c r="K253" i="3" s="1"/>
  <c r="L253" i="3" s="1"/>
  <c r="M253" i="3" s="1"/>
  <c r="N253" i="3" s="1"/>
  <c r="O253" i="3" s="1"/>
  <c r="P253" i="3" s="1"/>
  <c r="I381" i="3"/>
  <c r="J381" i="3" s="1"/>
  <c r="K381" i="3" s="1"/>
  <c r="L381" i="3" s="1"/>
  <c r="M381" i="3" s="1"/>
  <c r="N381" i="3" s="1"/>
  <c r="O381" i="3" s="1"/>
  <c r="P381" i="3" s="1"/>
  <c r="I509" i="3"/>
  <c r="J509" i="3" s="1"/>
  <c r="K509" i="3" s="1"/>
  <c r="L509" i="3" s="1"/>
  <c r="M509" i="3" s="1"/>
  <c r="N509" i="3" s="1"/>
  <c r="O509" i="3" s="1"/>
  <c r="P509" i="3" s="1"/>
  <c r="I637" i="3"/>
  <c r="J637" i="3" s="1"/>
  <c r="K637" i="3" s="1"/>
  <c r="L637" i="3" s="1"/>
  <c r="M637" i="3" s="1"/>
  <c r="N637" i="3" s="1"/>
  <c r="O637" i="3" s="1"/>
  <c r="P637" i="3" s="1"/>
  <c r="I781" i="3"/>
  <c r="J781" i="3" s="1"/>
  <c r="K781" i="3" s="1"/>
  <c r="L781" i="3" s="1"/>
  <c r="M781" i="3" s="1"/>
  <c r="N781" i="3" s="1"/>
  <c r="O781" i="3" s="1"/>
  <c r="P781" i="3" s="1"/>
  <c r="I917" i="3"/>
  <c r="J917" i="3" s="1"/>
  <c r="K917" i="3" s="1"/>
  <c r="L917" i="3" s="1"/>
  <c r="M917" i="3" s="1"/>
  <c r="N917" i="3" s="1"/>
  <c r="O917" i="3" s="1"/>
  <c r="P917" i="3" s="1"/>
  <c r="I110" i="3"/>
  <c r="J110" i="3" s="1"/>
  <c r="K110" i="3" s="1"/>
  <c r="L110" i="3" s="1"/>
  <c r="M110" i="3" s="1"/>
  <c r="N110" i="3" s="1"/>
  <c r="O110" i="3" s="1"/>
  <c r="P110" i="3" s="1"/>
  <c r="I262" i="3"/>
  <c r="J262" i="3" s="1"/>
  <c r="K262" i="3" s="1"/>
  <c r="L262" i="3" s="1"/>
  <c r="M262" i="3" s="1"/>
  <c r="N262" i="3" s="1"/>
  <c r="O262" i="3" s="1"/>
  <c r="P262" i="3" s="1"/>
  <c r="I71" i="3"/>
  <c r="J71" i="3" s="1"/>
  <c r="K71" i="3" s="1"/>
  <c r="L71" i="3" s="1"/>
  <c r="M71" i="3" s="1"/>
  <c r="N71" i="3" s="1"/>
  <c r="O71" i="3" s="1"/>
  <c r="P71" i="3" s="1"/>
  <c r="I199" i="3"/>
  <c r="J199" i="3" s="1"/>
  <c r="K199" i="3" s="1"/>
  <c r="L199" i="3" s="1"/>
  <c r="M199" i="3" s="1"/>
  <c r="N199" i="3" s="1"/>
  <c r="O199" i="3" s="1"/>
  <c r="P199" i="3" s="1"/>
  <c r="I351" i="3"/>
  <c r="J351" i="3" s="1"/>
  <c r="K351" i="3" s="1"/>
  <c r="L351" i="3" s="1"/>
  <c r="M351" i="3" s="1"/>
  <c r="N351" i="3" s="1"/>
  <c r="O351" i="3" s="1"/>
  <c r="P351" i="3" s="1"/>
  <c r="I414" i="3"/>
  <c r="J414" i="3" s="1"/>
  <c r="K414" i="3" s="1"/>
  <c r="L414" i="3" s="1"/>
  <c r="M414" i="3" s="1"/>
  <c r="N414" i="3" s="1"/>
  <c r="O414" i="3" s="1"/>
  <c r="P414" i="3" s="1"/>
  <c r="I478" i="3"/>
  <c r="J478" i="3" s="1"/>
  <c r="K478" i="3" s="1"/>
  <c r="L478" i="3" s="1"/>
  <c r="M478" i="3" s="1"/>
  <c r="N478" i="3" s="1"/>
  <c r="O478" i="3" s="1"/>
  <c r="P478" i="3" s="1"/>
  <c r="I542" i="3"/>
  <c r="J542" i="3" s="1"/>
  <c r="K542" i="3" s="1"/>
  <c r="L542" i="3" s="1"/>
  <c r="M542" i="3" s="1"/>
  <c r="N542" i="3" s="1"/>
  <c r="O542" i="3" s="1"/>
  <c r="P542" i="3" s="1"/>
  <c r="I622" i="3"/>
  <c r="J622" i="3" s="1"/>
  <c r="K622" i="3" s="1"/>
  <c r="L622" i="3" s="1"/>
  <c r="M622" i="3" s="1"/>
  <c r="N622" i="3" s="1"/>
  <c r="O622" i="3" s="1"/>
  <c r="P622" i="3" s="1"/>
  <c r="I694" i="3"/>
  <c r="J694" i="3" s="1"/>
  <c r="K694" i="3" s="1"/>
  <c r="L694" i="3" s="1"/>
  <c r="M694" i="3" s="1"/>
  <c r="N694" i="3" s="1"/>
  <c r="O694" i="3" s="1"/>
  <c r="P694" i="3" s="1"/>
  <c r="I766" i="3"/>
  <c r="J766" i="3" s="1"/>
  <c r="K766" i="3" s="1"/>
  <c r="L766" i="3" s="1"/>
  <c r="M766" i="3" s="1"/>
  <c r="N766" i="3" s="1"/>
  <c r="O766" i="3" s="1"/>
  <c r="P766" i="3" s="1"/>
  <c r="I838" i="3"/>
  <c r="J838" i="3" s="1"/>
  <c r="K838" i="3" s="1"/>
  <c r="L838" i="3" s="1"/>
  <c r="M838" i="3" s="1"/>
  <c r="N838" i="3" s="1"/>
  <c r="O838" i="3" s="1"/>
  <c r="P838" i="3" s="1"/>
  <c r="I648" i="3"/>
  <c r="J648" i="3" s="1"/>
  <c r="K648" i="3" s="1"/>
  <c r="L648" i="3" s="1"/>
  <c r="M648" i="3" s="1"/>
  <c r="N648" i="3" s="1"/>
  <c r="O648" i="3" s="1"/>
  <c r="P648" i="3" s="1"/>
  <c r="I824" i="3"/>
  <c r="J824" i="3" s="1"/>
  <c r="K824" i="3" s="1"/>
  <c r="L824" i="3" s="1"/>
  <c r="M824" i="3" s="1"/>
  <c r="N824" i="3" s="1"/>
  <c r="O824" i="3" s="1"/>
  <c r="P824" i="3" s="1"/>
  <c r="I882" i="3"/>
  <c r="J882" i="3" s="1"/>
  <c r="K882" i="3" s="1"/>
  <c r="L882" i="3" s="1"/>
  <c r="M882" i="3" s="1"/>
  <c r="N882" i="3" s="1"/>
  <c r="O882" i="3" s="1"/>
  <c r="P882" i="3" s="1"/>
  <c r="I763" i="3"/>
  <c r="J763" i="3" s="1"/>
  <c r="K763" i="3" s="1"/>
  <c r="L763" i="3" s="1"/>
  <c r="M763" i="3" s="1"/>
  <c r="N763" i="3" s="1"/>
  <c r="O763" i="3" s="1"/>
  <c r="P763" i="3" s="1"/>
  <c r="Q9" i="3"/>
  <c r="R9" i="3" s="1"/>
  <c r="S9" i="3" s="1"/>
  <c r="Q57" i="3"/>
  <c r="R57" i="3" s="1"/>
  <c r="S57" i="3" s="1"/>
  <c r="Q97" i="3"/>
  <c r="R97" i="3" s="1"/>
  <c r="S97" i="3" s="1"/>
  <c r="Q185" i="3"/>
  <c r="R185" i="3" s="1"/>
  <c r="S185" i="3" s="1"/>
  <c r="Q265" i="3"/>
  <c r="R265" i="3" s="1"/>
  <c r="S265" i="3" s="1"/>
  <c r="Q337" i="3"/>
  <c r="R337" i="3" s="1"/>
  <c r="S337" i="3" s="1"/>
  <c r="Q10" i="3"/>
  <c r="R10" i="3" s="1"/>
  <c r="S10" i="3" s="1"/>
  <c r="Q42" i="3"/>
  <c r="R42" i="3" s="1"/>
  <c r="S42" i="3" s="1"/>
  <c r="Q74" i="3"/>
  <c r="R74" i="3" s="1"/>
  <c r="S74" i="3" s="1"/>
  <c r="Q106" i="3"/>
  <c r="R106" i="3" s="1"/>
  <c r="S106" i="3" s="1"/>
  <c r="Q138" i="3"/>
  <c r="R138" i="3" s="1"/>
  <c r="S138" i="3" s="1"/>
  <c r="Q170" i="3"/>
  <c r="R170" i="3" s="1"/>
  <c r="S170" i="3" s="1"/>
  <c r="Q202" i="3"/>
  <c r="R202" i="3" s="1"/>
  <c r="S202" i="3" s="1"/>
  <c r="Q234" i="3"/>
  <c r="R234" i="3" s="1"/>
  <c r="S234" i="3" s="1"/>
  <c r="Q266" i="3"/>
  <c r="R266" i="3" s="1"/>
  <c r="S266" i="3" s="1"/>
  <c r="Q298" i="3"/>
  <c r="R298" i="3" s="1"/>
  <c r="S298" i="3" s="1"/>
  <c r="Q330" i="3"/>
  <c r="R330" i="3" s="1"/>
  <c r="S330" i="3" s="1"/>
  <c r="Q362" i="3"/>
  <c r="R362" i="3" s="1"/>
  <c r="S362" i="3" s="1"/>
  <c r="Q394" i="3"/>
  <c r="R394" i="3" s="1"/>
  <c r="S394" i="3" s="1"/>
  <c r="Q426" i="3"/>
  <c r="R426" i="3" s="1"/>
  <c r="S426" i="3" s="1"/>
  <c r="Q458" i="3"/>
  <c r="R458" i="3" s="1"/>
  <c r="S458" i="3" s="1"/>
  <c r="Q490" i="3"/>
  <c r="R490" i="3" s="1"/>
  <c r="S490" i="3" s="1"/>
  <c r="Q522" i="3"/>
  <c r="R522" i="3" s="1"/>
  <c r="S522" i="3" s="1"/>
  <c r="Q554" i="3"/>
  <c r="R554" i="3" s="1"/>
  <c r="S554" i="3" s="1"/>
  <c r="Q586" i="3"/>
  <c r="R586" i="3" s="1"/>
  <c r="S586" i="3" s="1"/>
  <c r="Q11" i="3"/>
  <c r="R11" i="3" s="1"/>
  <c r="S11" i="3" s="1"/>
  <c r="Q43" i="3"/>
  <c r="R43" i="3" s="1"/>
  <c r="S43" i="3" s="1"/>
  <c r="Q75" i="3"/>
  <c r="R75" i="3" s="1"/>
  <c r="S75" i="3" s="1"/>
  <c r="Q107" i="3"/>
  <c r="R107" i="3" s="1"/>
  <c r="S107" i="3" s="1"/>
  <c r="Q139" i="3"/>
  <c r="R139" i="3" s="1"/>
  <c r="S139" i="3" s="1"/>
  <c r="Q171" i="3"/>
  <c r="R171" i="3" s="1"/>
  <c r="S171" i="3" s="1"/>
  <c r="Q203" i="3"/>
  <c r="R203" i="3" s="1"/>
  <c r="S203" i="3" s="1"/>
  <c r="Q235" i="3"/>
  <c r="R235" i="3" s="1"/>
  <c r="S235" i="3" s="1"/>
  <c r="Q267" i="3"/>
  <c r="R267" i="3" s="1"/>
  <c r="S267" i="3" s="1"/>
  <c r="Q299" i="3"/>
  <c r="R299" i="3" s="1"/>
  <c r="S299" i="3" s="1"/>
  <c r="Q331" i="3"/>
  <c r="R331" i="3" s="1"/>
  <c r="S331" i="3" s="1"/>
  <c r="Q363" i="3"/>
  <c r="R363" i="3" s="1"/>
  <c r="S363" i="3" s="1"/>
  <c r="Q395" i="3"/>
  <c r="R395" i="3" s="1"/>
  <c r="S395" i="3" s="1"/>
  <c r="I619" i="3"/>
  <c r="J619" i="3" s="1"/>
  <c r="K619" i="3" s="1"/>
  <c r="L619" i="3" s="1"/>
  <c r="M619" i="3" s="1"/>
  <c r="N619" i="3" s="1"/>
  <c r="O619" i="3" s="1"/>
  <c r="P619" i="3" s="1"/>
  <c r="I133" i="3"/>
  <c r="J133" i="3" s="1"/>
  <c r="K133" i="3" s="1"/>
  <c r="L133" i="3" s="1"/>
  <c r="M133" i="3" s="1"/>
  <c r="N133" i="3" s="1"/>
  <c r="O133" i="3" s="1"/>
  <c r="P133" i="3" s="1"/>
  <c r="I261" i="3"/>
  <c r="J261" i="3" s="1"/>
  <c r="K261" i="3" s="1"/>
  <c r="L261" i="3" s="1"/>
  <c r="M261" i="3" s="1"/>
  <c r="N261" i="3" s="1"/>
  <c r="O261" i="3" s="1"/>
  <c r="P261" i="3" s="1"/>
  <c r="I389" i="3"/>
  <c r="J389" i="3" s="1"/>
  <c r="K389" i="3" s="1"/>
  <c r="L389" i="3" s="1"/>
  <c r="M389" i="3" s="1"/>
  <c r="N389" i="3" s="1"/>
  <c r="O389" i="3" s="1"/>
  <c r="P389" i="3" s="1"/>
  <c r="I517" i="3"/>
  <c r="J517" i="3" s="1"/>
  <c r="K517" i="3" s="1"/>
  <c r="L517" i="3" s="1"/>
  <c r="M517" i="3" s="1"/>
  <c r="N517" i="3" s="1"/>
  <c r="O517" i="3" s="1"/>
  <c r="P517" i="3" s="1"/>
  <c r="I645" i="3"/>
  <c r="J645" i="3" s="1"/>
  <c r="K645" i="3" s="1"/>
  <c r="L645" i="3" s="1"/>
  <c r="M645" i="3" s="1"/>
  <c r="N645" i="3" s="1"/>
  <c r="O645" i="3" s="1"/>
  <c r="P645" i="3" s="1"/>
  <c r="I789" i="3"/>
  <c r="J789" i="3" s="1"/>
  <c r="K789" i="3" s="1"/>
  <c r="L789" i="3" s="1"/>
  <c r="M789" i="3" s="1"/>
  <c r="N789" i="3" s="1"/>
  <c r="O789" i="3" s="1"/>
  <c r="P789" i="3" s="1"/>
  <c r="Q925" i="3"/>
  <c r="R925" i="3" s="1"/>
  <c r="S925" i="3" s="1"/>
  <c r="I14" i="3"/>
  <c r="J14" i="3" s="1"/>
  <c r="K14" i="3" s="1"/>
  <c r="L14" i="3" s="1"/>
  <c r="M14" i="3" s="1"/>
  <c r="N14" i="3" s="1"/>
  <c r="O14" i="3" s="1"/>
  <c r="P14" i="3" s="1"/>
  <c r="I126" i="3"/>
  <c r="J126" i="3" s="1"/>
  <c r="K126" i="3" s="1"/>
  <c r="L126" i="3" s="1"/>
  <c r="M126" i="3" s="1"/>
  <c r="N126" i="3" s="1"/>
  <c r="O126" i="3" s="1"/>
  <c r="P126" i="3" s="1"/>
  <c r="I302" i="3"/>
  <c r="J302" i="3" s="1"/>
  <c r="K302" i="3" s="1"/>
  <c r="L302" i="3" s="1"/>
  <c r="M302" i="3" s="1"/>
  <c r="N302" i="3" s="1"/>
  <c r="O302" i="3" s="1"/>
  <c r="P302" i="3" s="1"/>
  <c r="I87" i="3"/>
  <c r="J87" i="3" s="1"/>
  <c r="K87" i="3" s="1"/>
  <c r="L87" i="3" s="1"/>
  <c r="M87" i="3" s="1"/>
  <c r="N87" i="3" s="1"/>
  <c r="O87" i="3" s="1"/>
  <c r="P87" i="3" s="1"/>
  <c r="I215" i="3"/>
  <c r="J215" i="3" s="1"/>
  <c r="K215" i="3" s="1"/>
  <c r="L215" i="3" s="1"/>
  <c r="M215" i="3" s="1"/>
  <c r="N215" i="3" s="1"/>
  <c r="O215" i="3" s="1"/>
  <c r="P215" i="3" s="1"/>
  <c r="I391" i="3"/>
  <c r="J391" i="3" s="1"/>
  <c r="K391" i="3" s="1"/>
  <c r="L391" i="3" s="1"/>
  <c r="M391" i="3" s="1"/>
  <c r="N391" i="3" s="1"/>
  <c r="O391" i="3" s="1"/>
  <c r="P391" i="3" s="1"/>
  <c r="I422" i="3"/>
  <c r="J422" i="3" s="1"/>
  <c r="K422" i="3" s="1"/>
  <c r="L422" i="3" s="1"/>
  <c r="M422" i="3" s="1"/>
  <c r="N422" i="3" s="1"/>
  <c r="O422" i="3" s="1"/>
  <c r="P422" i="3" s="1"/>
  <c r="I486" i="3"/>
  <c r="J486" i="3" s="1"/>
  <c r="K486" i="3" s="1"/>
  <c r="L486" i="3" s="1"/>
  <c r="M486" i="3" s="1"/>
  <c r="N486" i="3" s="1"/>
  <c r="O486" i="3" s="1"/>
  <c r="P486" i="3" s="1"/>
  <c r="I558" i="3"/>
  <c r="J558" i="3" s="1"/>
  <c r="K558" i="3" s="1"/>
  <c r="L558" i="3" s="1"/>
  <c r="M558" i="3" s="1"/>
  <c r="N558" i="3" s="1"/>
  <c r="O558" i="3" s="1"/>
  <c r="P558" i="3" s="1"/>
  <c r="I638" i="3"/>
  <c r="J638" i="3" s="1"/>
  <c r="K638" i="3" s="1"/>
  <c r="L638" i="3" s="1"/>
  <c r="M638" i="3" s="1"/>
  <c r="N638" i="3" s="1"/>
  <c r="O638" i="3" s="1"/>
  <c r="P638" i="3" s="1"/>
  <c r="I702" i="3"/>
  <c r="J702" i="3" s="1"/>
  <c r="K702" i="3" s="1"/>
  <c r="L702" i="3" s="1"/>
  <c r="M702" i="3" s="1"/>
  <c r="N702" i="3" s="1"/>
  <c r="O702" i="3" s="1"/>
  <c r="P702" i="3" s="1"/>
  <c r="I774" i="3"/>
  <c r="J774" i="3" s="1"/>
  <c r="K774" i="3" s="1"/>
  <c r="L774" i="3" s="1"/>
  <c r="M774" i="3" s="1"/>
  <c r="N774" i="3" s="1"/>
  <c r="O774" i="3" s="1"/>
  <c r="P774" i="3" s="1"/>
  <c r="I846" i="3"/>
  <c r="J846" i="3" s="1"/>
  <c r="K846" i="3" s="1"/>
  <c r="L846" i="3" s="1"/>
  <c r="M846" i="3" s="1"/>
  <c r="N846" i="3" s="1"/>
  <c r="O846" i="3" s="1"/>
  <c r="P846" i="3" s="1"/>
  <c r="I926" i="3"/>
  <c r="J926" i="3" s="1"/>
  <c r="K926" i="3" s="1"/>
  <c r="L926" i="3" s="1"/>
  <c r="M926" i="3" s="1"/>
  <c r="N926" i="3" s="1"/>
  <c r="O926" i="3" s="1"/>
  <c r="P926" i="3" s="1"/>
  <c r="I998" i="3"/>
  <c r="J998" i="3" s="1"/>
  <c r="K998" i="3" s="1"/>
  <c r="L998" i="3" s="1"/>
  <c r="M998" i="3" s="1"/>
  <c r="N998" i="3" s="1"/>
  <c r="O998" i="3" s="1"/>
  <c r="P998" i="3" s="1"/>
  <c r="I552" i="3"/>
  <c r="J552" i="3" s="1"/>
  <c r="K552" i="3" s="1"/>
  <c r="L552" i="3" s="1"/>
  <c r="M552" i="3" s="1"/>
  <c r="N552" i="3" s="1"/>
  <c r="O552" i="3" s="1"/>
  <c r="P552" i="3" s="1"/>
  <c r="I792" i="3"/>
  <c r="J792" i="3" s="1"/>
  <c r="K792" i="3" s="1"/>
  <c r="L792" i="3" s="1"/>
  <c r="M792" i="3" s="1"/>
  <c r="N792" i="3" s="1"/>
  <c r="O792" i="3" s="1"/>
  <c r="P792" i="3" s="1"/>
  <c r="I786" i="3"/>
  <c r="J786" i="3" s="1"/>
  <c r="K786" i="3" s="1"/>
  <c r="L786" i="3" s="1"/>
  <c r="M786" i="3" s="1"/>
  <c r="N786" i="3" s="1"/>
  <c r="O786" i="3" s="1"/>
  <c r="P786" i="3" s="1"/>
  <c r="I731" i="3"/>
  <c r="J731" i="3" s="1"/>
  <c r="K731" i="3" s="1"/>
  <c r="L731" i="3" s="1"/>
  <c r="M731" i="3" s="1"/>
  <c r="N731" i="3" s="1"/>
  <c r="O731" i="3" s="1"/>
  <c r="P731" i="3" s="1"/>
  <c r="I987" i="3"/>
  <c r="J987" i="3" s="1"/>
  <c r="K987" i="3" s="1"/>
  <c r="L987" i="3" s="1"/>
  <c r="M987" i="3" s="1"/>
  <c r="N987" i="3" s="1"/>
  <c r="O987" i="3" s="1"/>
  <c r="P987" i="3" s="1"/>
  <c r="Q13" i="3"/>
  <c r="R13" i="3" s="1"/>
  <c r="S13" i="3" s="1"/>
  <c r="Q53" i="3"/>
  <c r="R53" i="3" s="1"/>
  <c r="S53" i="3" s="1"/>
  <c r="I93" i="3"/>
  <c r="J93" i="3" s="1"/>
  <c r="K93" i="3" s="1"/>
  <c r="L93" i="3" s="1"/>
  <c r="M93" i="3" s="1"/>
  <c r="N93" i="3" s="1"/>
  <c r="O93" i="3" s="1"/>
  <c r="P93" i="3" s="1"/>
  <c r="Q141" i="3"/>
  <c r="R141" i="3" s="1"/>
  <c r="S141" i="3" s="1"/>
  <c r="Q181" i="3"/>
  <c r="R181" i="3" s="1"/>
  <c r="S181" i="3" s="1"/>
  <c r="I221" i="3"/>
  <c r="J221" i="3" s="1"/>
  <c r="K221" i="3" s="1"/>
  <c r="L221" i="3" s="1"/>
  <c r="M221" i="3" s="1"/>
  <c r="N221" i="3" s="1"/>
  <c r="O221" i="3" s="1"/>
  <c r="P221" i="3" s="1"/>
  <c r="Q221" i="3" s="1"/>
  <c r="R221" i="3" s="1"/>
  <c r="S221" i="3" s="1"/>
  <c r="Q269" i="3"/>
  <c r="R269" i="3" s="1"/>
  <c r="S269" i="3" s="1"/>
  <c r="Q309" i="3"/>
  <c r="R309" i="3" s="1"/>
  <c r="S309" i="3" s="1"/>
  <c r="I349" i="3"/>
  <c r="J349" i="3" s="1"/>
  <c r="K349" i="3" s="1"/>
  <c r="L349" i="3" s="1"/>
  <c r="M349" i="3" s="1"/>
  <c r="N349" i="3" s="1"/>
  <c r="O349" i="3" s="1"/>
  <c r="P349" i="3" s="1"/>
  <c r="Q397" i="3"/>
  <c r="R397" i="3" s="1"/>
  <c r="S397" i="3" s="1"/>
  <c r="Q437" i="3"/>
  <c r="R437" i="3" s="1"/>
  <c r="S437" i="3" s="1"/>
  <c r="I477" i="3"/>
  <c r="J477" i="3" s="1"/>
  <c r="K477" i="3" s="1"/>
  <c r="L477" i="3" s="1"/>
  <c r="M477" i="3" s="1"/>
  <c r="N477" i="3" s="1"/>
  <c r="O477" i="3" s="1"/>
  <c r="P477" i="3" s="1"/>
  <c r="Q525" i="3"/>
  <c r="R525" i="3" s="1"/>
  <c r="S525" i="3" s="1"/>
  <c r="Q565" i="3"/>
  <c r="R565" i="3" s="1"/>
  <c r="S565" i="3" s="1"/>
  <c r="I605" i="3"/>
  <c r="J605" i="3" s="1"/>
  <c r="K605" i="3" s="1"/>
  <c r="L605" i="3" s="1"/>
  <c r="M605" i="3" s="1"/>
  <c r="N605" i="3" s="1"/>
  <c r="O605" i="3" s="1"/>
  <c r="P605" i="3" s="1"/>
  <c r="Q653" i="3"/>
  <c r="R653" i="3" s="1"/>
  <c r="S653" i="3" s="1"/>
  <c r="Q709" i="3"/>
  <c r="R709" i="3" s="1"/>
  <c r="S709" i="3" s="1"/>
  <c r="I749" i="3"/>
  <c r="J749" i="3" s="1"/>
  <c r="K749" i="3" s="1"/>
  <c r="L749" i="3" s="1"/>
  <c r="M749" i="3" s="1"/>
  <c r="N749" i="3" s="1"/>
  <c r="O749" i="3" s="1"/>
  <c r="P749" i="3" s="1"/>
  <c r="Q797" i="3"/>
  <c r="R797" i="3" s="1"/>
  <c r="S797" i="3" s="1"/>
  <c r="Q837" i="3"/>
  <c r="R837" i="3" s="1"/>
  <c r="S837" i="3" s="1"/>
  <c r="I877" i="3"/>
  <c r="J877" i="3" s="1"/>
  <c r="K877" i="3" s="1"/>
  <c r="L877" i="3" s="1"/>
  <c r="M877" i="3" s="1"/>
  <c r="N877" i="3" s="1"/>
  <c r="O877" i="3" s="1"/>
  <c r="P877" i="3" s="1"/>
  <c r="I22" i="3"/>
  <c r="J22" i="3" s="1"/>
  <c r="K22" i="3" s="1"/>
  <c r="L22" i="3" s="1"/>
  <c r="M22" i="3" s="1"/>
  <c r="N22" i="3" s="1"/>
  <c r="O22" i="3" s="1"/>
  <c r="P22" i="3" s="1"/>
  <c r="I134" i="3"/>
  <c r="J134" i="3" s="1"/>
  <c r="K134" i="3" s="1"/>
  <c r="L134" i="3" s="1"/>
  <c r="M134" i="3" s="1"/>
  <c r="N134" i="3" s="1"/>
  <c r="O134" i="3" s="1"/>
  <c r="P134" i="3" s="1"/>
  <c r="I318" i="3"/>
  <c r="J318" i="3" s="1"/>
  <c r="K318" i="3" s="1"/>
  <c r="L318" i="3" s="1"/>
  <c r="M318" i="3" s="1"/>
  <c r="N318" i="3" s="1"/>
  <c r="O318" i="3" s="1"/>
  <c r="P318" i="3" s="1"/>
  <c r="I95" i="3"/>
  <c r="J95" i="3" s="1"/>
  <c r="K95" i="3" s="1"/>
  <c r="L95" i="3" s="1"/>
  <c r="M95" i="3" s="1"/>
  <c r="N95" i="3" s="1"/>
  <c r="O95" i="3" s="1"/>
  <c r="P95" i="3" s="1"/>
  <c r="I223" i="3"/>
  <c r="J223" i="3" s="1"/>
  <c r="K223" i="3" s="1"/>
  <c r="L223" i="3" s="1"/>
  <c r="M223" i="3" s="1"/>
  <c r="N223" i="3" s="1"/>
  <c r="O223" i="3" s="1"/>
  <c r="P223" i="3" s="1"/>
  <c r="I407" i="3"/>
  <c r="J407" i="3" s="1"/>
  <c r="K407" i="3" s="1"/>
  <c r="L407" i="3" s="1"/>
  <c r="M407" i="3" s="1"/>
  <c r="N407" i="3" s="1"/>
  <c r="O407" i="3" s="1"/>
  <c r="P407" i="3" s="1"/>
  <c r="I430" i="3"/>
  <c r="J430" i="3" s="1"/>
  <c r="K430" i="3" s="1"/>
  <c r="L430" i="3" s="1"/>
  <c r="M430" i="3" s="1"/>
  <c r="N430" i="3" s="1"/>
  <c r="O430" i="3" s="1"/>
  <c r="P430" i="3" s="1"/>
  <c r="I494" i="3"/>
  <c r="J494" i="3" s="1"/>
  <c r="K494" i="3" s="1"/>
  <c r="L494" i="3" s="1"/>
  <c r="M494" i="3" s="1"/>
  <c r="N494" i="3" s="1"/>
  <c r="O494" i="3" s="1"/>
  <c r="P494" i="3" s="1"/>
  <c r="I566" i="3"/>
  <c r="J566" i="3" s="1"/>
  <c r="K566" i="3" s="1"/>
  <c r="L566" i="3" s="1"/>
  <c r="M566" i="3" s="1"/>
  <c r="N566" i="3" s="1"/>
  <c r="O566" i="3" s="1"/>
  <c r="P566" i="3" s="1"/>
  <c r="I646" i="3"/>
  <c r="J646" i="3" s="1"/>
  <c r="K646" i="3" s="1"/>
  <c r="L646" i="3" s="1"/>
  <c r="M646" i="3" s="1"/>
  <c r="N646" i="3" s="1"/>
  <c r="O646" i="3" s="1"/>
  <c r="P646" i="3" s="1"/>
  <c r="I710" i="3"/>
  <c r="J710" i="3" s="1"/>
  <c r="K710" i="3" s="1"/>
  <c r="L710" i="3" s="1"/>
  <c r="M710" i="3" s="1"/>
  <c r="N710" i="3" s="1"/>
  <c r="O710" i="3" s="1"/>
  <c r="P710" i="3" s="1"/>
  <c r="I782" i="3"/>
  <c r="J782" i="3" s="1"/>
  <c r="K782" i="3" s="1"/>
  <c r="L782" i="3" s="1"/>
  <c r="M782" i="3" s="1"/>
  <c r="N782" i="3" s="1"/>
  <c r="O782" i="3" s="1"/>
  <c r="P782" i="3" s="1"/>
  <c r="I862" i="3"/>
  <c r="J862" i="3" s="1"/>
  <c r="K862" i="3" s="1"/>
  <c r="L862" i="3" s="1"/>
  <c r="M862" i="3" s="1"/>
  <c r="N862" i="3" s="1"/>
  <c r="O862" i="3" s="1"/>
  <c r="P862" i="3" s="1"/>
  <c r="I752" i="3"/>
  <c r="J752" i="3" s="1"/>
  <c r="K752" i="3" s="1"/>
  <c r="L752" i="3" s="1"/>
  <c r="M752" i="3" s="1"/>
  <c r="N752" i="3" s="1"/>
  <c r="O752" i="3" s="1"/>
  <c r="P752" i="3" s="1"/>
  <c r="I626" i="3"/>
  <c r="J626" i="3" s="1"/>
  <c r="K626" i="3" s="1"/>
  <c r="L626" i="3" s="1"/>
  <c r="M626" i="3" s="1"/>
  <c r="N626" i="3" s="1"/>
  <c r="O626" i="3" s="1"/>
  <c r="P626" i="3" s="1"/>
  <c r="I690" i="3"/>
  <c r="J690" i="3" s="1"/>
  <c r="K690" i="3" s="1"/>
  <c r="L690" i="3" s="1"/>
  <c r="M690" i="3" s="1"/>
  <c r="N690" i="3" s="1"/>
  <c r="O690" i="3" s="1"/>
  <c r="P690" i="3" s="1"/>
  <c r="I699" i="3"/>
  <c r="J699" i="3" s="1"/>
  <c r="K699" i="3" s="1"/>
  <c r="L699" i="3" s="1"/>
  <c r="M699" i="3" s="1"/>
  <c r="N699" i="3" s="1"/>
  <c r="O699" i="3" s="1"/>
  <c r="P699" i="3" s="1"/>
  <c r="I955" i="3"/>
  <c r="J955" i="3" s="1"/>
  <c r="K955" i="3" s="1"/>
  <c r="L955" i="3" s="1"/>
  <c r="M955" i="3" s="1"/>
  <c r="N955" i="3" s="1"/>
  <c r="O955" i="3" s="1"/>
  <c r="P955" i="3" s="1"/>
  <c r="Q17" i="3"/>
  <c r="R17" i="3" s="1"/>
  <c r="S17" i="3" s="1"/>
  <c r="Q73" i="3"/>
  <c r="R73" i="3" s="1"/>
  <c r="S73" i="3" s="1"/>
  <c r="Q121" i="3"/>
  <c r="R121" i="3" s="1"/>
  <c r="S121" i="3" s="1"/>
  <c r="Q201" i="3"/>
  <c r="R201" i="3" s="1"/>
  <c r="S201" i="3" s="1"/>
  <c r="Q273" i="3"/>
  <c r="R273" i="3" s="1"/>
  <c r="S273" i="3" s="1"/>
  <c r="Q377" i="3"/>
  <c r="R377" i="3" s="1"/>
  <c r="S377" i="3" s="1"/>
  <c r="Q18" i="3"/>
  <c r="R18" i="3" s="1"/>
  <c r="S18" i="3" s="1"/>
  <c r="Q50" i="3"/>
  <c r="R50" i="3" s="1"/>
  <c r="S50" i="3" s="1"/>
  <c r="Q82" i="3"/>
  <c r="R82" i="3" s="1"/>
  <c r="S82" i="3" s="1"/>
  <c r="Q114" i="3"/>
  <c r="R114" i="3" s="1"/>
  <c r="S114" i="3" s="1"/>
  <c r="Q146" i="3"/>
  <c r="R146" i="3" s="1"/>
  <c r="S146" i="3" s="1"/>
  <c r="Q178" i="3"/>
  <c r="R178" i="3" s="1"/>
  <c r="S178" i="3" s="1"/>
  <c r="Q210" i="3"/>
  <c r="R210" i="3" s="1"/>
  <c r="S210" i="3" s="1"/>
  <c r="Q242" i="3"/>
  <c r="R242" i="3" s="1"/>
  <c r="S242" i="3" s="1"/>
  <c r="Q274" i="3"/>
  <c r="R274" i="3" s="1"/>
  <c r="S274" i="3" s="1"/>
  <c r="Q306" i="3"/>
  <c r="R306" i="3" s="1"/>
  <c r="S306" i="3" s="1"/>
  <c r="Q338" i="3"/>
  <c r="R338" i="3" s="1"/>
  <c r="S338" i="3" s="1"/>
  <c r="Q370" i="3"/>
  <c r="R370" i="3" s="1"/>
  <c r="S370" i="3" s="1"/>
  <c r="Q402" i="3"/>
  <c r="R402" i="3" s="1"/>
  <c r="S402" i="3" s="1"/>
  <c r="Q434" i="3"/>
  <c r="R434" i="3" s="1"/>
  <c r="S434" i="3" s="1"/>
  <c r="Q466" i="3"/>
  <c r="R466" i="3" s="1"/>
  <c r="S466" i="3" s="1"/>
  <c r="Q498" i="3"/>
  <c r="R498" i="3" s="1"/>
  <c r="S498" i="3" s="1"/>
  <c r="Q530" i="3"/>
  <c r="R530" i="3" s="1"/>
  <c r="S530" i="3" s="1"/>
  <c r="Q562" i="3"/>
  <c r="R562" i="3" s="1"/>
  <c r="S562" i="3" s="1"/>
  <c r="Q594" i="3"/>
  <c r="R594" i="3" s="1"/>
  <c r="S594" i="3" s="1"/>
  <c r="Q19" i="3"/>
  <c r="R19" i="3" s="1"/>
  <c r="S19" i="3" s="1"/>
  <c r="Q51" i="3"/>
  <c r="R51" i="3" s="1"/>
  <c r="S51" i="3" s="1"/>
  <c r="Q83" i="3"/>
  <c r="R83" i="3" s="1"/>
  <c r="S83" i="3" s="1"/>
  <c r="Q115" i="3"/>
  <c r="R115" i="3" s="1"/>
  <c r="S115" i="3" s="1"/>
  <c r="Q147" i="3"/>
  <c r="R147" i="3" s="1"/>
  <c r="S147" i="3" s="1"/>
  <c r="Q179" i="3"/>
  <c r="R179" i="3" s="1"/>
  <c r="S179" i="3" s="1"/>
  <c r="Q211" i="3"/>
  <c r="R211" i="3" s="1"/>
  <c r="S211" i="3" s="1"/>
  <c r="Q243" i="3"/>
  <c r="R243" i="3" s="1"/>
  <c r="S243" i="3" s="1"/>
  <c r="Q275" i="3"/>
  <c r="R275" i="3" s="1"/>
  <c r="S275" i="3" s="1"/>
  <c r="Q307" i="3"/>
  <c r="R307" i="3" s="1"/>
  <c r="S307" i="3" s="1"/>
  <c r="I101" i="3"/>
  <c r="J101" i="3" s="1"/>
  <c r="K101" i="3" s="1"/>
  <c r="L101" i="3" s="1"/>
  <c r="M101" i="3" s="1"/>
  <c r="N101" i="3" s="1"/>
  <c r="O101" i="3" s="1"/>
  <c r="P101" i="3" s="1"/>
  <c r="I229" i="3"/>
  <c r="J229" i="3" s="1"/>
  <c r="K229" i="3" s="1"/>
  <c r="L229" i="3" s="1"/>
  <c r="M229" i="3" s="1"/>
  <c r="N229" i="3" s="1"/>
  <c r="O229" i="3" s="1"/>
  <c r="P229" i="3" s="1"/>
  <c r="I357" i="3"/>
  <c r="J357" i="3" s="1"/>
  <c r="K357" i="3" s="1"/>
  <c r="L357" i="3" s="1"/>
  <c r="M357" i="3" s="1"/>
  <c r="N357" i="3" s="1"/>
  <c r="O357" i="3" s="1"/>
  <c r="P357" i="3" s="1"/>
  <c r="I485" i="3"/>
  <c r="J485" i="3" s="1"/>
  <c r="K485" i="3" s="1"/>
  <c r="L485" i="3" s="1"/>
  <c r="M485" i="3" s="1"/>
  <c r="N485" i="3" s="1"/>
  <c r="O485" i="3" s="1"/>
  <c r="P485" i="3" s="1"/>
  <c r="I613" i="3"/>
  <c r="J613" i="3" s="1"/>
  <c r="K613" i="3" s="1"/>
  <c r="L613" i="3" s="1"/>
  <c r="M613" i="3" s="1"/>
  <c r="N613" i="3" s="1"/>
  <c r="O613" i="3" s="1"/>
  <c r="P613" i="3" s="1"/>
  <c r="I757" i="3"/>
  <c r="J757" i="3" s="1"/>
  <c r="K757" i="3" s="1"/>
  <c r="L757" i="3" s="1"/>
  <c r="M757" i="3" s="1"/>
  <c r="N757" i="3" s="1"/>
  <c r="O757" i="3" s="1"/>
  <c r="P757" i="3" s="1"/>
  <c r="I885" i="3"/>
  <c r="J885" i="3" s="1"/>
  <c r="K885" i="3" s="1"/>
  <c r="L885" i="3" s="1"/>
  <c r="M885" i="3" s="1"/>
  <c r="N885" i="3" s="1"/>
  <c r="O885" i="3" s="1"/>
  <c r="P885" i="3" s="1"/>
  <c r="I933" i="3"/>
  <c r="J933" i="3" s="1"/>
  <c r="K933" i="3" s="1"/>
  <c r="L933" i="3" s="1"/>
  <c r="M933" i="3" s="1"/>
  <c r="N933" i="3" s="1"/>
  <c r="O933" i="3" s="1"/>
  <c r="P933" i="3" s="1"/>
  <c r="I46" i="3"/>
  <c r="J46" i="3" s="1"/>
  <c r="K46" i="3" s="1"/>
  <c r="L46" i="3" s="1"/>
  <c r="M46" i="3" s="1"/>
  <c r="N46" i="3" s="1"/>
  <c r="O46" i="3" s="1"/>
  <c r="P46" i="3" s="1"/>
  <c r="I174" i="3"/>
  <c r="J174" i="3" s="1"/>
  <c r="K174" i="3" s="1"/>
  <c r="L174" i="3" s="1"/>
  <c r="M174" i="3" s="1"/>
  <c r="N174" i="3" s="1"/>
  <c r="O174" i="3" s="1"/>
  <c r="P174" i="3" s="1"/>
  <c r="I326" i="3"/>
  <c r="J326" i="3" s="1"/>
  <c r="K326" i="3" s="1"/>
  <c r="L326" i="3" s="1"/>
  <c r="M326" i="3" s="1"/>
  <c r="N326" i="3" s="1"/>
  <c r="O326" i="3" s="1"/>
  <c r="P326" i="3" s="1"/>
  <c r="I7" i="3"/>
  <c r="J7" i="3" s="1"/>
  <c r="K7" i="3" s="1"/>
  <c r="L7" i="3" s="1"/>
  <c r="M7" i="3" s="1"/>
  <c r="N7" i="3" s="1"/>
  <c r="O7" i="3" s="1"/>
  <c r="P7" i="3" s="1"/>
  <c r="I103" i="3"/>
  <c r="J103" i="3" s="1"/>
  <c r="K103" i="3" s="1"/>
  <c r="L103" i="3" s="1"/>
  <c r="M103" i="3" s="1"/>
  <c r="N103" i="3" s="1"/>
  <c r="O103" i="3" s="1"/>
  <c r="P103" i="3" s="1"/>
  <c r="I263" i="3"/>
  <c r="J263" i="3" s="1"/>
  <c r="K263" i="3" s="1"/>
  <c r="L263" i="3" s="1"/>
  <c r="M263" i="3" s="1"/>
  <c r="N263" i="3" s="1"/>
  <c r="O263" i="3" s="1"/>
  <c r="P263" i="3" s="1"/>
  <c r="I415" i="3"/>
  <c r="J415" i="3" s="1"/>
  <c r="K415" i="3" s="1"/>
  <c r="L415" i="3" s="1"/>
  <c r="M415" i="3" s="1"/>
  <c r="N415" i="3" s="1"/>
  <c r="O415" i="3" s="1"/>
  <c r="P415" i="3" s="1"/>
  <c r="I438" i="3"/>
  <c r="J438" i="3" s="1"/>
  <c r="K438" i="3" s="1"/>
  <c r="L438" i="3" s="1"/>
  <c r="M438" i="3" s="1"/>
  <c r="N438" i="3" s="1"/>
  <c r="O438" i="3" s="1"/>
  <c r="P438" i="3" s="1"/>
  <c r="I502" i="3"/>
  <c r="J502" i="3" s="1"/>
  <c r="K502" i="3" s="1"/>
  <c r="L502" i="3" s="1"/>
  <c r="M502" i="3" s="1"/>
  <c r="N502" i="3" s="1"/>
  <c r="O502" i="3" s="1"/>
  <c r="P502" i="3" s="1"/>
  <c r="I574" i="3"/>
  <c r="J574" i="3" s="1"/>
  <c r="K574" i="3" s="1"/>
  <c r="L574" i="3" s="1"/>
  <c r="M574" i="3" s="1"/>
  <c r="N574" i="3" s="1"/>
  <c r="O574" i="3" s="1"/>
  <c r="P574" i="3" s="1"/>
  <c r="I654" i="3"/>
  <c r="J654" i="3" s="1"/>
  <c r="K654" i="3" s="1"/>
  <c r="L654" i="3" s="1"/>
  <c r="M654" i="3" s="1"/>
  <c r="N654" i="3" s="1"/>
  <c r="O654" i="3" s="1"/>
  <c r="P654" i="3" s="1"/>
  <c r="I718" i="3"/>
  <c r="J718" i="3" s="1"/>
  <c r="K718" i="3" s="1"/>
  <c r="L718" i="3" s="1"/>
  <c r="M718" i="3" s="1"/>
  <c r="N718" i="3" s="1"/>
  <c r="O718" i="3" s="1"/>
  <c r="P718" i="3" s="1"/>
  <c r="I798" i="3"/>
  <c r="J798" i="3" s="1"/>
  <c r="K798" i="3" s="1"/>
  <c r="L798" i="3" s="1"/>
  <c r="M798" i="3" s="1"/>
  <c r="N798" i="3" s="1"/>
  <c r="O798" i="3" s="1"/>
  <c r="P798" i="3" s="1"/>
  <c r="I870" i="3"/>
  <c r="J870" i="3" s="1"/>
  <c r="K870" i="3" s="1"/>
  <c r="L870" i="3" s="1"/>
  <c r="M870" i="3" s="1"/>
  <c r="N870" i="3" s="1"/>
  <c r="O870" i="3" s="1"/>
  <c r="P870" i="3" s="1"/>
  <c r="I32" i="3"/>
  <c r="J32" i="3" s="1"/>
  <c r="K32" i="3" s="1"/>
  <c r="L32" i="3" s="1"/>
  <c r="M32" i="3" s="1"/>
  <c r="N32" i="3" s="1"/>
  <c r="O32" i="3" s="1"/>
  <c r="P32" i="3" s="1"/>
  <c r="I96" i="3"/>
  <c r="J96" i="3" s="1"/>
  <c r="K96" i="3" s="1"/>
  <c r="L96" i="3" s="1"/>
  <c r="M96" i="3" s="1"/>
  <c r="N96" i="3" s="1"/>
  <c r="O96" i="3" s="1"/>
  <c r="P96" i="3" s="1"/>
  <c r="I160" i="3"/>
  <c r="J160" i="3" s="1"/>
  <c r="K160" i="3" s="1"/>
  <c r="L160" i="3" s="1"/>
  <c r="M160" i="3" s="1"/>
  <c r="N160" i="3" s="1"/>
  <c r="O160" i="3" s="1"/>
  <c r="P160" i="3" s="1"/>
  <c r="I232" i="3"/>
  <c r="J232" i="3" s="1"/>
  <c r="K232" i="3" s="1"/>
  <c r="L232" i="3" s="1"/>
  <c r="M232" i="3" s="1"/>
  <c r="N232" i="3" s="1"/>
  <c r="O232" i="3" s="1"/>
  <c r="P232" i="3" s="1"/>
  <c r="Q232" i="3" s="1"/>
  <c r="R232" i="3" s="1"/>
  <c r="S232" i="3" s="1"/>
  <c r="I296" i="3"/>
  <c r="J296" i="3" s="1"/>
  <c r="K296" i="3" s="1"/>
  <c r="L296" i="3" s="1"/>
  <c r="M296" i="3" s="1"/>
  <c r="N296" i="3" s="1"/>
  <c r="O296" i="3" s="1"/>
  <c r="P296" i="3" s="1"/>
  <c r="I368" i="3"/>
  <c r="J368" i="3" s="1"/>
  <c r="K368" i="3" s="1"/>
  <c r="L368" i="3" s="1"/>
  <c r="M368" i="3" s="1"/>
  <c r="N368" i="3" s="1"/>
  <c r="O368" i="3" s="1"/>
  <c r="P368" i="3" s="1"/>
  <c r="I448" i="3"/>
  <c r="J448" i="3" s="1"/>
  <c r="K448" i="3" s="1"/>
  <c r="L448" i="3" s="1"/>
  <c r="M448" i="3" s="1"/>
  <c r="N448" i="3" s="1"/>
  <c r="O448" i="3" s="1"/>
  <c r="P448" i="3" s="1"/>
  <c r="I616" i="3"/>
  <c r="J616" i="3" s="1"/>
  <c r="K616" i="3" s="1"/>
  <c r="L616" i="3" s="1"/>
  <c r="M616" i="3" s="1"/>
  <c r="N616" i="3" s="1"/>
  <c r="O616" i="3" s="1"/>
  <c r="P616" i="3" s="1"/>
  <c r="I720" i="3"/>
  <c r="J720" i="3" s="1"/>
  <c r="K720" i="3" s="1"/>
  <c r="L720" i="3" s="1"/>
  <c r="M720" i="3" s="1"/>
  <c r="N720" i="3" s="1"/>
  <c r="O720" i="3" s="1"/>
  <c r="P720" i="3" s="1"/>
  <c r="I1000" i="3"/>
  <c r="J1000" i="3" s="1"/>
  <c r="K1000" i="3" s="1"/>
  <c r="L1000" i="3" s="1"/>
  <c r="M1000" i="3" s="1"/>
  <c r="N1000" i="3" s="1"/>
  <c r="O1000" i="3" s="1"/>
  <c r="P1000" i="3" s="1"/>
  <c r="I850" i="3"/>
  <c r="J850" i="3" s="1"/>
  <c r="K850" i="3" s="1"/>
  <c r="L850" i="3" s="1"/>
  <c r="M850" i="3" s="1"/>
  <c r="N850" i="3" s="1"/>
  <c r="O850" i="3" s="1"/>
  <c r="P850" i="3" s="1"/>
  <c r="I667" i="3"/>
  <c r="J667" i="3" s="1"/>
  <c r="K667" i="3" s="1"/>
  <c r="L667" i="3" s="1"/>
  <c r="M667" i="3" s="1"/>
  <c r="N667" i="3" s="1"/>
  <c r="O667" i="3" s="1"/>
  <c r="P667" i="3" s="1"/>
  <c r="I923" i="3"/>
  <c r="J923" i="3" s="1"/>
  <c r="K923" i="3" s="1"/>
  <c r="L923" i="3" s="1"/>
  <c r="M923" i="3" s="1"/>
  <c r="N923" i="3" s="1"/>
  <c r="O923" i="3" s="1"/>
  <c r="P923" i="3" s="1"/>
  <c r="Q21" i="3"/>
  <c r="R21" i="3" s="1"/>
  <c r="S21" i="3" s="1"/>
  <c r="I61" i="3"/>
  <c r="J61" i="3" s="1"/>
  <c r="K61" i="3" s="1"/>
  <c r="L61" i="3" s="1"/>
  <c r="M61" i="3" s="1"/>
  <c r="N61" i="3" s="1"/>
  <c r="O61" i="3" s="1"/>
  <c r="P61" i="3" s="1"/>
  <c r="Q109" i="3"/>
  <c r="R109" i="3" s="1"/>
  <c r="S109" i="3" s="1"/>
  <c r="Q149" i="3"/>
  <c r="R149" i="3" s="1"/>
  <c r="S149" i="3" s="1"/>
  <c r="I189" i="3"/>
  <c r="J189" i="3" s="1"/>
  <c r="K189" i="3" s="1"/>
  <c r="L189" i="3" s="1"/>
  <c r="M189" i="3" s="1"/>
  <c r="N189" i="3" s="1"/>
  <c r="O189" i="3" s="1"/>
  <c r="P189" i="3" s="1"/>
  <c r="Q237" i="3"/>
  <c r="R237" i="3" s="1"/>
  <c r="S237" i="3" s="1"/>
  <c r="Q277" i="3"/>
  <c r="R277" i="3" s="1"/>
  <c r="S277" i="3" s="1"/>
  <c r="I317" i="3"/>
  <c r="J317" i="3" s="1"/>
  <c r="K317" i="3" s="1"/>
  <c r="L317" i="3" s="1"/>
  <c r="M317" i="3" s="1"/>
  <c r="N317" i="3" s="1"/>
  <c r="O317" i="3" s="1"/>
  <c r="P317" i="3" s="1"/>
  <c r="Q365" i="3"/>
  <c r="R365" i="3" s="1"/>
  <c r="S365" i="3" s="1"/>
  <c r="Q405" i="3"/>
  <c r="R405" i="3" s="1"/>
  <c r="S405" i="3" s="1"/>
  <c r="I445" i="3"/>
  <c r="J445" i="3" s="1"/>
  <c r="K445" i="3" s="1"/>
  <c r="L445" i="3" s="1"/>
  <c r="M445" i="3" s="1"/>
  <c r="N445" i="3" s="1"/>
  <c r="O445" i="3" s="1"/>
  <c r="P445" i="3" s="1"/>
  <c r="Q493" i="3"/>
  <c r="R493" i="3" s="1"/>
  <c r="S493" i="3" s="1"/>
  <c r="Q533" i="3"/>
  <c r="R533" i="3" s="1"/>
  <c r="S533" i="3" s="1"/>
  <c r="I573" i="3"/>
  <c r="J573" i="3" s="1"/>
  <c r="K573" i="3" s="1"/>
  <c r="L573" i="3" s="1"/>
  <c r="M573" i="3" s="1"/>
  <c r="N573" i="3" s="1"/>
  <c r="O573" i="3" s="1"/>
  <c r="P573" i="3" s="1"/>
  <c r="Q621" i="3"/>
  <c r="R621" i="3" s="1"/>
  <c r="S621" i="3" s="1"/>
  <c r="Q661" i="3"/>
  <c r="R661" i="3" s="1"/>
  <c r="S661" i="3" s="1"/>
  <c r="I717" i="3"/>
  <c r="J717" i="3" s="1"/>
  <c r="K717" i="3" s="1"/>
  <c r="L717" i="3" s="1"/>
  <c r="M717" i="3" s="1"/>
  <c r="N717" i="3" s="1"/>
  <c r="O717" i="3" s="1"/>
  <c r="P717" i="3" s="1"/>
  <c r="Q765" i="3"/>
  <c r="R765" i="3" s="1"/>
  <c r="S765" i="3" s="1"/>
  <c r="Q805" i="3"/>
  <c r="R805" i="3" s="1"/>
  <c r="S805" i="3" s="1"/>
  <c r="I845" i="3"/>
  <c r="J845" i="3" s="1"/>
  <c r="K845" i="3" s="1"/>
  <c r="L845" i="3" s="1"/>
  <c r="M845" i="3" s="1"/>
  <c r="N845" i="3" s="1"/>
  <c r="O845" i="3" s="1"/>
  <c r="P845" i="3" s="1"/>
  <c r="Q893" i="3"/>
  <c r="R893" i="3" s="1"/>
  <c r="S893" i="3" s="1"/>
  <c r="I941" i="3"/>
  <c r="J941" i="3" s="1"/>
  <c r="K941" i="3" s="1"/>
  <c r="L941" i="3" s="1"/>
  <c r="M941" i="3" s="1"/>
  <c r="N941" i="3" s="1"/>
  <c r="O941" i="3" s="1"/>
  <c r="P941" i="3" s="1"/>
  <c r="I62" i="3"/>
  <c r="J62" i="3" s="1"/>
  <c r="K62" i="3" s="1"/>
  <c r="L62" i="3" s="1"/>
  <c r="M62" i="3" s="1"/>
  <c r="N62" i="3" s="1"/>
  <c r="O62" i="3" s="1"/>
  <c r="P62" i="3" s="1"/>
  <c r="I190" i="3"/>
  <c r="J190" i="3" s="1"/>
  <c r="K190" i="3" s="1"/>
  <c r="L190" i="3" s="1"/>
  <c r="M190" i="3" s="1"/>
  <c r="N190" i="3" s="1"/>
  <c r="O190" i="3" s="1"/>
  <c r="P190" i="3" s="1"/>
  <c r="I366" i="3"/>
  <c r="J366" i="3" s="1"/>
  <c r="K366" i="3" s="1"/>
  <c r="L366" i="3" s="1"/>
  <c r="M366" i="3" s="1"/>
  <c r="N366" i="3" s="1"/>
  <c r="O366" i="3" s="1"/>
  <c r="P366" i="3" s="1"/>
  <c r="I23" i="3"/>
  <c r="J23" i="3" s="1"/>
  <c r="K23" i="3" s="1"/>
  <c r="L23" i="3" s="1"/>
  <c r="M23" i="3" s="1"/>
  <c r="N23" i="3" s="1"/>
  <c r="O23" i="3" s="1"/>
  <c r="P23" i="3" s="1"/>
  <c r="I111" i="3"/>
  <c r="J111" i="3" s="1"/>
  <c r="K111" i="3" s="1"/>
  <c r="L111" i="3" s="1"/>
  <c r="M111" i="3" s="1"/>
  <c r="N111" i="3" s="1"/>
  <c r="O111" i="3" s="1"/>
  <c r="P111" i="3" s="1"/>
  <c r="I279" i="3"/>
  <c r="J279" i="3" s="1"/>
  <c r="K279" i="3" s="1"/>
  <c r="L279" i="3" s="1"/>
  <c r="M279" i="3" s="1"/>
  <c r="N279" i="3" s="1"/>
  <c r="O279" i="3" s="1"/>
  <c r="P279" i="3" s="1"/>
  <c r="I446" i="3"/>
  <c r="J446" i="3" s="1"/>
  <c r="K446" i="3" s="1"/>
  <c r="L446" i="3" s="1"/>
  <c r="M446" i="3" s="1"/>
  <c r="N446" i="3" s="1"/>
  <c r="O446" i="3" s="1"/>
  <c r="P446" i="3" s="1"/>
  <c r="I510" i="3"/>
  <c r="J510" i="3" s="1"/>
  <c r="K510" i="3" s="1"/>
  <c r="L510" i="3" s="1"/>
  <c r="M510" i="3" s="1"/>
  <c r="N510" i="3" s="1"/>
  <c r="O510" i="3" s="1"/>
  <c r="P510" i="3" s="1"/>
  <c r="I582" i="3"/>
  <c r="J582" i="3" s="1"/>
  <c r="K582" i="3" s="1"/>
  <c r="L582" i="3" s="1"/>
  <c r="M582" i="3" s="1"/>
  <c r="N582" i="3" s="1"/>
  <c r="O582" i="3" s="1"/>
  <c r="P582" i="3" s="1"/>
  <c r="I662" i="3"/>
  <c r="J662" i="3" s="1"/>
  <c r="K662" i="3" s="1"/>
  <c r="L662" i="3" s="1"/>
  <c r="M662" i="3" s="1"/>
  <c r="N662" i="3" s="1"/>
  <c r="O662" i="3" s="1"/>
  <c r="P662" i="3" s="1"/>
  <c r="I734" i="3"/>
  <c r="J734" i="3" s="1"/>
  <c r="K734" i="3" s="1"/>
  <c r="L734" i="3" s="1"/>
  <c r="M734" i="3" s="1"/>
  <c r="N734" i="3" s="1"/>
  <c r="O734" i="3" s="1"/>
  <c r="P734" i="3" s="1"/>
  <c r="I806" i="3"/>
  <c r="J806" i="3" s="1"/>
  <c r="K806" i="3" s="1"/>
  <c r="L806" i="3" s="1"/>
  <c r="M806" i="3" s="1"/>
  <c r="N806" i="3" s="1"/>
  <c r="O806" i="3" s="1"/>
  <c r="P806" i="3" s="1"/>
  <c r="I878" i="3"/>
  <c r="J878" i="3" s="1"/>
  <c r="K878" i="3" s="1"/>
  <c r="L878" i="3" s="1"/>
  <c r="M878" i="3" s="1"/>
  <c r="N878" i="3" s="1"/>
  <c r="O878" i="3" s="1"/>
  <c r="P878" i="3" s="1"/>
  <c r="I520" i="3"/>
  <c r="J520" i="3" s="1"/>
  <c r="K520" i="3" s="1"/>
  <c r="L520" i="3" s="1"/>
  <c r="M520" i="3" s="1"/>
  <c r="N520" i="3" s="1"/>
  <c r="O520" i="3" s="1"/>
  <c r="P520" i="3" s="1"/>
  <c r="I968" i="3"/>
  <c r="J968" i="3" s="1"/>
  <c r="K968" i="3" s="1"/>
  <c r="L968" i="3" s="1"/>
  <c r="M968" i="3" s="1"/>
  <c r="N968" i="3" s="1"/>
  <c r="O968" i="3" s="1"/>
  <c r="P968" i="3" s="1"/>
  <c r="I754" i="3"/>
  <c r="J754" i="3" s="1"/>
  <c r="K754" i="3" s="1"/>
  <c r="L754" i="3" s="1"/>
  <c r="M754" i="3" s="1"/>
  <c r="N754" i="3" s="1"/>
  <c r="O754" i="3" s="1"/>
  <c r="P754" i="3" s="1"/>
  <c r="I635" i="3"/>
  <c r="J635" i="3" s="1"/>
  <c r="K635" i="3" s="1"/>
  <c r="L635" i="3" s="1"/>
  <c r="M635" i="3" s="1"/>
  <c r="N635" i="3" s="1"/>
  <c r="O635" i="3" s="1"/>
  <c r="P635" i="3" s="1"/>
  <c r="I891" i="3"/>
  <c r="J891" i="3" s="1"/>
  <c r="K891" i="3" s="1"/>
  <c r="L891" i="3" s="1"/>
  <c r="M891" i="3" s="1"/>
  <c r="N891" i="3" s="1"/>
  <c r="O891" i="3" s="1"/>
  <c r="P891" i="3" s="1"/>
  <c r="Q25" i="3"/>
  <c r="R25" i="3" s="1"/>
  <c r="S25" i="3" s="1"/>
  <c r="Q81" i="3"/>
  <c r="R81" i="3" s="1"/>
  <c r="S81" i="3" s="1"/>
  <c r="Q137" i="3"/>
  <c r="R137" i="3" s="1"/>
  <c r="S137" i="3" s="1"/>
  <c r="Q209" i="3"/>
  <c r="R209" i="3" s="1"/>
  <c r="S209" i="3" s="1"/>
  <c r="Q313" i="3"/>
  <c r="R313" i="3" s="1"/>
  <c r="S313" i="3" s="1"/>
  <c r="Q393" i="3"/>
  <c r="R393" i="3" s="1"/>
  <c r="S393" i="3" s="1"/>
  <c r="Q26" i="3"/>
  <c r="R26" i="3" s="1"/>
  <c r="S26" i="3" s="1"/>
  <c r="Q58" i="3"/>
  <c r="R58" i="3" s="1"/>
  <c r="S58" i="3" s="1"/>
  <c r="Q90" i="3"/>
  <c r="R90" i="3" s="1"/>
  <c r="S90" i="3" s="1"/>
  <c r="Q122" i="3"/>
  <c r="R122" i="3" s="1"/>
  <c r="S122" i="3" s="1"/>
  <c r="Q154" i="3"/>
  <c r="R154" i="3" s="1"/>
  <c r="S154" i="3" s="1"/>
  <c r="Q186" i="3"/>
  <c r="R186" i="3" s="1"/>
  <c r="S186" i="3" s="1"/>
  <c r="Q218" i="3"/>
  <c r="R218" i="3" s="1"/>
  <c r="S218" i="3" s="1"/>
  <c r="Q250" i="3"/>
  <c r="R250" i="3" s="1"/>
  <c r="S250" i="3" s="1"/>
  <c r="Q282" i="3"/>
  <c r="R282" i="3" s="1"/>
  <c r="S282" i="3" s="1"/>
  <c r="Q314" i="3"/>
  <c r="R314" i="3" s="1"/>
  <c r="S314" i="3" s="1"/>
  <c r="Q346" i="3"/>
  <c r="R346" i="3" s="1"/>
  <c r="S346" i="3" s="1"/>
  <c r="Q378" i="3"/>
  <c r="R378" i="3" s="1"/>
  <c r="S378" i="3" s="1"/>
  <c r="Q410" i="3"/>
  <c r="R410" i="3" s="1"/>
  <c r="S410" i="3" s="1"/>
  <c r="Q442" i="3"/>
  <c r="R442" i="3" s="1"/>
  <c r="S442" i="3" s="1"/>
  <c r="Q474" i="3"/>
  <c r="R474" i="3" s="1"/>
  <c r="S474" i="3" s="1"/>
  <c r="Q506" i="3"/>
  <c r="R506" i="3" s="1"/>
  <c r="S506" i="3" s="1"/>
  <c r="Q538" i="3"/>
  <c r="R538" i="3" s="1"/>
  <c r="S538" i="3" s="1"/>
  <c r="Q570" i="3"/>
  <c r="R570" i="3" s="1"/>
  <c r="S570" i="3" s="1"/>
  <c r="Q602" i="3"/>
  <c r="R602" i="3" s="1"/>
  <c r="S602" i="3" s="1"/>
  <c r="Q27" i="3"/>
  <c r="R27" i="3" s="1"/>
  <c r="S27" i="3" s="1"/>
  <c r="I69" i="3"/>
  <c r="J69" i="3" s="1"/>
  <c r="K69" i="3" s="1"/>
  <c r="L69" i="3" s="1"/>
  <c r="M69" i="3" s="1"/>
  <c r="N69" i="3" s="1"/>
  <c r="O69" i="3" s="1"/>
  <c r="P69" i="3" s="1"/>
  <c r="I197" i="3"/>
  <c r="J197" i="3" s="1"/>
  <c r="K197" i="3" s="1"/>
  <c r="L197" i="3" s="1"/>
  <c r="M197" i="3" s="1"/>
  <c r="N197" i="3" s="1"/>
  <c r="O197" i="3" s="1"/>
  <c r="P197" i="3" s="1"/>
  <c r="I325" i="3"/>
  <c r="J325" i="3" s="1"/>
  <c r="K325" i="3" s="1"/>
  <c r="L325" i="3" s="1"/>
  <c r="M325" i="3" s="1"/>
  <c r="N325" i="3" s="1"/>
  <c r="O325" i="3" s="1"/>
  <c r="P325" i="3" s="1"/>
  <c r="I453" i="3"/>
  <c r="J453" i="3" s="1"/>
  <c r="K453" i="3" s="1"/>
  <c r="L453" i="3" s="1"/>
  <c r="M453" i="3" s="1"/>
  <c r="N453" i="3" s="1"/>
  <c r="O453" i="3" s="1"/>
  <c r="P453" i="3" s="1"/>
  <c r="I581" i="3"/>
  <c r="J581" i="3" s="1"/>
  <c r="K581" i="3" s="1"/>
  <c r="L581" i="3" s="1"/>
  <c r="M581" i="3" s="1"/>
  <c r="N581" i="3" s="1"/>
  <c r="O581" i="3" s="1"/>
  <c r="P581" i="3" s="1"/>
  <c r="I725" i="3"/>
  <c r="J725" i="3" s="1"/>
  <c r="K725" i="3" s="1"/>
  <c r="L725" i="3" s="1"/>
  <c r="M725" i="3" s="1"/>
  <c r="N725" i="3" s="1"/>
  <c r="O725" i="3" s="1"/>
  <c r="P725" i="3" s="1"/>
  <c r="I853" i="3"/>
  <c r="J853" i="3" s="1"/>
  <c r="K853" i="3" s="1"/>
  <c r="L853" i="3" s="1"/>
  <c r="M853" i="3" s="1"/>
  <c r="N853" i="3" s="1"/>
  <c r="O853" i="3" s="1"/>
  <c r="P853" i="3" s="1"/>
  <c r="I70" i="3"/>
  <c r="J70" i="3" s="1"/>
  <c r="K70" i="3" s="1"/>
  <c r="L70" i="3" s="1"/>
  <c r="M70" i="3" s="1"/>
  <c r="N70" i="3" s="1"/>
  <c r="O70" i="3" s="1"/>
  <c r="P70" i="3" s="1"/>
  <c r="I198" i="3"/>
  <c r="J198" i="3" s="1"/>
  <c r="K198" i="3" s="1"/>
  <c r="L198" i="3" s="1"/>
  <c r="M198" i="3" s="1"/>
  <c r="N198" i="3" s="1"/>
  <c r="O198" i="3" s="1"/>
  <c r="P198" i="3" s="1"/>
  <c r="I382" i="3"/>
  <c r="J382" i="3" s="1"/>
  <c r="K382" i="3" s="1"/>
  <c r="L382" i="3" s="1"/>
  <c r="M382" i="3" s="1"/>
  <c r="N382" i="3" s="1"/>
  <c r="O382" i="3" s="1"/>
  <c r="P382" i="3" s="1"/>
  <c r="I31" i="3"/>
  <c r="J31" i="3" s="1"/>
  <c r="K31" i="3" s="1"/>
  <c r="L31" i="3" s="1"/>
  <c r="M31" i="3" s="1"/>
  <c r="N31" i="3" s="1"/>
  <c r="O31" i="3" s="1"/>
  <c r="P31" i="3" s="1"/>
  <c r="I135" i="3"/>
  <c r="J135" i="3" s="1"/>
  <c r="K135" i="3" s="1"/>
  <c r="L135" i="3" s="1"/>
  <c r="M135" i="3" s="1"/>
  <c r="N135" i="3" s="1"/>
  <c r="O135" i="3" s="1"/>
  <c r="P135" i="3" s="1"/>
  <c r="I287" i="3"/>
  <c r="J287" i="3" s="1"/>
  <c r="K287" i="3" s="1"/>
  <c r="L287" i="3" s="1"/>
  <c r="M287" i="3" s="1"/>
  <c r="N287" i="3" s="1"/>
  <c r="O287" i="3" s="1"/>
  <c r="P287" i="3" s="1"/>
  <c r="I454" i="3"/>
  <c r="J454" i="3" s="1"/>
  <c r="K454" i="3" s="1"/>
  <c r="L454" i="3" s="1"/>
  <c r="M454" i="3" s="1"/>
  <c r="N454" i="3" s="1"/>
  <c r="O454" i="3" s="1"/>
  <c r="P454" i="3" s="1"/>
  <c r="I518" i="3"/>
  <c r="J518" i="3" s="1"/>
  <c r="K518" i="3" s="1"/>
  <c r="L518" i="3" s="1"/>
  <c r="M518" i="3" s="1"/>
  <c r="N518" i="3" s="1"/>
  <c r="O518" i="3" s="1"/>
  <c r="P518" i="3" s="1"/>
  <c r="I598" i="3"/>
  <c r="J598" i="3" s="1"/>
  <c r="K598" i="3" s="1"/>
  <c r="L598" i="3" s="1"/>
  <c r="M598" i="3" s="1"/>
  <c r="N598" i="3" s="1"/>
  <c r="O598" i="3" s="1"/>
  <c r="P598" i="3" s="1"/>
  <c r="I670" i="3"/>
  <c r="J670" i="3" s="1"/>
  <c r="K670" i="3" s="1"/>
  <c r="L670" i="3" s="1"/>
  <c r="M670" i="3" s="1"/>
  <c r="N670" i="3" s="1"/>
  <c r="O670" i="3" s="1"/>
  <c r="P670" i="3" s="1"/>
  <c r="I742" i="3"/>
  <c r="J742" i="3" s="1"/>
  <c r="K742" i="3" s="1"/>
  <c r="L742" i="3" s="1"/>
  <c r="M742" i="3" s="1"/>
  <c r="N742" i="3" s="1"/>
  <c r="O742" i="3" s="1"/>
  <c r="P742" i="3" s="1"/>
  <c r="I814" i="3"/>
  <c r="J814" i="3" s="1"/>
  <c r="K814" i="3" s="1"/>
  <c r="L814" i="3" s="1"/>
  <c r="M814" i="3" s="1"/>
  <c r="N814" i="3" s="1"/>
  <c r="O814" i="3" s="1"/>
  <c r="P814" i="3" s="1"/>
  <c r="I886" i="3"/>
  <c r="J886" i="3" s="1"/>
  <c r="K886" i="3" s="1"/>
  <c r="L886" i="3" s="1"/>
  <c r="M886" i="3" s="1"/>
  <c r="N886" i="3" s="1"/>
  <c r="O886" i="3" s="1"/>
  <c r="P886" i="3" s="1"/>
  <c r="I966" i="3"/>
  <c r="J966" i="3" s="1"/>
  <c r="K966" i="3" s="1"/>
  <c r="L966" i="3" s="1"/>
  <c r="M966" i="3" s="1"/>
  <c r="N966" i="3" s="1"/>
  <c r="O966" i="3" s="1"/>
  <c r="P966" i="3" s="1"/>
  <c r="I680" i="3"/>
  <c r="J680" i="3" s="1"/>
  <c r="K680" i="3" s="1"/>
  <c r="L680" i="3" s="1"/>
  <c r="M680" i="3" s="1"/>
  <c r="N680" i="3" s="1"/>
  <c r="O680" i="3" s="1"/>
  <c r="P680" i="3" s="1"/>
  <c r="I936" i="3"/>
  <c r="J936" i="3" s="1"/>
  <c r="K936" i="3" s="1"/>
  <c r="L936" i="3" s="1"/>
  <c r="M936" i="3" s="1"/>
  <c r="N936" i="3" s="1"/>
  <c r="O936" i="3" s="1"/>
  <c r="P936" i="3" s="1"/>
  <c r="I978" i="3"/>
  <c r="J978" i="3" s="1"/>
  <c r="K978" i="3" s="1"/>
  <c r="L978" i="3" s="1"/>
  <c r="M978" i="3" s="1"/>
  <c r="N978" i="3" s="1"/>
  <c r="O978" i="3" s="1"/>
  <c r="P978" i="3" s="1"/>
  <c r="I859" i="3"/>
  <c r="J859" i="3" s="1"/>
  <c r="K859" i="3" s="1"/>
  <c r="L859" i="3" s="1"/>
  <c r="M859" i="3" s="1"/>
  <c r="N859" i="3" s="1"/>
  <c r="O859" i="3" s="1"/>
  <c r="P859" i="3" s="1"/>
  <c r="I29" i="3"/>
  <c r="J29" i="3" s="1"/>
  <c r="K29" i="3" s="1"/>
  <c r="L29" i="3" s="1"/>
  <c r="M29" i="3" s="1"/>
  <c r="N29" i="3" s="1"/>
  <c r="O29" i="3" s="1"/>
  <c r="P29" i="3" s="1"/>
  <c r="Q77" i="3"/>
  <c r="R77" i="3" s="1"/>
  <c r="S77" i="3" s="1"/>
  <c r="Q117" i="3"/>
  <c r="R117" i="3" s="1"/>
  <c r="S117" i="3" s="1"/>
  <c r="I157" i="3"/>
  <c r="J157" i="3" s="1"/>
  <c r="K157" i="3" s="1"/>
  <c r="L157" i="3" s="1"/>
  <c r="M157" i="3" s="1"/>
  <c r="N157" i="3" s="1"/>
  <c r="O157" i="3" s="1"/>
  <c r="P157" i="3" s="1"/>
  <c r="Q205" i="3"/>
  <c r="R205" i="3" s="1"/>
  <c r="S205" i="3" s="1"/>
  <c r="Q245" i="3"/>
  <c r="R245" i="3" s="1"/>
  <c r="S245" i="3" s="1"/>
  <c r="I285" i="3"/>
  <c r="J285" i="3" s="1"/>
  <c r="K285" i="3" s="1"/>
  <c r="L285" i="3" s="1"/>
  <c r="M285" i="3" s="1"/>
  <c r="N285" i="3" s="1"/>
  <c r="O285" i="3" s="1"/>
  <c r="P285" i="3" s="1"/>
  <c r="Q333" i="3"/>
  <c r="R333" i="3" s="1"/>
  <c r="S333" i="3" s="1"/>
  <c r="Q373" i="3"/>
  <c r="R373" i="3" s="1"/>
  <c r="S373" i="3" s="1"/>
  <c r="I413" i="3"/>
  <c r="J413" i="3" s="1"/>
  <c r="K413" i="3" s="1"/>
  <c r="L413" i="3" s="1"/>
  <c r="M413" i="3" s="1"/>
  <c r="N413" i="3" s="1"/>
  <c r="O413" i="3" s="1"/>
  <c r="P413" i="3" s="1"/>
  <c r="Q461" i="3"/>
  <c r="R461" i="3" s="1"/>
  <c r="S461" i="3" s="1"/>
  <c r="Q501" i="3"/>
  <c r="R501" i="3" s="1"/>
  <c r="S501" i="3" s="1"/>
  <c r="I541" i="3"/>
  <c r="J541" i="3" s="1"/>
  <c r="K541" i="3" s="1"/>
  <c r="L541" i="3" s="1"/>
  <c r="M541" i="3" s="1"/>
  <c r="N541" i="3" s="1"/>
  <c r="O541" i="3" s="1"/>
  <c r="P541" i="3" s="1"/>
  <c r="Q589" i="3"/>
  <c r="R589" i="3" s="1"/>
  <c r="S589" i="3" s="1"/>
  <c r="Q629" i="3"/>
  <c r="R629" i="3" s="1"/>
  <c r="S629" i="3" s="1"/>
  <c r="I685" i="3"/>
  <c r="J685" i="3" s="1"/>
  <c r="K685" i="3" s="1"/>
  <c r="L685" i="3" s="1"/>
  <c r="M685" i="3" s="1"/>
  <c r="N685" i="3" s="1"/>
  <c r="O685" i="3" s="1"/>
  <c r="P685" i="3" s="1"/>
  <c r="Q733" i="3"/>
  <c r="R733" i="3" s="1"/>
  <c r="S733" i="3" s="1"/>
  <c r="Q773" i="3"/>
  <c r="R773" i="3" s="1"/>
  <c r="S773" i="3" s="1"/>
  <c r="I813" i="3"/>
  <c r="J813" i="3" s="1"/>
  <c r="K813" i="3" s="1"/>
  <c r="L813" i="3" s="1"/>
  <c r="M813" i="3" s="1"/>
  <c r="N813" i="3" s="1"/>
  <c r="O813" i="3" s="1"/>
  <c r="P813" i="3" s="1"/>
  <c r="Q861" i="3"/>
  <c r="R861" i="3" s="1"/>
  <c r="S861" i="3" s="1"/>
  <c r="I901" i="3"/>
  <c r="J901" i="3" s="1"/>
  <c r="K901" i="3" s="1"/>
  <c r="L901" i="3" s="1"/>
  <c r="M901" i="3" s="1"/>
  <c r="N901" i="3" s="1"/>
  <c r="O901" i="3" s="1"/>
  <c r="P901" i="3" s="1"/>
  <c r="I78" i="3"/>
  <c r="J78" i="3" s="1"/>
  <c r="K78" i="3" s="1"/>
  <c r="L78" i="3" s="1"/>
  <c r="M78" i="3" s="1"/>
  <c r="N78" i="3" s="1"/>
  <c r="O78" i="3" s="1"/>
  <c r="P78" i="3" s="1"/>
  <c r="I238" i="3"/>
  <c r="J238" i="3" s="1"/>
  <c r="K238" i="3" s="1"/>
  <c r="L238" i="3" s="1"/>
  <c r="M238" i="3" s="1"/>
  <c r="N238" i="3" s="1"/>
  <c r="O238" i="3" s="1"/>
  <c r="P238" i="3" s="1"/>
  <c r="I390" i="3"/>
  <c r="J390" i="3" s="1"/>
  <c r="K390" i="3" s="1"/>
  <c r="L390" i="3" s="1"/>
  <c r="M390" i="3" s="1"/>
  <c r="N390" i="3" s="1"/>
  <c r="O390" i="3" s="1"/>
  <c r="P390" i="3" s="1"/>
  <c r="I39" i="3"/>
  <c r="J39" i="3" s="1"/>
  <c r="K39" i="3" s="1"/>
  <c r="L39" i="3" s="1"/>
  <c r="M39" i="3" s="1"/>
  <c r="N39" i="3" s="1"/>
  <c r="O39" i="3" s="1"/>
  <c r="P39" i="3" s="1"/>
  <c r="I151" i="3"/>
  <c r="J151" i="3" s="1"/>
  <c r="K151" i="3" s="1"/>
  <c r="L151" i="3" s="1"/>
  <c r="M151" i="3" s="1"/>
  <c r="N151" i="3" s="1"/>
  <c r="O151" i="3" s="1"/>
  <c r="P151" i="3" s="1"/>
  <c r="I327" i="3"/>
  <c r="J327" i="3" s="1"/>
  <c r="K327" i="3" s="1"/>
  <c r="L327" i="3" s="1"/>
  <c r="M327" i="3" s="1"/>
  <c r="N327" i="3" s="1"/>
  <c r="O327" i="3" s="1"/>
  <c r="P327" i="3" s="1"/>
  <c r="I462" i="3"/>
  <c r="J462" i="3" s="1"/>
  <c r="K462" i="3" s="1"/>
  <c r="L462" i="3" s="1"/>
  <c r="M462" i="3" s="1"/>
  <c r="N462" i="3" s="1"/>
  <c r="O462" i="3" s="1"/>
  <c r="P462" i="3" s="1"/>
  <c r="I526" i="3"/>
  <c r="J526" i="3" s="1"/>
  <c r="K526" i="3" s="1"/>
  <c r="L526" i="3" s="1"/>
  <c r="M526" i="3" s="1"/>
  <c r="N526" i="3" s="1"/>
  <c r="O526" i="3" s="1"/>
  <c r="P526" i="3" s="1"/>
  <c r="I606" i="3"/>
  <c r="J606" i="3" s="1"/>
  <c r="K606" i="3" s="1"/>
  <c r="L606" i="3" s="1"/>
  <c r="M606" i="3" s="1"/>
  <c r="N606" i="3" s="1"/>
  <c r="O606" i="3" s="1"/>
  <c r="P606" i="3" s="1"/>
  <c r="I678" i="3"/>
  <c r="J678" i="3" s="1"/>
  <c r="K678" i="3" s="1"/>
  <c r="L678" i="3" s="1"/>
  <c r="M678" i="3" s="1"/>
  <c r="N678" i="3" s="1"/>
  <c r="O678" i="3" s="1"/>
  <c r="P678" i="3" s="1"/>
  <c r="I750" i="3"/>
  <c r="J750" i="3" s="1"/>
  <c r="K750" i="3" s="1"/>
  <c r="L750" i="3" s="1"/>
  <c r="M750" i="3" s="1"/>
  <c r="N750" i="3" s="1"/>
  <c r="O750" i="3" s="1"/>
  <c r="P750" i="3" s="1"/>
  <c r="I822" i="3"/>
  <c r="J822" i="3" s="1"/>
  <c r="K822" i="3" s="1"/>
  <c r="L822" i="3" s="1"/>
  <c r="M822" i="3" s="1"/>
  <c r="N822" i="3" s="1"/>
  <c r="O822" i="3" s="1"/>
  <c r="P822" i="3" s="1"/>
  <c r="I894" i="3"/>
  <c r="J894" i="3" s="1"/>
  <c r="K894" i="3" s="1"/>
  <c r="L894" i="3" s="1"/>
  <c r="M894" i="3" s="1"/>
  <c r="N894" i="3" s="1"/>
  <c r="O894" i="3" s="1"/>
  <c r="P894" i="3" s="1"/>
  <c r="I584" i="3"/>
  <c r="J584" i="3" s="1"/>
  <c r="K584" i="3" s="1"/>
  <c r="L584" i="3" s="1"/>
  <c r="M584" i="3" s="1"/>
  <c r="N584" i="3" s="1"/>
  <c r="O584" i="3" s="1"/>
  <c r="P584" i="3" s="1"/>
  <c r="I896" i="3"/>
  <c r="J896" i="3" s="1"/>
  <c r="K896" i="3" s="1"/>
  <c r="L896" i="3" s="1"/>
  <c r="M896" i="3" s="1"/>
  <c r="N896" i="3" s="1"/>
  <c r="O896" i="3" s="1"/>
  <c r="P896" i="3" s="1"/>
  <c r="I658" i="3"/>
  <c r="J658" i="3" s="1"/>
  <c r="K658" i="3" s="1"/>
  <c r="L658" i="3" s="1"/>
  <c r="M658" i="3" s="1"/>
  <c r="N658" i="3" s="1"/>
  <c r="O658" i="3" s="1"/>
  <c r="P658" i="3" s="1"/>
  <c r="I818" i="3"/>
  <c r="J818" i="3" s="1"/>
  <c r="K818" i="3" s="1"/>
  <c r="L818" i="3" s="1"/>
  <c r="M818" i="3" s="1"/>
  <c r="N818" i="3" s="1"/>
  <c r="O818" i="3" s="1"/>
  <c r="P818" i="3" s="1"/>
  <c r="I946" i="3"/>
  <c r="J946" i="3" s="1"/>
  <c r="K946" i="3" s="1"/>
  <c r="L946" i="3" s="1"/>
  <c r="M946" i="3" s="1"/>
  <c r="N946" i="3" s="1"/>
  <c r="O946" i="3" s="1"/>
  <c r="P946" i="3" s="1"/>
  <c r="I827" i="3"/>
  <c r="J827" i="3" s="1"/>
  <c r="K827" i="3" s="1"/>
  <c r="L827" i="3" s="1"/>
  <c r="M827" i="3" s="1"/>
  <c r="N827" i="3" s="1"/>
  <c r="O827" i="3" s="1"/>
  <c r="P827" i="3" s="1"/>
  <c r="Q33" i="3"/>
  <c r="R33" i="3" s="1"/>
  <c r="S33" i="3" s="1"/>
  <c r="Q89" i="3"/>
  <c r="R89" i="3" s="1"/>
  <c r="S89" i="3" s="1"/>
  <c r="Q145" i="3"/>
  <c r="R145" i="3" s="1"/>
  <c r="S145" i="3" s="1"/>
  <c r="Q249" i="3"/>
  <c r="R249" i="3" s="1"/>
  <c r="S249" i="3" s="1"/>
  <c r="Q329" i="3"/>
  <c r="R329" i="3" s="1"/>
  <c r="S329" i="3" s="1"/>
  <c r="Q401" i="3"/>
  <c r="R401" i="3" s="1"/>
  <c r="S401" i="3" s="1"/>
  <c r="Q34" i="3"/>
  <c r="R34" i="3" s="1"/>
  <c r="S34" i="3" s="1"/>
  <c r="Q66" i="3"/>
  <c r="R66" i="3" s="1"/>
  <c r="S66" i="3" s="1"/>
  <c r="Q98" i="3"/>
  <c r="R98" i="3" s="1"/>
  <c r="S98" i="3" s="1"/>
  <c r="Q130" i="3"/>
  <c r="R130" i="3" s="1"/>
  <c r="S130" i="3" s="1"/>
  <c r="Q162" i="3"/>
  <c r="R162" i="3" s="1"/>
  <c r="S162" i="3" s="1"/>
  <c r="Q194" i="3"/>
  <c r="R194" i="3" s="1"/>
  <c r="S194" i="3" s="1"/>
  <c r="Q226" i="3"/>
  <c r="R226" i="3" s="1"/>
  <c r="S226" i="3" s="1"/>
  <c r="Q258" i="3"/>
  <c r="R258" i="3" s="1"/>
  <c r="S258" i="3" s="1"/>
  <c r="Q290" i="3"/>
  <c r="R290" i="3" s="1"/>
  <c r="S290" i="3" s="1"/>
  <c r="Q322" i="3"/>
  <c r="R322" i="3" s="1"/>
  <c r="S322" i="3" s="1"/>
  <c r="Q354" i="3"/>
  <c r="R354" i="3" s="1"/>
  <c r="S354" i="3" s="1"/>
  <c r="Q386" i="3"/>
  <c r="R386" i="3" s="1"/>
  <c r="S386" i="3" s="1"/>
  <c r="Q418" i="3"/>
  <c r="R418" i="3" s="1"/>
  <c r="S418" i="3" s="1"/>
  <c r="Q450" i="3"/>
  <c r="R450" i="3" s="1"/>
  <c r="S450" i="3" s="1"/>
  <c r="Q482" i="3"/>
  <c r="R482" i="3" s="1"/>
  <c r="S482" i="3" s="1"/>
  <c r="Q514" i="3"/>
  <c r="R514" i="3" s="1"/>
  <c r="S514" i="3" s="1"/>
  <c r="Q546" i="3"/>
  <c r="R546" i="3" s="1"/>
  <c r="S546" i="3" s="1"/>
  <c r="Q578" i="3"/>
  <c r="R578" i="3" s="1"/>
  <c r="S578" i="3" s="1"/>
  <c r="Q610" i="3"/>
  <c r="R610" i="3" s="1"/>
  <c r="S610" i="3" s="1"/>
  <c r="Q35" i="3"/>
  <c r="R35" i="3" s="1"/>
  <c r="S35" i="3" s="1"/>
  <c r="Q67" i="3"/>
  <c r="R67" i="3" s="1"/>
  <c r="S67" i="3" s="1"/>
  <c r="Q99" i="3"/>
  <c r="R99" i="3" s="1"/>
  <c r="S99" i="3" s="1"/>
  <c r="Q131" i="3"/>
  <c r="R131" i="3" s="1"/>
  <c r="S131" i="3" s="1"/>
  <c r="Q163" i="3"/>
  <c r="R163" i="3" s="1"/>
  <c r="S163" i="3" s="1"/>
  <c r="Q195" i="3"/>
  <c r="R195" i="3" s="1"/>
  <c r="S195" i="3" s="1"/>
  <c r="Q227" i="3"/>
  <c r="R227" i="3" s="1"/>
  <c r="S227" i="3" s="1"/>
  <c r="Q259" i="3"/>
  <c r="R259" i="3" s="1"/>
  <c r="S259" i="3" s="1"/>
  <c r="Q291" i="3"/>
  <c r="R291" i="3" s="1"/>
  <c r="S291" i="3" s="1"/>
  <c r="Q323" i="3"/>
  <c r="R323" i="3" s="1"/>
  <c r="S323" i="3" s="1"/>
  <c r="Q355" i="3"/>
  <c r="R355" i="3" s="1"/>
  <c r="S355" i="3" s="1"/>
  <c r="Q387" i="3"/>
  <c r="R387" i="3" s="1"/>
  <c r="S387" i="3" s="1"/>
  <c r="Q419" i="3"/>
  <c r="R419" i="3" s="1"/>
  <c r="S419" i="3" s="1"/>
  <c r="Q451" i="3"/>
  <c r="R451" i="3" s="1"/>
  <c r="S451" i="3" s="1"/>
  <c r="Q483" i="3"/>
  <c r="R483" i="3" s="1"/>
  <c r="S483" i="3" s="1"/>
  <c r="Q515" i="3"/>
  <c r="R515" i="3" s="1"/>
  <c r="S515" i="3" s="1"/>
  <c r="Q547" i="3"/>
  <c r="R547" i="3" s="1"/>
  <c r="S547" i="3" s="1"/>
  <c r="Q579" i="3"/>
  <c r="R579" i="3" s="1"/>
  <c r="S579" i="3" s="1"/>
  <c r="Q611" i="3"/>
  <c r="R611" i="3" s="1"/>
  <c r="S611" i="3" s="1"/>
  <c r="I37" i="3"/>
  <c r="J37" i="3" s="1"/>
  <c r="K37" i="3" s="1"/>
  <c r="L37" i="3" s="1"/>
  <c r="M37" i="3" s="1"/>
  <c r="N37" i="3" s="1"/>
  <c r="O37" i="3" s="1"/>
  <c r="P37" i="3" s="1"/>
  <c r="I165" i="3"/>
  <c r="J165" i="3" s="1"/>
  <c r="K165" i="3" s="1"/>
  <c r="L165" i="3" s="1"/>
  <c r="M165" i="3" s="1"/>
  <c r="N165" i="3" s="1"/>
  <c r="O165" i="3" s="1"/>
  <c r="P165" i="3" s="1"/>
  <c r="I293" i="3"/>
  <c r="J293" i="3" s="1"/>
  <c r="K293" i="3" s="1"/>
  <c r="L293" i="3" s="1"/>
  <c r="M293" i="3" s="1"/>
  <c r="N293" i="3" s="1"/>
  <c r="O293" i="3" s="1"/>
  <c r="P293" i="3" s="1"/>
  <c r="I421" i="3"/>
  <c r="J421" i="3" s="1"/>
  <c r="K421" i="3" s="1"/>
  <c r="L421" i="3" s="1"/>
  <c r="M421" i="3" s="1"/>
  <c r="N421" i="3" s="1"/>
  <c r="O421" i="3" s="1"/>
  <c r="P421" i="3" s="1"/>
  <c r="I549" i="3"/>
  <c r="J549" i="3" s="1"/>
  <c r="K549" i="3" s="1"/>
  <c r="L549" i="3" s="1"/>
  <c r="M549" i="3" s="1"/>
  <c r="N549" i="3" s="1"/>
  <c r="O549" i="3" s="1"/>
  <c r="P549" i="3" s="1"/>
  <c r="I693" i="3"/>
  <c r="J693" i="3" s="1"/>
  <c r="K693" i="3" s="1"/>
  <c r="L693" i="3" s="1"/>
  <c r="M693" i="3" s="1"/>
  <c r="N693" i="3" s="1"/>
  <c r="O693" i="3" s="1"/>
  <c r="P693" i="3" s="1"/>
  <c r="I821" i="3"/>
  <c r="J821" i="3" s="1"/>
  <c r="K821" i="3" s="1"/>
  <c r="L821" i="3" s="1"/>
  <c r="M821" i="3" s="1"/>
  <c r="N821" i="3" s="1"/>
  <c r="O821" i="3" s="1"/>
  <c r="P821" i="3" s="1"/>
  <c r="I909" i="3"/>
  <c r="J909" i="3" s="1"/>
  <c r="K909" i="3" s="1"/>
  <c r="L909" i="3" s="1"/>
  <c r="M909" i="3" s="1"/>
  <c r="N909" i="3" s="1"/>
  <c r="O909" i="3" s="1"/>
  <c r="P909" i="3" s="1"/>
  <c r="I86" i="3"/>
  <c r="J86" i="3" s="1"/>
  <c r="K86" i="3" s="1"/>
  <c r="L86" i="3" s="1"/>
  <c r="M86" i="3" s="1"/>
  <c r="N86" i="3" s="1"/>
  <c r="O86" i="3" s="1"/>
  <c r="P86" i="3" s="1"/>
  <c r="I254" i="3"/>
  <c r="J254" i="3" s="1"/>
  <c r="K254" i="3" s="1"/>
  <c r="L254" i="3" s="1"/>
  <c r="M254" i="3" s="1"/>
  <c r="N254" i="3" s="1"/>
  <c r="O254" i="3" s="1"/>
  <c r="P254" i="3" s="1"/>
  <c r="I47" i="3"/>
  <c r="J47" i="3" s="1"/>
  <c r="K47" i="3" s="1"/>
  <c r="L47" i="3" s="1"/>
  <c r="M47" i="3" s="1"/>
  <c r="N47" i="3" s="1"/>
  <c r="O47" i="3" s="1"/>
  <c r="P47" i="3" s="1"/>
  <c r="I159" i="3"/>
  <c r="J159" i="3" s="1"/>
  <c r="K159" i="3" s="1"/>
  <c r="L159" i="3" s="1"/>
  <c r="M159" i="3" s="1"/>
  <c r="N159" i="3" s="1"/>
  <c r="O159" i="3" s="1"/>
  <c r="P159" i="3" s="1"/>
  <c r="I343" i="3"/>
  <c r="J343" i="3" s="1"/>
  <c r="K343" i="3" s="1"/>
  <c r="L343" i="3" s="1"/>
  <c r="M343" i="3" s="1"/>
  <c r="N343" i="3" s="1"/>
  <c r="O343" i="3" s="1"/>
  <c r="P343" i="3" s="1"/>
  <c r="I470" i="3"/>
  <c r="J470" i="3" s="1"/>
  <c r="K470" i="3" s="1"/>
  <c r="L470" i="3" s="1"/>
  <c r="M470" i="3" s="1"/>
  <c r="N470" i="3" s="1"/>
  <c r="O470" i="3" s="1"/>
  <c r="P470" i="3" s="1"/>
  <c r="I534" i="3"/>
  <c r="J534" i="3" s="1"/>
  <c r="K534" i="3" s="1"/>
  <c r="L534" i="3" s="1"/>
  <c r="M534" i="3" s="1"/>
  <c r="N534" i="3" s="1"/>
  <c r="O534" i="3" s="1"/>
  <c r="P534" i="3" s="1"/>
  <c r="I614" i="3"/>
  <c r="J614" i="3" s="1"/>
  <c r="K614" i="3" s="1"/>
  <c r="L614" i="3" s="1"/>
  <c r="M614" i="3" s="1"/>
  <c r="N614" i="3" s="1"/>
  <c r="O614" i="3" s="1"/>
  <c r="P614" i="3" s="1"/>
  <c r="I686" i="3"/>
  <c r="J686" i="3" s="1"/>
  <c r="K686" i="3" s="1"/>
  <c r="L686" i="3" s="1"/>
  <c r="M686" i="3" s="1"/>
  <c r="N686" i="3" s="1"/>
  <c r="O686" i="3" s="1"/>
  <c r="P686" i="3" s="1"/>
  <c r="I758" i="3"/>
  <c r="J758" i="3" s="1"/>
  <c r="K758" i="3" s="1"/>
  <c r="L758" i="3" s="1"/>
  <c r="M758" i="3" s="1"/>
  <c r="N758" i="3" s="1"/>
  <c r="O758" i="3" s="1"/>
  <c r="P758" i="3" s="1"/>
  <c r="I830" i="3"/>
  <c r="J830" i="3" s="1"/>
  <c r="K830" i="3" s="1"/>
  <c r="L830" i="3" s="1"/>
  <c r="M830" i="3" s="1"/>
  <c r="N830" i="3" s="1"/>
  <c r="O830" i="3" s="1"/>
  <c r="P830" i="3" s="1"/>
  <c r="I64" i="3"/>
  <c r="J64" i="3" s="1"/>
  <c r="K64" i="3" s="1"/>
  <c r="L64" i="3" s="1"/>
  <c r="M64" i="3" s="1"/>
  <c r="N64" i="3" s="1"/>
  <c r="O64" i="3" s="1"/>
  <c r="P64" i="3" s="1"/>
  <c r="I128" i="3"/>
  <c r="J128" i="3" s="1"/>
  <c r="K128" i="3" s="1"/>
  <c r="L128" i="3" s="1"/>
  <c r="M128" i="3" s="1"/>
  <c r="N128" i="3" s="1"/>
  <c r="O128" i="3" s="1"/>
  <c r="P128" i="3" s="1"/>
  <c r="I192" i="3"/>
  <c r="J192" i="3" s="1"/>
  <c r="K192" i="3" s="1"/>
  <c r="L192" i="3" s="1"/>
  <c r="M192" i="3" s="1"/>
  <c r="N192" i="3" s="1"/>
  <c r="O192" i="3" s="1"/>
  <c r="P192" i="3" s="1"/>
  <c r="I264" i="3"/>
  <c r="J264" i="3" s="1"/>
  <c r="K264" i="3" s="1"/>
  <c r="L264" i="3" s="1"/>
  <c r="M264" i="3" s="1"/>
  <c r="N264" i="3" s="1"/>
  <c r="O264" i="3" s="1"/>
  <c r="P264" i="3" s="1"/>
  <c r="I328" i="3"/>
  <c r="J328" i="3" s="1"/>
  <c r="K328" i="3" s="1"/>
  <c r="L328" i="3" s="1"/>
  <c r="M328" i="3" s="1"/>
  <c r="N328" i="3" s="1"/>
  <c r="O328" i="3" s="1"/>
  <c r="P328" i="3" s="1"/>
  <c r="I408" i="3"/>
  <c r="J408" i="3" s="1"/>
  <c r="K408" i="3" s="1"/>
  <c r="L408" i="3" s="1"/>
  <c r="M408" i="3" s="1"/>
  <c r="N408" i="3" s="1"/>
  <c r="O408" i="3" s="1"/>
  <c r="P408" i="3" s="1"/>
  <c r="I488" i="3"/>
  <c r="J488" i="3" s="1"/>
  <c r="K488" i="3" s="1"/>
  <c r="L488" i="3" s="1"/>
  <c r="M488" i="3" s="1"/>
  <c r="N488" i="3" s="1"/>
  <c r="O488" i="3" s="1"/>
  <c r="P488" i="3" s="1"/>
  <c r="I864" i="3"/>
  <c r="J864" i="3" s="1"/>
  <c r="K864" i="3" s="1"/>
  <c r="L864" i="3" s="1"/>
  <c r="M864" i="3" s="1"/>
  <c r="N864" i="3" s="1"/>
  <c r="O864" i="3" s="1"/>
  <c r="P864" i="3" s="1"/>
  <c r="I722" i="3"/>
  <c r="J722" i="3" s="1"/>
  <c r="K722" i="3" s="1"/>
  <c r="L722" i="3" s="1"/>
  <c r="M722" i="3" s="1"/>
  <c r="N722" i="3" s="1"/>
  <c r="O722" i="3" s="1"/>
  <c r="P722" i="3" s="1"/>
  <c r="I914" i="3"/>
  <c r="J914" i="3" s="1"/>
  <c r="K914" i="3" s="1"/>
  <c r="L914" i="3" s="1"/>
  <c r="M914" i="3" s="1"/>
  <c r="N914" i="3" s="1"/>
  <c r="O914" i="3" s="1"/>
  <c r="P914" i="3" s="1"/>
  <c r="Q914" i="3" s="1"/>
  <c r="R914" i="3" s="1"/>
  <c r="S914" i="3" s="1"/>
  <c r="I795" i="3"/>
  <c r="J795" i="3" s="1"/>
  <c r="K795" i="3" s="1"/>
  <c r="L795" i="3" s="1"/>
  <c r="M795" i="3" s="1"/>
  <c r="N795" i="3" s="1"/>
  <c r="O795" i="3" s="1"/>
  <c r="P795" i="3" s="1"/>
  <c r="Q934" i="3"/>
  <c r="R934" i="3" s="1"/>
  <c r="S934" i="3" s="1"/>
  <c r="Q974" i="3"/>
  <c r="R974" i="3" s="1"/>
  <c r="S974" i="3" s="1"/>
  <c r="Q8" i="3"/>
  <c r="R8" i="3" s="1"/>
  <c r="S8" i="3" s="1"/>
  <c r="Q40" i="3"/>
  <c r="R40" i="3" s="1"/>
  <c r="S40" i="3" s="1"/>
  <c r="Q72" i="3"/>
  <c r="R72" i="3" s="1"/>
  <c r="S72" i="3" s="1"/>
  <c r="Q104" i="3"/>
  <c r="R104" i="3" s="1"/>
  <c r="S104" i="3" s="1"/>
  <c r="Q136" i="3"/>
  <c r="R136" i="3" s="1"/>
  <c r="S136" i="3" s="1"/>
  <c r="Q168" i="3"/>
  <c r="R168" i="3" s="1"/>
  <c r="S168" i="3" s="1"/>
  <c r="Q208" i="3"/>
  <c r="R208" i="3" s="1"/>
  <c r="S208" i="3" s="1"/>
  <c r="Q240" i="3"/>
  <c r="R240" i="3" s="1"/>
  <c r="S240" i="3" s="1"/>
  <c r="Q272" i="3"/>
  <c r="R272" i="3" s="1"/>
  <c r="S272" i="3" s="1"/>
  <c r="Q304" i="3"/>
  <c r="R304" i="3" s="1"/>
  <c r="S304" i="3" s="1"/>
  <c r="Q336" i="3"/>
  <c r="R336" i="3" s="1"/>
  <c r="S336" i="3" s="1"/>
  <c r="Q376" i="3"/>
  <c r="R376" i="3" s="1"/>
  <c r="S376" i="3" s="1"/>
  <c r="Q416" i="3"/>
  <c r="R416" i="3" s="1"/>
  <c r="S416" i="3" s="1"/>
  <c r="Q456" i="3"/>
  <c r="R456" i="3" s="1"/>
  <c r="S456" i="3" s="1"/>
  <c r="Q496" i="3"/>
  <c r="R496" i="3" s="1"/>
  <c r="S496" i="3" s="1"/>
  <c r="Q528" i="3"/>
  <c r="R528" i="3" s="1"/>
  <c r="S528" i="3" s="1"/>
  <c r="Q560" i="3"/>
  <c r="R560" i="3" s="1"/>
  <c r="S560" i="3" s="1"/>
  <c r="Q592" i="3"/>
  <c r="R592" i="3" s="1"/>
  <c r="S592" i="3" s="1"/>
  <c r="Q624" i="3"/>
  <c r="R624" i="3" s="1"/>
  <c r="S624" i="3" s="1"/>
  <c r="Q634" i="3"/>
  <c r="R634" i="3" s="1"/>
  <c r="S634" i="3" s="1"/>
  <c r="Q666" i="3"/>
  <c r="R666" i="3" s="1"/>
  <c r="S666" i="3" s="1"/>
  <c r="Q698" i="3"/>
  <c r="R698" i="3" s="1"/>
  <c r="S698" i="3" s="1"/>
  <c r="Q730" i="3"/>
  <c r="R730" i="3" s="1"/>
  <c r="S730" i="3" s="1"/>
  <c r="Q762" i="3"/>
  <c r="R762" i="3" s="1"/>
  <c r="S762" i="3" s="1"/>
  <c r="Q794" i="3"/>
  <c r="R794" i="3" s="1"/>
  <c r="S794" i="3" s="1"/>
  <c r="Q826" i="3"/>
  <c r="R826" i="3" s="1"/>
  <c r="S826" i="3" s="1"/>
  <c r="Q858" i="3"/>
  <c r="R858" i="3" s="1"/>
  <c r="S858" i="3" s="1"/>
  <c r="Q433" i="3"/>
  <c r="R433" i="3" s="1"/>
  <c r="S433" i="3" s="1"/>
  <c r="Q465" i="3"/>
  <c r="R465" i="3" s="1"/>
  <c r="S465" i="3" s="1"/>
  <c r="Q497" i="3"/>
  <c r="R497" i="3" s="1"/>
  <c r="S497" i="3" s="1"/>
  <c r="Q529" i="3"/>
  <c r="R529" i="3" s="1"/>
  <c r="S529" i="3" s="1"/>
  <c r="Q561" i="3"/>
  <c r="R561" i="3" s="1"/>
  <c r="S561" i="3" s="1"/>
  <c r="Q593" i="3"/>
  <c r="R593" i="3" s="1"/>
  <c r="S593" i="3" s="1"/>
  <c r="Q633" i="3"/>
  <c r="R633" i="3" s="1"/>
  <c r="S633" i="3" s="1"/>
  <c r="Q460" i="3"/>
  <c r="R460" i="3" s="1"/>
  <c r="S460" i="3" s="1"/>
  <c r="Q492" i="3"/>
  <c r="R492" i="3" s="1"/>
  <c r="S492" i="3" s="1"/>
  <c r="Q532" i="3"/>
  <c r="R532" i="3" s="1"/>
  <c r="S532" i="3" s="1"/>
  <c r="Q564" i="3"/>
  <c r="R564" i="3" s="1"/>
  <c r="S564" i="3" s="1"/>
  <c r="Q596" i="3"/>
  <c r="R596" i="3" s="1"/>
  <c r="S596" i="3" s="1"/>
  <c r="Q628" i="3"/>
  <c r="R628" i="3" s="1"/>
  <c r="S628" i="3" s="1"/>
  <c r="Q668" i="3"/>
  <c r="R668" i="3" s="1"/>
  <c r="S668" i="3" s="1"/>
  <c r="Q708" i="3"/>
  <c r="R708" i="3" s="1"/>
  <c r="S708" i="3" s="1"/>
  <c r="Q740" i="3"/>
  <c r="R740" i="3" s="1"/>
  <c r="S740" i="3" s="1"/>
  <c r="Q780" i="3"/>
  <c r="R780" i="3" s="1"/>
  <c r="S780" i="3" s="1"/>
  <c r="Q812" i="3"/>
  <c r="R812" i="3" s="1"/>
  <c r="S812" i="3" s="1"/>
  <c r="Q852" i="3"/>
  <c r="R852" i="3" s="1"/>
  <c r="S852" i="3" s="1"/>
  <c r="Q884" i="3"/>
  <c r="R884" i="3" s="1"/>
  <c r="S884" i="3" s="1"/>
  <c r="Q924" i="3"/>
  <c r="R924" i="3" s="1"/>
  <c r="S924" i="3" s="1"/>
  <c r="Q956" i="3"/>
  <c r="R956" i="3" s="1"/>
  <c r="S956" i="3" s="1"/>
  <c r="Q988" i="3"/>
  <c r="R988" i="3" s="1"/>
  <c r="S988" i="3" s="1"/>
  <c r="Q902" i="3"/>
  <c r="R902" i="3" s="1"/>
  <c r="S902" i="3" s="1"/>
  <c r="Q950" i="3"/>
  <c r="R950" i="3" s="1"/>
  <c r="S950" i="3" s="1"/>
  <c r="Q982" i="3"/>
  <c r="R982" i="3" s="1"/>
  <c r="S982" i="3" s="1"/>
  <c r="Q16" i="3"/>
  <c r="R16" i="3" s="1"/>
  <c r="S16" i="3" s="1"/>
  <c r="Q48" i="3"/>
  <c r="R48" i="3" s="1"/>
  <c r="S48" i="3" s="1"/>
  <c r="Q80" i="3"/>
  <c r="R80" i="3" s="1"/>
  <c r="S80" i="3" s="1"/>
  <c r="Q112" i="3"/>
  <c r="R112" i="3" s="1"/>
  <c r="S112" i="3" s="1"/>
  <c r="Q144" i="3"/>
  <c r="R144" i="3" s="1"/>
  <c r="S144" i="3" s="1"/>
  <c r="Q176" i="3"/>
  <c r="R176" i="3" s="1"/>
  <c r="S176" i="3" s="1"/>
  <c r="Q216" i="3"/>
  <c r="R216" i="3" s="1"/>
  <c r="S216" i="3" s="1"/>
  <c r="Q248" i="3"/>
  <c r="R248" i="3" s="1"/>
  <c r="S248" i="3" s="1"/>
  <c r="Q280" i="3"/>
  <c r="R280" i="3" s="1"/>
  <c r="S280" i="3" s="1"/>
  <c r="Q312" i="3"/>
  <c r="R312" i="3" s="1"/>
  <c r="S312" i="3" s="1"/>
  <c r="Q352" i="3"/>
  <c r="R352" i="3" s="1"/>
  <c r="S352" i="3" s="1"/>
  <c r="Q392" i="3"/>
  <c r="R392" i="3" s="1"/>
  <c r="S392" i="3" s="1"/>
  <c r="Q432" i="3"/>
  <c r="R432" i="3" s="1"/>
  <c r="S432" i="3" s="1"/>
  <c r="Q472" i="3"/>
  <c r="R472" i="3" s="1"/>
  <c r="S472" i="3" s="1"/>
  <c r="Q504" i="3"/>
  <c r="R504" i="3" s="1"/>
  <c r="S504" i="3" s="1"/>
  <c r="Q536" i="3"/>
  <c r="R536" i="3" s="1"/>
  <c r="S536" i="3" s="1"/>
  <c r="Q568" i="3"/>
  <c r="R568" i="3" s="1"/>
  <c r="S568" i="3" s="1"/>
  <c r="Q600" i="3"/>
  <c r="R600" i="3" s="1"/>
  <c r="S600" i="3" s="1"/>
  <c r="Q632" i="3"/>
  <c r="R632" i="3" s="1"/>
  <c r="S632" i="3" s="1"/>
  <c r="Q664" i="3"/>
  <c r="R664" i="3" s="1"/>
  <c r="S664" i="3" s="1"/>
  <c r="Q696" i="3"/>
  <c r="R696" i="3" s="1"/>
  <c r="S696" i="3" s="1"/>
  <c r="Q642" i="3"/>
  <c r="R642" i="3" s="1"/>
  <c r="S642" i="3" s="1"/>
  <c r="Q674" i="3"/>
  <c r="R674" i="3" s="1"/>
  <c r="S674" i="3" s="1"/>
  <c r="Q706" i="3"/>
  <c r="R706" i="3" s="1"/>
  <c r="S706" i="3" s="1"/>
  <c r="Q738" i="3"/>
  <c r="R738" i="3" s="1"/>
  <c r="S738" i="3" s="1"/>
  <c r="Q770" i="3"/>
  <c r="R770" i="3" s="1"/>
  <c r="S770" i="3" s="1"/>
  <c r="Q802" i="3"/>
  <c r="R802" i="3" s="1"/>
  <c r="S802" i="3" s="1"/>
  <c r="Q834" i="3"/>
  <c r="R834" i="3" s="1"/>
  <c r="S834" i="3" s="1"/>
  <c r="Q866" i="3"/>
  <c r="R866" i="3" s="1"/>
  <c r="S866" i="3" s="1"/>
  <c r="Q439" i="3"/>
  <c r="R439" i="3" s="1"/>
  <c r="S439" i="3" s="1"/>
  <c r="Q441" i="3"/>
  <c r="R441" i="3" s="1"/>
  <c r="S441" i="3" s="1"/>
  <c r="Q473" i="3"/>
  <c r="R473" i="3" s="1"/>
  <c r="S473" i="3" s="1"/>
  <c r="Q505" i="3"/>
  <c r="R505" i="3" s="1"/>
  <c r="S505" i="3" s="1"/>
  <c r="Q537" i="3"/>
  <c r="R537" i="3" s="1"/>
  <c r="S537" i="3" s="1"/>
  <c r="Q569" i="3"/>
  <c r="R569" i="3" s="1"/>
  <c r="S569" i="3" s="1"/>
  <c r="Q601" i="3"/>
  <c r="R601" i="3" s="1"/>
  <c r="S601" i="3" s="1"/>
  <c r="Q641" i="3"/>
  <c r="R641" i="3" s="1"/>
  <c r="S641" i="3" s="1"/>
  <c r="Q673" i="3"/>
  <c r="R673" i="3" s="1"/>
  <c r="S673" i="3" s="1"/>
  <c r="Q705" i="3"/>
  <c r="R705" i="3" s="1"/>
  <c r="S705" i="3" s="1"/>
  <c r="Q745" i="3"/>
  <c r="R745" i="3" s="1"/>
  <c r="S745" i="3" s="1"/>
  <c r="Q777" i="3"/>
  <c r="R777" i="3" s="1"/>
  <c r="S777" i="3" s="1"/>
  <c r="Q817" i="3"/>
  <c r="R817" i="3" s="1"/>
  <c r="S817" i="3" s="1"/>
  <c r="Q849" i="3"/>
  <c r="R849" i="3" s="1"/>
  <c r="S849" i="3" s="1"/>
  <c r="Q889" i="3"/>
  <c r="R889" i="3" s="1"/>
  <c r="S889" i="3" s="1"/>
  <c r="Q921" i="3"/>
  <c r="R921" i="3" s="1"/>
  <c r="S921" i="3" s="1"/>
  <c r="Q961" i="3"/>
  <c r="R961" i="3" s="1"/>
  <c r="S961" i="3" s="1"/>
  <c r="Q468" i="3"/>
  <c r="R468" i="3" s="1"/>
  <c r="S468" i="3" s="1"/>
  <c r="Q500" i="3"/>
  <c r="R500" i="3" s="1"/>
  <c r="S500" i="3" s="1"/>
  <c r="Q540" i="3"/>
  <c r="R540" i="3" s="1"/>
  <c r="S540" i="3" s="1"/>
  <c r="Q572" i="3"/>
  <c r="R572" i="3" s="1"/>
  <c r="S572" i="3" s="1"/>
  <c r="Q604" i="3"/>
  <c r="R604" i="3" s="1"/>
  <c r="S604" i="3" s="1"/>
  <c r="Q636" i="3"/>
  <c r="R636" i="3" s="1"/>
  <c r="S636" i="3" s="1"/>
  <c r="Q676" i="3"/>
  <c r="R676" i="3" s="1"/>
  <c r="S676" i="3" s="1"/>
  <c r="Q716" i="3"/>
  <c r="R716" i="3" s="1"/>
  <c r="S716" i="3" s="1"/>
  <c r="Q748" i="3"/>
  <c r="R748" i="3" s="1"/>
  <c r="S748" i="3" s="1"/>
  <c r="Q788" i="3"/>
  <c r="R788" i="3" s="1"/>
  <c r="S788" i="3" s="1"/>
  <c r="Q820" i="3"/>
  <c r="R820" i="3" s="1"/>
  <c r="S820" i="3" s="1"/>
  <c r="Q860" i="3"/>
  <c r="R860" i="3" s="1"/>
  <c r="S860" i="3" s="1"/>
  <c r="Q900" i="3"/>
  <c r="R900" i="3" s="1"/>
  <c r="S900" i="3" s="1"/>
  <c r="Q932" i="3"/>
  <c r="R932" i="3" s="1"/>
  <c r="S932" i="3" s="1"/>
  <c r="Q964" i="3"/>
  <c r="R964" i="3" s="1"/>
  <c r="S964" i="3" s="1"/>
  <c r="Q996" i="3"/>
  <c r="R996" i="3" s="1"/>
  <c r="S996" i="3" s="1"/>
  <c r="Q910" i="3"/>
  <c r="R910" i="3" s="1"/>
  <c r="S910" i="3" s="1"/>
  <c r="Q958" i="3"/>
  <c r="R958" i="3" s="1"/>
  <c r="S958" i="3" s="1"/>
  <c r="Q990" i="3"/>
  <c r="R990" i="3" s="1"/>
  <c r="S990" i="3" s="1"/>
  <c r="Q24" i="3"/>
  <c r="R24" i="3" s="1"/>
  <c r="S24" i="3" s="1"/>
  <c r="Q56" i="3"/>
  <c r="R56" i="3" s="1"/>
  <c r="S56" i="3" s="1"/>
  <c r="Q88" i="3"/>
  <c r="R88" i="3" s="1"/>
  <c r="S88" i="3" s="1"/>
  <c r="Q120" i="3"/>
  <c r="R120" i="3" s="1"/>
  <c r="S120" i="3" s="1"/>
  <c r="Q152" i="3"/>
  <c r="R152" i="3" s="1"/>
  <c r="S152" i="3" s="1"/>
  <c r="Q184" i="3"/>
  <c r="R184" i="3" s="1"/>
  <c r="S184" i="3" s="1"/>
  <c r="Q224" i="3"/>
  <c r="R224" i="3" s="1"/>
  <c r="S224" i="3" s="1"/>
  <c r="Q256" i="3"/>
  <c r="R256" i="3" s="1"/>
  <c r="S256" i="3" s="1"/>
  <c r="Q288" i="3"/>
  <c r="R288" i="3" s="1"/>
  <c r="S288" i="3" s="1"/>
  <c r="Q320" i="3"/>
  <c r="R320" i="3" s="1"/>
  <c r="S320" i="3" s="1"/>
  <c r="Q360" i="3"/>
  <c r="R360" i="3" s="1"/>
  <c r="S360" i="3" s="1"/>
  <c r="Q400" i="3"/>
  <c r="R400" i="3" s="1"/>
  <c r="S400" i="3" s="1"/>
  <c r="Q440" i="3"/>
  <c r="R440" i="3" s="1"/>
  <c r="S440" i="3" s="1"/>
  <c r="Q480" i="3"/>
  <c r="R480" i="3" s="1"/>
  <c r="S480" i="3" s="1"/>
  <c r="Q618" i="3"/>
  <c r="R618" i="3" s="1"/>
  <c r="S618" i="3" s="1"/>
  <c r="Q650" i="3"/>
  <c r="R650" i="3" s="1"/>
  <c r="S650" i="3" s="1"/>
  <c r="Q682" i="3"/>
  <c r="R682" i="3" s="1"/>
  <c r="S682" i="3" s="1"/>
  <c r="Q417" i="3"/>
  <c r="R417" i="3" s="1"/>
  <c r="S417" i="3" s="1"/>
  <c r="Q449" i="3"/>
  <c r="R449" i="3" s="1"/>
  <c r="S449" i="3" s="1"/>
  <c r="Q481" i="3"/>
  <c r="R481" i="3" s="1"/>
  <c r="S481" i="3" s="1"/>
  <c r="Q513" i="3"/>
  <c r="R513" i="3" s="1"/>
  <c r="S513" i="3" s="1"/>
  <c r="Q545" i="3"/>
  <c r="R545" i="3" s="1"/>
  <c r="S545" i="3" s="1"/>
  <c r="Q577" i="3"/>
  <c r="R577" i="3" s="1"/>
  <c r="S577" i="3" s="1"/>
  <c r="Q617" i="3"/>
  <c r="R617" i="3" s="1"/>
  <c r="S617" i="3" s="1"/>
  <c r="Q649" i="3"/>
  <c r="R649" i="3" s="1"/>
  <c r="S649" i="3" s="1"/>
  <c r="Q681" i="3"/>
  <c r="R681" i="3" s="1"/>
  <c r="S681" i="3" s="1"/>
  <c r="Q713" i="3"/>
  <c r="R713" i="3" s="1"/>
  <c r="S713" i="3" s="1"/>
  <c r="Q753" i="3"/>
  <c r="R753" i="3" s="1"/>
  <c r="S753" i="3" s="1"/>
  <c r="Q785" i="3"/>
  <c r="R785" i="3" s="1"/>
  <c r="S785" i="3" s="1"/>
  <c r="Q825" i="3"/>
  <c r="R825" i="3" s="1"/>
  <c r="S825" i="3" s="1"/>
  <c r="Q857" i="3"/>
  <c r="R857" i="3" s="1"/>
  <c r="S857" i="3" s="1"/>
  <c r="Q897" i="3"/>
  <c r="R897" i="3" s="1"/>
  <c r="S897" i="3" s="1"/>
  <c r="Q937" i="3"/>
  <c r="R937" i="3" s="1"/>
  <c r="S937" i="3" s="1"/>
  <c r="Q444" i="3"/>
  <c r="R444" i="3" s="1"/>
  <c r="S444" i="3" s="1"/>
  <c r="Q476" i="3"/>
  <c r="R476" i="3" s="1"/>
  <c r="S476" i="3" s="1"/>
  <c r="Q516" i="3"/>
  <c r="R516" i="3" s="1"/>
  <c r="S516" i="3" s="1"/>
  <c r="Q548" i="3"/>
  <c r="R548" i="3" s="1"/>
  <c r="S548" i="3" s="1"/>
  <c r="Q580" i="3"/>
  <c r="R580" i="3" s="1"/>
  <c r="S580" i="3" s="1"/>
  <c r="Q612" i="3"/>
  <c r="R612" i="3" s="1"/>
  <c r="S612" i="3" s="1"/>
  <c r="Q644" i="3"/>
  <c r="R644" i="3" s="1"/>
  <c r="S644" i="3" s="1"/>
  <c r="Q684" i="3"/>
  <c r="R684" i="3" s="1"/>
  <c r="S684" i="3" s="1"/>
  <c r="Q724" i="3"/>
  <c r="R724" i="3" s="1"/>
  <c r="S724" i="3" s="1"/>
  <c r="Q756" i="3"/>
  <c r="R756" i="3" s="1"/>
  <c r="S756" i="3" s="1"/>
  <c r="Q796" i="3"/>
  <c r="R796" i="3" s="1"/>
  <c r="S796" i="3" s="1"/>
  <c r="Q836" i="3"/>
  <c r="R836" i="3" s="1"/>
  <c r="S836" i="3" s="1"/>
  <c r="Q868" i="3"/>
  <c r="R868" i="3" s="1"/>
  <c r="S868" i="3" s="1"/>
  <c r="Q908" i="3"/>
  <c r="R908" i="3" s="1"/>
  <c r="S908" i="3" s="1"/>
  <c r="Q940" i="3"/>
  <c r="R940" i="3" s="1"/>
  <c r="S940" i="3" s="1"/>
  <c r="Q972" i="3"/>
  <c r="R972" i="3" s="1"/>
  <c r="S972" i="3" s="1"/>
  <c r="Q1004" i="3"/>
  <c r="R1004" i="3" s="1"/>
  <c r="S1004" i="3" s="1"/>
  <c r="Q225" i="2"/>
  <c r="R225" i="2" s="1"/>
  <c r="S225" i="2" s="1"/>
  <c r="Q256" i="2"/>
  <c r="R256" i="2" s="1"/>
  <c r="S256" i="2" s="1"/>
  <c r="Q781" i="2"/>
  <c r="R781" i="2" s="1"/>
  <c r="S781" i="2" s="1"/>
  <c r="Q25" i="2"/>
  <c r="R25" i="2" s="1"/>
  <c r="S25" i="2" s="1"/>
  <c r="Q479" i="2"/>
  <c r="R479" i="2" s="1"/>
  <c r="S479" i="2" s="1"/>
  <c r="Q83" i="2"/>
  <c r="R83" i="2" s="1"/>
  <c r="S83" i="2" s="1"/>
  <c r="Q497" i="2"/>
  <c r="R497" i="2" s="1"/>
  <c r="S497" i="2" s="1"/>
  <c r="Q557" i="2"/>
  <c r="R557" i="2" s="1"/>
  <c r="S557" i="2" s="1"/>
  <c r="Q813" i="2"/>
  <c r="R813" i="2" s="1"/>
  <c r="S813" i="2" s="1"/>
  <c r="Q818" i="2"/>
  <c r="R818" i="2" s="1"/>
  <c r="S818" i="2" s="1"/>
  <c r="Q346" i="2"/>
  <c r="R346" i="2" s="1"/>
  <c r="S346" i="2" s="1"/>
  <c r="Q530" i="2"/>
  <c r="R530" i="2" s="1"/>
  <c r="S530" i="2" s="1"/>
  <c r="Q299" i="2"/>
  <c r="R299" i="2" s="1"/>
  <c r="S299" i="2" s="1"/>
  <c r="Q324" i="2"/>
  <c r="R324" i="2" s="1"/>
  <c r="S324" i="2" s="1"/>
  <c r="Q110" i="2"/>
  <c r="R110" i="2" s="1"/>
  <c r="S110" i="2" s="1"/>
  <c r="Q216" i="2"/>
  <c r="R216" i="2" s="1"/>
  <c r="S216" i="2" s="1"/>
  <c r="Q826" i="2"/>
  <c r="R826" i="2" s="1"/>
  <c r="S826" i="2" s="1"/>
  <c r="Q515" i="2"/>
  <c r="R515" i="2" s="1"/>
  <c r="S515" i="2" s="1"/>
  <c r="Q475" i="2"/>
  <c r="R475" i="2" s="1"/>
  <c r="S475" i="2" s="1"/>
  <c r="Q819" i="2"/>
  <c r="R819" i="2" s="1"/>
  <c r="S819" i="2" s="1"/>
  <c r="Q396" i="2"/>
  <c r="R396" i="2" s="1"/>
  <c r="S396" i="2" s="1"/>
  <c r="Q679" i="2"/>
  <c r="R679" i="2" s="1"/>
  <c r="S679" i="2" s="1"/>
  <c r="Q532" i="2"/>
  <c r="R532" i="2" s="1"/>
  <c r="S532" i="2" s="1"/>
  <c r="Q908" i="2"/>
  <c r="R908" i="2" s="1"/>
  <c r="S908" i="2" s="1"/>
  <c r="Q751" i="2"/>
  <c r="R751" i="2" s="1"/>
  <c r="S751" i="2" s="1"/>
  <c r="Q834" i="2"/>
  <c r="R834" i="2" s="1"/>
  <c r="S834" i="2" s="1"/>
  <c r="Q890" i="2"/>
  <c r="R890" i="2" s="1"/>
  <c r="S890" i="2" s="1"/>
  <c r="Q276" i="2"/>
  <c r="R276" i="2" s="1"/>
  <c r="S276" i="2" s="1"/>
  <c r="Q388" i="2"/>
  <c r="R388" i="2" s="1"/>
  <c r="S388" i="2" s="1"/>
  <c r="Q972" i="2"/>
  <c r="R972" i="2" s="1"/>
  <c r="S972" i="2" s="1"/>
  <c r="Q775" i="2"/>
  <c r="R775" i="2" s="1"/>
  <c r="S775" i="2" s="1"/>
  <c r="Q616" i="2"/>
  <c r="R616" i="2" s="1"/>
  <c r="S616" i="2" s="1"/>
  <c r="Q215" i="2"/>
  <c r="R215" i="2" s="1"/>
  <c r="S215" i="2" s="1"/>
  <c r="Q282" i="2"/>
  <c r="R282" i="2" s="1"/>
  <c r="S282" i="2" s="1"/>
  <c r="Q546" i="2"/>
  <c r="R546" i="2" s="1"/>
  <c r="S546" i="2" s="1"/>
  <c r="Q610" i="2"/>
  <c r="R610" i="2" s="1"/>
  <c r="S610" i="2" s="1"/>
  <c r="Q690" i="2"/>
  <c r="R690" i="2" s="1"/>
  <c r="S690" i="2" s="1"/>
  <c r="Q954" i="2"/>
  <c r="R954" i="2" s="1"/>
  <c r="S954" i="2" s="1"/>
  <c r="Q281" i="2"/>
  <c r="R281" i="2" s="1"/>
  <c r="S281" i="2" s="1"/>
  <c r="Q301" i="2"/>
  <c r="R301" i="2" s="1"/>
  <c r="S301" i="2" s="1"/>
  <c r="Q38" i="2"/>
  <c r="R38" i="2" s="1"/>
  <c r="S38" i="2" s="1"/>
  <c r="Q410" i="2"/>
  <c r="R410" i="2" s="1"/>
  <c r="S410" i="2" s="1"/>
  <c r="Q698" i="2"/>
  <c r="R698" i="2" s="1"/>
  <c r="S698" i="2" s="1"/>
  <c r="Q754" i="2"/>
  <c r="R754" i="2" s="1"/>
  <c r="S754" i="2" s="1"/>
  <c r="Q962" i="2"/>
  <c r="R962" i="2" s="1"/>
  <c r="S962" i="2" s="1"/>
  <c r="Q644" i="2"/>
  <c r="R644" i="2" s="1"/>
  <c r="S644" i="2" s="1"/>
  <c r="Q201" i="2"/>
  <c r="R201" i="2" s="1"/>
  <c r="S201" i="2" s="1"/>
  <c r="Q190" i="2"/>
  <c r="R190" i="2" s="1"/>
  <c r="S190" i="2" s="1"/>
  <c r="Q415" i="2"/>
  <c r="R415" i="2" s="1"/>
  <c r="S415" i="2" s="1"/>
  <c r="Q527" i="2"/>
  <c r="R527" i="2" s="1"/>
  <c r="S527" i="2" s="1"/>
  <c r="Q334" i="2"/>
  <c r="R334" i="2" s="1"/>
  <c r="S334" i="2" s="1"/>
  <c r="Q418" i="2"/>
  <c r="R418" i="2" s="1"/>
  <c r="S418" i="2" s="1"/>
  <c r="Q635" i="2"/>
  <c r="R635" i="2" s="1"/>
  <c r="S635" i="2" s="1"/>
  <c r="Q155" i="2"/>
  <c r="R155" i="2" s="1"/>
  <c r="S155" i="2" s="1"/>
  <c r="Q652" i="2"/>
  <c r="R652" i="2" s="1"/>
  <c r="S652" i="2" s="1"/>
  <c r="Q900" i="2"/>
  <c r="R900" i="2" s="1"/>
  <c r="S900" i="2" s="1"/>
  <c r="Q941" i="2"/>
  <c r="R941" i="2" s="1"/>
  <c r="S941" i="2" s="1"/>
  <c r="Q257" i="2"/>
  <c r="R257" i="2" s="1"/>
  <c r="S257" i="2" s="1"/>
  <c r="Q633" i="2"/>
  <c r="R633" i="2" s="1"/>
  <c r="S633" i="2" s="1"/>
  <c r="Q606" i="2"/>
  <c r="R606" i="2" s="1"/>
  <c r="S606" i="2" s="1"/>
  <c r="Q935" i="2"/>
  <c r="R935" i="2" s="1"/>
  <c r="S935" i="2" s="1"/>
  <c r="Q274" i="2"/>
  <c r="R274" i="2" s="1"/>
  <c r="S274" i="2" s="1"/>
  <c r="Q482" i="2"/>
  <c r="R482" i="2" s="1"/>
  <c r="S482" i="2" s="1"/>
  <c r="Q851" i="2"/>
  <c r="R851" i="2" s="1"/>
  <c r="S851" i="2" s="1"/>
  <c r="Q963" i="2"/>
  <c r="R963" i="2" s="1"/>
  <c r="S963" i="2" s="1"/>
  <c r="Q338" i="2"/>
  <c r="R338" i="2" s="1"/>
  <c r="S338" i="2" s="1"/>
  <c r="Q474" i="2"/>
  <c r="R474" i="2" s="1"/>
  <c r="S474" i="2" s="1"/>
  <c r="Q618" i="2"/>
  <c r="R618" i="2" s="1"/>
  <c r="S618" i="2" s="1"/>
  <c r="Q882" i="2"/>
  <c r="R882" i="2" s="1"/>
  <c r="S882" i="2" s="1"/>
  <c r="Q619" i="2"/>
  <c r="R619" i="2" s="1"/>
  <c r="S619" i="2" s="1"/>
  <c r="Q979" i="2"/>
  <c r="R979" i="2" s="1"/>
  <c r="S979" i="2" s="1"/>
  <c r="Q371" i="2"/>
  <c r="R371" i="2" s="1"/>
  <c r="S371" i="2" s="1"/>
  <c r="Q716" i="2"/>
  <c r="R716" i="2" s="1"/>
  <c r="S716" i="2" s="1"/>
  <c r="Q980" i="2"/>
  <c r="R980" i="2" s="1"/>
  <c r="S980" i="2" s="1"/>
  <c r="Q237" i="2"/>
  <c r="R237" i="2" s="1"/>
  <c r="S237" i="2" s="1"/>
  <c r="Q1005" i="2"/>
  <c r="R1005" i="2" s="1"/>
  <c r="S1005" i="2" s="1"/>
  <c r="Q262" i="2"/>
  <c r="R262" i="2" s="1"/>
  <c r="S262" i="2" s="1"/>
  <c r="Q558" i="2"/>
  <c r="R558" i="2" s="1"/>
  <c r="S558" i="2" s="1"/>
  <c r="Q847" i="2"/>
  <c r="R847" i="2" s="1"/>
  <c r="S847" i="2" s="1"/>
  <c r="Q184" i="2"/>
  <c r="R184" i="2" s="1"/>
  <c r="S184" i="2" s="1"/>
  <c r="Q568" i="2"/>
  <c r="R568" i="2" s="1"/>
  <c r="S568" i="2" s="1"/>
  <c r="Q290" i="2"/>
  <c r="R290" i="2" s="1"/>
  <c r="S290" i="2" s="1"/>
  <c r="Q715" i="2"/>
  <c r="R715" i="2" s="1"/>
  <c r="S715" i="2" s="1"/>
  <c r="Q460" i="2"/>
  <c r="R460" i="2" s="1"/>
  <c r="S460" i="2" s="1"/>
  <c r="Q724" i="2"/>
  <c r="R724" i="2" s="1"/>
  <c r="S724" i="2" s="1"/>
  <c r="Q836" i="2"/>
  <c r="R836" i="2" s="1"/>
  <c r="S836" i="2" s="1"/>
  <c r="Q493" i="2"/>
  <c r="R493" i="2" s="1"/>
  <c r="S493" i="2" s="1"/>
  <c r="Q406" i="2"/>
  <c r="R406" i="2" s="1"/>
  <c r="S406" i="2" s="1"/>
  <c r="Q494" i="2"/>
  <c r="R494" i="2" s="1"/>
  <c r="S494" i="2" s="1"/>
  <c r="Q662" i="2"/>
  <c r="R662" i="2" s="1"/>
  <c r="S662" i="2" s="1"/>
  <c r="Q551" i="2"/>
  <c r="R551" i="2" s="1"/>
  <c r="S551" i="2" s="1"/>
  <c r="Q919" i="2"/>
  <c r="R919" i="2" s="1"/>
  <c r="S919" i="2" s="1"/>
  <c r="Q513" i="2"/>
  <c r="R513" i="2" s="1"/>
  <c r="S513" i="2" s="1"/>
  <c r="Q53" i="2"/>
  <c r="R53" i="2" s="1"/>
  <c r="S53" i="2" s="1"/>
  <c r="Q402" i="2"/>
  <c r="R402" i="2" s="1"/>
  <c r="S402" i="2" s="1"/>
  <c r="Q538" i="2"/>
  <c r="R538" i="2" s="1"/>
  <c r="S538" i="2" s="1"/>
  <c r="Q706" i="2"/>
  <c r="R706" i="2" s="1"/>
  <c r="S706" i="2" s="1"/>
  <c r="Q946" i="2"/>
  <c r="R946" i="2" s="1"/>
  <c r="S946" i="2" s="1"/>
  <c r="Q835" i="2"/>
  <c r="R835" i="2" s="1"/>
  <c r="S835" i="2" s="1"/>
  <c r="Q329" i="2"/>
  <c r="R329" i="2" s="1"/>
  <c r="S329" i="2" s="1"/>
  <c r="Q811" i="2"/>
  <c r="R811" i="2" s="1"/>
  <c r="S811" i="2" s="1"/>
  <c r="Q41" i="2"/>
  <c r="R41" i="2" s="1"/>
  <c r="S41" i="2" s="1"/>
  <c r="Q788" i="2"/>
  <c r="R788" i="2" s="1"/>
  <c r="S788" i="2" s="1"/>
  <c r="Q455" i="2"/>
  <c r="R455" i="2" s="1"/>
  <c r="S455" i="2" s="1"/>
  <c r="Q185" i="2"/>
  <c r="R185" i="2" s="1"/>
  <c r="S185" i="2" s="1"/>
  <c r="Q512" i="2"/>
  <c r="R512" i="2" s="1"/>
  <c r="S512" i="2" s="1"/>
  <c r="Q151" i="2"/>
  <c r="R151" i="2" s="1"/>
  <c r="S151" i="2" s="1"/>
  <c r="Q117" i="2"/>
  <c r="R117" i="2" s="1"/>
  <c r="S117" i="2" s="1"/>
  <c r="Q354" i="2"/>
  <c r="R354" i="2" s="1"/>
  <c r="S354" i="2" s="1"/>
  <c r="Q602" i="2"/>
  <c r="R602" i="2" s="1"/>
  <c r="S602" i="2" s="1"/>
  <c r="Q762" i="2"/>
  <c r="R762" i="2" s="1"/>
  <c r="S762" i="2" s="1"/>
  <c r="Q898" i="2"/>
  <c r="R898" i="2" s="1"/>
  <c r="S898" i="2" s="1"/>
  <c r="Q947" i="2"/>
  <c r="R947" i="2" s="1"/>
  <c r="S947" i="2" s="1"/>
  <c r="Q939" i="2"/>
  <c r="R939" i="2" s="1"/>
  <c r="S939" i="2" s="1"/>
  <c r="Q441" i="2"/>
  <c r="R441" i="2" s="1"/>
  <c r="S441" i="2" s="1"/>
  <c r="Q468" i="2"/>
  <c r="R468" i="2" s="1"/>
  <c r="S468" i="2" s="1"/>
  <c r="Q580" i="2"/>
  <c r="R580" i="2" s="1"/>
  <c r="S580" i="2" s="1"/>
  <c r="Q749" i="2"/>
  <c r="R749" i="2" s="1"/>
  <c r="S749" i="2" s="1"/>
  <c r="Q97" i="2"/>
  <c r="R97" i="2" s="1"/>
  <c r="S97" i="2" s="1"/>
  <c r="Q545" i="2"/>
  <c r="R545" i="2" s="1"/>
  <c r="S545" i="2" s="1"/>
  <c r="Q655" i="2"/>
  <c r="R655" i="2" s="1"/>
  <c r="S655" i="2" s="1"/>
  <c r="Q823" i="2"/>
  <c r="R823" i="2" s="1"/>
  <c r="S823" i="2" s="1"/>
  <c r="Q10" i="2"/>
  <c r="R10" i="2" s="1"/>
  <c r="S10" i="2" s="1"/>
  <c r="Q42" i="2"/>
  <c r="R42" i="2" s="1"/>
  <c r="S42" i="2" s="1"/>
  <c r="Q74" i="2"/>
  <c r="R74" i="2" s="1"/>
  <c r="S74" i="2" s="1"/>
  <c r="Q106" i="2"/>
  <c r="R106" i="2" s="1"/>
  <c r="S106" i="2" s="1"/>
  <c r="Q138" i="2"/>
  <c r="R138" i="2" s="1"/>
  <c r="S138" i="2" s="1"/>
  <c r="Q170" i="2"/>
  <c r="R170" i="2" s="1"/>
  <c r="S170" i="2" s="1"/>
  <c r="Q202" i="2"/>
  <c r="R202" i="2" s="1"/>
  <c r="S202" i="2" s="1"/>
  <c r="Q234" i="2"/>
  <c r="R234" i="2" s="1"/>
  <c r="S234" i="2" s="1"/>
  <c r="Q157" i="2"/>
  <c r="R157" i="2" s="1"/>
  <c r="S157" i="2" s="1"/>
  <c r="Q306" i="2"/>
  <c r="R306" i="2" s="1"/>
  <c r="S306" i="2" s="1"/>
  <c r="Q378" i="2"/>
  <c r="R378" i="2" s="1"/>
  <c r="S378" i="2" s="1"/>
  <c r="Q450" i="2"/>
  <c r="R450" i="2" s="1"/>
  <c r="S450" i="2" s="1"/>
  <c r="Q562" i="2"/>
  <c r="R562" i="2" s="1"/>
  <c r="S562" i="2" s="1"/>
  <c r="Q666" i="2"/>
  <c r="R666" i="2" s="1"/>
  <c r="S666" i="2" s="1"/>
  <c r="Q738" i="2"/>
  <c r="R738" i="2" s="1"/>
  <c r="S738" i="2" s="1"/>
  <c r="Q850" i="2"/>
  <c r="R850" i="2" s="1"/>
  <c r="S850" i="2" s="1"/>
  <c r="Q922" i="2"/>
  <c r="R922" i="2" s="1"/>
  <c r="S922" i="2" s="1"/>
  <c r="Q994" i="2"/>
  <c r="R994" i="2" s="1"/>
  <c r="S994" i="2" s="1"/>
  <c r="Q883" i="2"/>
  <c r="R883" i="2" s="1"/>
  <c r="S883" i="2" s="1"/>
  <c r="Q73" i="2"/>
  <c r="R73" i="2" s="1"/>
  <c r="S73" i="2" s="1"/>
  <c r="Q577" i="2"/>
  <c r="R577" i="2" s="1"/>
  <c r="S577" i="2" s="1"/>
  <c r="Q259" i="2"/>
  <c r="R259" i="2" s="1"/>
  <c r="S259" i="2" s="1"/>
  <c r="Q683" i="2"/>
  <c r="R683" i="2" s="1"/>
  <c r="S683" i="2" s="1"/>
  <c r="Q241" i="2"/>
  <c r="R241" i="2" s="1"/>
  <c r="S241" i="2" s="1"/>
  <c r="Q244" i="2"/>
  <c r="R244" i="2" s="1"/>
  <c r="S244" i="2" s="1"/>
  <c r="Q356" i="2"/>
  <c r="R356" i="2" s="1"/>
  <c r="S356" i="2" s="1"/>
  <c r="Q428" i="2"/>
  <c r="R428" i="2" s="1"/>
  <c r="S428" i="2" s="1"/>
  <c r="Q500" i="2"/>
  <c r="R500" i="2" s="1"/>
  <c r="S500" i="2" s="1"/>
  <c r="Q612" i="2"/>
  <c r="R612" i="2" s="1"/>
  <c r="S612" i="2" s="1"/>
  <c r="Q684" i="2"/>
  <c r="R684" i="2" s="1"/>
  <c r="S684" i="2" s="1"/>
  <c r="Q756" i="2"/>
  <c r="R756" i="2" s="1"/>
  <c r="S756" i="2" s="1"/>
  <c r="Q868" i="2"/>
  <c r="R868" i="2" s="1"/>
  <c r="S868" i="2" s="1"/>
  <c r="Q940" i="2"/>
  <c r="R940" i="2" s="1"/>
  <c r="S940" i="2" s="1"/>
  <c r="Q217" i="2"/>
  <c r="R217" i="2" s="1"/>
  <c r="S217" i="2" s="1"/>
  <c r="Q397" i="2"/>
  <c r="R397" i="2" s="1"/>
  <c r="S397" i="2" s="1"/>
  <c r="Q653" i="2"/>
  <c r="R653" i="2" s="1"/>
  <c r="S653" i="2" s="1"/>
  <c r="Q909" i="2"/>
  <c r="R909" i="2" s="1"/>
  <c r="S909" i="2" s="1"/>
  <c r="Q473" i="2"/>
  <c r="R473" i="2" s="1"/>
  <c r="S473" i="2" s="1"/>
  <c r="Q150" i="2"/>
  <c r="R150" i="2" s="1"/>
  <c r="S150" i="2" s="1"/>
  <c r="Q462" i="2"/>
  <c r="R462" i="2" s="1"/>
  <c r="S462" i="2" s="1"/>
  <c r="Q590" i="2"/>
  <c r="R590" i="2" s="1"/>
  <c r="S590" i="2" s="1"/>
  <c r="Q646" i="2"/>
  <c r="R646" i="2" s="1"/>
  <c r="S646" i="2" s="1"/>
  <c r="Q113" i="2"/>
  <c r="R113" i="2" s="1"/>
  <c r="S113" i="2" s="1"/>
  <c r="Q433" i="2"/>
  <c r="R433" i="2" s="1"/>
  <c r="S433" i="2" s="1"/>
  <c r="Q673" i="2"/>
  <c r="R673" i="2" s="1"/>
  <c r="S673" i="2" s="1"/>
  <c r="Q495" i="2"/>
  <c r="R495" i="2" s="1"/>
  <c r="S495" i="2" s="1"/>
  <c r="Q623" i="2"/>
  <c r="R623" i="2" s="1"/>
  <c r="S623" i="2" s="1"/>
  <c r="Q719" i="2"/>
  <c r="R719" i="2" s="1"/>
  <c r="S719" i="2" s="1"/>
  <c r="Q791" i="2"/>
  <c r="R791" i="2" s="1"/>
  <c r="S791" i="2" s="1"/>
  <c r="Q903" i="2"/>
  <c r="R903" i="2" s="1"/>
  <c r="S903" i="2" s="1"/>
  <c r="Q975" i="2"/>
  <c r="R975" i="2" s="1"/>
  <c r="S975" i="2" s="1"/>
  <c r="Q289" i="2"/>
  <c r="R289" i="2" s="1"/>
  <c r="S289" i="2" s="1"/>
  <c r="Q112" i="2"/>
  <c r="R112" i="2" s="1"/>
  <c r="S112" i="2" s="1"/>
  <c r="Q408" i="2"/>
  <c r="R408" i="2" s="1"/>
  <c r="S408" i="2" s="1"/>
  <c r="Q529" i="2"/>
  <c r="R529" i="2" s="1"/>
  <c r="S529" i="2" s="1"/>
  <c r="Q423" i="2"/>
  <c r="R423" i="2" s="1"/>
  <c r="S423" i="2" s="1"/>
  <c r="Q463" i="2"/>
  <c r="R463" i="2" s="1"/>
  <c r="S463" i="2" s="1"/>
  <c r="Q687" i="2"/>
  <c r="R687" i="2" s="1"/>
  <c r="S687" i="2" s="1"/>
  <c r="Q759" i="2"/>
  <c r="R759" i="2" s="1"/>
  <c r="S759" i="2" s="1"/>
  <c r="Q871" i="2"/>
  <c r="R871" i="2" s="1"/>
  <c r="S871" i="2" s="1"/>
  <c r="Q943" i="2"/>
  <c r="R943" i="2" s="1"/>
  <c r="S943" i="2" s="1"/>
  <c r="Q65" i="2"/>
  <c r="R65" i="2" s="1"/>
  <c r="S65" i="2" s="1"/>
  <c r="Q296" i="2"/>
  <c r="R296" i="2" s="1"/>
  <c r="S296" i="2" s="1"/>
  <c r="Q656" i="2"/>
  <c r="R656" i="2" s="1"/>
  <c r="S656" i="2" s="1"/>
  <c r="Q18" i="2"/>
  <c r="R18" i="2" s="1"/>
  <c r="S18" i="2" s="1"/>
  <c r="Q50" i="2"/>
  <c r="R50" i="2" s="1"/>
  <c r="S50" i="2" s="1"/>
  <c r="Q82" i="2"/>
  <c r="R82" i="2" s="1"/>
  <c r="S82" i="2" s="1"/>
  <c r="Q114" i="2"/>
  <c r="R114" i="2" s="1"/>
  <c r="S114" i="2" s="1"/>
  <c r="Q146" i="2"/>
  <c r="R146" i="2" s="1"/>
  <c r="S146" i="2" s="1"/>
  <c r="Q178" i="2"/>
  <c r="R178" i="2" s="1"/>
  <c r="S178" i="2" s="1"/>
  <c r="Q210" i="2"/>
  <c r="R210" i="2" s="1"/>
  <c r="S210" i="2" s="1"/>
  <c r="Q11" i="2"/>
  <c r="R11" i="2" s="1"/>
  <c r="S11" i="2" s="1"/>
  <c r="Q242" i="2"/>
  <c r="R242" i="2" s="1"/>
  <c r="S242" i="2" s="1"/>
  <c r="Q314" i="2"/>
  <c r="R314" i="2" s="1"/>
  <c r="S314" i="2" s="1"/>
  <c r="Q386" i="2"/>
  <c r="R386" i="2" s="1"/>
  <c r="S386" i="2" s="1"/>
  <c r="Q498" i="2"/>
  <c r="R498" i="2" s="1"/>
  <c r="S498" i="2" s="1"/>
  <c r="Q570" i="2"/>
  <c r="R570" i="2" s="1"/>
  <c r="S570" i="2" s="1"/>
  <c r="Q674" i="2"/>
  <c r="R674" i="2" s="1"/>
  <c r="S674" i="2" s="1"/>
  <c r="Q786" i="2"/>
  <c r="R786" i="2" s="1"/>
  <c r="S786" i="2" s="1"/>
  <c r="Q858" i="2"/>
  <c r="R858" i="2" s="1"/>
  <c r="S858" i="2" s="1"/>
  <c r="Q930" i="2"/>
  <c r="R930" i="2" s="1"/>
  <c r="S930" i="2" s="1"/>
  <c r="Q755" i="2"/>
  <c r="R755" i="2" s="1"/>
  <c r="S755" i="2" s="1"/>
  <c r="Q899" i="2"/>
  <c r="R899" i="2" s="1"/>
  <c r="S899" i="2" s="1"/>
  <c r="Q121" i="2"/>
  <c r="R121" i="2" s="1"/>
  <c r="S121" i="2" s="1"/>
  <c r="Q43" i="2"/>
  <c r="R43" i="2" s="1"/>
  <c r="S43" i="2" s="1"/>
  <c r="Q339" i="2"/>
  <c r="R339" i="2" s="1"/>
  <c r="S339" i="2" s="1"/>
  <c r="Q747" i="2"/>
  <c r="R747" i="2" s="1"/>
  <c r="S747" i="2" s="1"/>
  <c r="Q297" i="2"/>
  <c r="R297" i="2" s="1"/>
  <c r="S297" i="2" s="1"/>
  <c r="Q292" i="2"/>
  <c r="R292" i="2" s="1"/>
  <c r="S292" i="2" s="1"/>
  <c r="Q364" i="2"/>
  <c r="R364" i="2" s="1"/>
  <c r="S364" i="2" s="1"/>
  <c r="Q436" i="2"/>
  <c r="R436" i="2" s="1"/>
  <c r="S436" i="2" s="1"/>
  <c r="Q548" i="2"/>
  <c r="R548" i="2" s="1"/>
  <c r="S548" i="2" s="1"/>
  <c r="Q620" i="2"/>
  <c r="R620" i="2" s="1"/>
  <c r="S620" i="2" s="1"/>
  <c r="Q692" i="2"/>
  <c r="R692" i="2" s="1"/>
  <c r="S692" i="2" s="1"/>
  <c r="Q804" i="2"/>
  <c r="R804" i="2" s="1"/>
  <c r="S804" i="2" s="1"/>
  <c r="Q876" i="2"/>
  <c r="R876" i="2" s="1"/>
  <c r="S876" i="2" s="1"/>
  <c r="Q948" i="2"/>
  <c r="R948" i="2" s="1"/>
  <c r="S948" i="2" s="1"/>
  <c r="Q649" i="2"/>
  <c r="R649" i="2" s="1"/>
  <c r="S649" i="2" s="1"/>
  <c r="Q461" i="2"/>
  <c r="R461" i="2" s="1"/>
  <c r="S461" i="2" s="1"/>
  <c r="Q717" i="2"/>
  <c r="R717" i="2" s="1"/>
  <c r="S717" i="2" s="1"/>
  <c r="Q973" i="2"/>
  <c r="R973" i="2" s="1"/>
  <c r="S973" i="2" s="1"/>
  <c r="Q49" i="2"/>
  <c r="R49" i="2" s="1"/>
  <c r="S49" i="2" s="1"/>
  <c r="Q537" i="2"/>
  <c r="R537" i="2" s="1"/>
  <c r="S537" i="2" s="1"/>
  <c r="Q222" i="2"/>
  <c r="R222" i="2" s="1"/>
  <c r="S222" i="2" s="1"/>
  <c r="Q542" i="2"/>
  <c r="R542" i="2" s="1"/>
  <c r="S542" i="2" s="1"/>
  <c r="Q598" i="2"/>
  <c r="R598" i="2" s="1"/>
  <c r="S598" i="2" s="1"/>
  <c r="Q654" i="2"/>
  <c r="R654" i="2" s="1"/>
  <c r="S654" i="2" s="1"/>
  <c r="Q249" i="2"/>
  <c r="R249" i="2" s="1"/>
  <c r="S249" i="2" s="1"/>
  <c r="Q489" i="2"/>
  <c r="R489" i="2" s="1"/>
  <c r="S489" i="2" s="1"/>
  <c r="Q543" i="2"/>
  <c r="R543" i="2" s="1"/>
  <c r="S543" i="2" s="1"/>
  <c r="Q631" i="2"/>
  <c r="R631" i="2" s="1"/>
  <c r="S631" i="2" s="1"/>
  <c r="Q727" i="2"/>
  <c r="R727" i="2" s="1"/>
  <c r="S727" i="2" s="1"/>
  <c r="Q839" i="2"/>
  <c r="R839" i="2" s="1"/>
  <c r="S839" i="2" s="1"/>
  <c r="Q911" i="2"/>
  <c r="R911" i="2" s="1"/>
  <c r="S911" i="2" s="1"/>
  <c r="Q983" i="2"/>
  <c r="R983" i="2" s="1"/>
  <c r="S983" i="2" s="1"/>
  <c r="Q641" i="2"/>
  <c r="R641" i="2" s="1"/>
  <c r="S641" i="2" s="1"/>
  <c r="Q227" i="2"/>
  <c r="R227" i="2" s="1"/>
  <c r="S227" i="2" s="1"/>
  <c r="Q579" i="2"/>
  <c r="R579" i="2" s="1"/>
  <c r="S579" i="2" s="1"/>
  <c r="Q81" i="2"/>
  <c r="R81" i="2" s="1"/>
  <c r="S81" i="2" s="1"/>
  <c r="Q260" i="2"/>
  <c r="R260" i="2" s="1"/>
  <c r="S260" i="2" s="1"/>
  <c r="Q332" i="2"/>
  <c r="R332" i="2" s="1"/>
  <c r="S332" i="2" s="1"/>
  <c r="Q404" i="2"/>
  <c r="R404" i="2" s="1"/>
  <c r="S404" i="2" s="1"/>
  <c r="Q516" i="2"/>
  <c r="R516" i="2" s="1"/>
  <c r="S516" i="2" s="1"/>
  <c r="Q588" i="2"/>
  <c r="R588" i="2" s="1"/>
  <c r="S588" i="2" s="1"/>
  <c r="Q660" i="2"/>
  <c r="R660" i="2" s="1"/>
  <c r="S660" i="2" s="1"/>
  <c r="Q772" i="2"/>
  <c r="R772" i="2" s="1"/>
  <c r="S772" i="2" s="1"/>
  <c r="Q844" i="2"/>
  <c r="R844" i="2" s="1"/>
  <c r="S844" i="2" s="1"/>
  <c r="Q916" i="2"/>
  <c r="R916" i="2" s="1"/>
  <c r="S916" i="2" s="1"/>
  <c r="Q33" i="2"/>
  <c r="R33" i="2" s="1"/>
  <c r="S33" i="2" s="1"/>
  <c r="Q365" i="2"/>
  <c r="R365" i="2" s="1"/>
  <c r="S365" i="2" s="1"/>
  <c r="Q621" i="2"/>
  <c r="R621" i="2" s="1"/>
  <c r="S621" i="2" s="1"/>
  <c r="Q877" i="2"/>
  <c r="R877" i="2" s="1"/>
  <c r="S877" i="2" s="1"/>
  <c r="Q305" i="2"/>
  <c r="R305" i="2" s="1"/>
  <c r="S305" i="2" s="1"/>
  <c r="Q511" i="2"/>
  <c r="R511" i="2" s="1"/>
  <c r="S511" i="2" s="1"/>
  <c r="Q591" i="2"/>
  <c r="R591" i="2" s="1"/>
  <c r="S591" i="2" s="1"/>
  <c r="Q695" i="2"/>
  <c r="R695" i="2" s="1"/>
  <c r="S695" i="2" s="1"/>
  <c r="Q807" i="2"/>
  <c r="R807" i="2" s="1"/>
  <c r="S807" i="2" s="1"/>
  <c r="Q879" i="2"/>
  <c r="R879" i="2" s="1"/>
  <c r="S879" i="2" s="1"/>
  <c r="Q951" i="2"/>
  <c r="R951" i="2" s="1"/>
  <c r="S951" i="2" s="1"/>
  <c r="Q409" i="2"/>
  <c r="R409" i="2" s="1"/>
  <c r="S409" i="2" s="1"/>
  <c r="Q72" i="2"/>
  <c r="R72" i="2" s="1"/>
  <c r="S72" i="2" s="1"/>
  <c r="Q368" i="2"/>
  <c r="R368" i="2" s="1"/>
  <c r="S368" i="2" s="1"/>
  <c r="Q313" i="2"/>
  <c r="R313" i="2" s="1"/>
  <c r="S313" i="2" s="1"/>
  <c r="Q26" i="2"/>
  <c r="R26" i="2" s="1"/>
  <c r="S26" i="2" s="1"/>
  <c r="Q58" i="2"/>
  <c r="R58" i="2" s="1"/>
  <c r="S58" i="2" s="1"/>
  <c r="Q90" i="2"/>
  <c r="R90" i="2" s="1"/>
  <c r="S90" i="2" s="1"/>
  <c r="Q122" i="2"/>
  <c r="R122" i="2" s="1"/>
  <c r="S122" i="2" s="1"/>
  <c r="Q154" i="2"/>
  <c r="R154" i="2" s="1"/>
  <c r="S154" i="2" s="1"/>
  <c r="Q186" i="2"/>
  <c r="R186" i="2" s="1"/>
  <c r="S186" i="2" s="1"/>
  <c r="Q218" i="2"/>
  <c r="R218" i="2" s="1"/>
  <c r="S218" i="2" s="1"/>
  <c r="Q85" i="2"/>
  <c r="R85" i="2" s="1"/>
  <c r="S85" i="2" s="1"/>
  <c r="Q181" i="2"/>
  <c r="R181" i="2" s="1"/>
  <c r="S181" i="2" s="1"/>
  <c r="Q250" i="2"/>
  <c r="R250" i="2" s="1"/>
  <c r="S250" i="2" s="1"/>
  <c r="Q322" i="2"/>
  <c r="R322" i="2" s="1"/>
  <c r="S322" i="2" s="1"/>
  <c r="Q434" i="2"/>
  <c r="R434" i="2" s="1"/>
  <c r="S434" i="2" s="1"/>
  <c r="Q506" i="2"/>
  <c r="R506" i="2" s="1"/>
  <c r="S506" i="2" s="1"/>
  <c r="Q578" i="2"/>
  <c r="R578" i="2" s="1"/>
  <c r="S578" i="2" s="1"/>
  <c r="Q722" i="2"/>
  <c r="R722" i="2" s="1"/>
  <c r="S722" i="2" s="1"/>
  <c r="Q794" i="2"/>
  <c r="R794" i="2" s="1"/>
  <c r="S794" i="2" s="1"/>
  <c r="Q866" i="2"/>
  <c r="R866" i="2" s="1"/>
  <c r="S866" i="2" s="1"/>
  <c r="Q978" i="2"/>
  <c r="R978" i="2" s="1"/>
  <c r="S978" i="2" s="1"/>
  <c r="Q771" i="2"/>
  <c r="R771" i="2" s="1"/>
  <c r="S771" i="2" s="1"/>
  <c r="Q915" i="2"/>
  <c r="R915" i="2" s="1"/>
  <c r="S915" i="2" s="1"/>
  <c r="Q457" i="2"/>
  <c r="R457" i="2" s="1"/>
  <c r="S457" i="2" s="1"/>
  <c r="Q115" i="2"/>
  <c r="R115" i="2" s="1"/>
  <c r="S115" i="2" s="1"/>
  <c r="Q419" i="2"/>
  <c r="R419" i="2" s="1"/>
  <c r="S419" i="2" s="1"/>
  <c r="Q875" i="2"/>
  <c r="R875" i="2" s="1"/>
  <c r="S875" i="2" s="1"/>
  <c r="Q609" i="2"/>
  <c r="R609" i="2" s="1"/>
  <c r="S609" i="2" s="1"/>
  <c r="Q300" i="2"/>
  <c r="R300" i="2" s="1"/>
  <c r="S300" i="2" s="1"/>
  <c r="Q372" i="2"/>
  <c r="R372" i="2" s="1"/>
  <c r="S372" i="2" s="1"/>
  <c r="Q484" i="2"/>
  <c r="R484" i="2" s="1"/>
  <c r="S484" i="2" s="1"/>
  <c r="Q556" i="2"/>
  <c r="R556" i="2" s="1"/>
  <c r="S556" i="2" s="1"/>
  <c r="Q628" i="2"/>
  <c r="R628" i="2" s="1"/>
  <c r="S628" i="2" s="1"/>
  <c r="Q740" i="2"/>
  <c r="R740" i="2" s="1"/>
  <c r="S740" i="2" s="1"/>
  <c r="Q812" i="2"/>
  <c r="R812" i="2" s="1"/>
  <c r="S812" i="2" s="1"/>
  <c r="Q884" i="2"/>
  <c r="R884" i="2" s="1"/>
  <c r="S884" i="2" s="1"/>
  <c r="Q996" i="2"/>
  <c r="R996" i="2" s="1"/>
  <c r="S996" i="2" s="1"/>
  <c r="Q269" i="2"/>
  <c r="R269" i="2" s="1"/>
  <c r="S269" i="2" s="1"/>
  <c r="Q294" i="2"/>
  <c r="R294" i="2" s="1"/>
  <c r="S294" i="2" s="1"/>
  <c r="Q385" i="2"/>
  <c r="R385" i="2" s="1"/>
  <c r="S385" i="2" s="1"/>
  <c r="Q268" i="2"/>
  <c r="R268" i="2" s="1"/>
  <c r="S268" i="2" s="1"/>
  <c r="Q340" i="2"/>
  <c r="R340" i="2" s="1"/>
  <c r="S340" i="2" s="1"/>
  <c r="Q452" i="2"/>
  <c r="R452" i="2" s="1"/>
  <c r="S452" i="2" s="1"/>
  <c r="Q524" i="2"/>
  <c r="R524" i="2" s="1"/>
  <c r="S524" i="2" s="1"/>
  <c r="Q596" i="2"/>
  <c r="R596" i="2" s="1"/>
  <c r="S596" i="2" s="1"/>
  <c r="Q708" i="2"/>
  <c r="R708" i="2" s="1"/>
  <c r="S708" i="2" s="1"/>
  <c r="Q780" i="2"/>
  <c r="R780" i="2" s="1"/>
  <c r="S780" i="2" s="1"/>
  <c r="Q852" i="2"/>
  <c r="R852" i="2" s="1"/>
  <c r="S852" i="2" s="1"/>
  <c r="Q964" i="2"/>
  <c r="R964" i="2" s="1"/>
  <c r="S964" i="2" s="1"/>
  <c r="Q449" i="2"/>
  <c r="R449" i="2" s="1"/>
  <c r="S449" i="2" s="1"/>
  <c r="Q429" i="2"/>
  <c r="R429" i="2" s="1"/>
  <c r="S429" i="2" s="1"/>
  <c r="Q685" i="2"/>
  <c r="R685" i="2" s="1"/>
  <c r="S685" i="2" s="1"/>
  <c r="Q447" i="2"/>
  <c r="R447" i="2" s="1"/>
  <c r="S447" i="2" s="1"/>
  <c r="Q519" i="2"/>
  <c r="R519" i="2" s="1"/>
  <c r="S519" i="2" s="1"/>
  <c r="Q607" i="2"/>
  <c r="R607" i="2" s="1"/>
  <c r="S607" i="2" s="1"/>
  <c r="Q743" i="2"/>
  <c r="R743" i="2" s="1"/>
  <c r="S743" i="2" s="1"/>
  <c r="Q815" i="2"/>
  <c r="R815" i="2" s="1"/>
  <c r="S815" i="2" s="1"/>
  <c r="Q887" i="2"/>
  <c r="R887" i="2" s="1"/>
  <c r="S887" i="2" s="1"/>
  <c r="Q999" i="2"/>
  <c r="R999" i="2" s="1"/>
  <c r="S999" i="2" s="1"/>
  <c r="Q465" i="2"/>
  <c r="R465" i="2" s="1"/>
  <c r="S465" i="2" s="1"/>
  <c r="Q144" i="2"/>
  <c r="R144" i="2" s="1"/>
  <c r="S144" i="2" s="1"/>
  <c r="Q456" i="2"/>
  <c r="R456" i="2" s="1"/>
  <c r="S456" i="2" s="1"/>
  <c r="Q183" i="2"/>
  <c r="R183" i="2" s="1"/>
  <c r="S183" i="2" s="1"/>
  <c r="Q34" i="2"/>
  <c r="R34" i="2" s="1"/>
  <c r="S34" i="2" s="1"/>
  <c r="Q66" i="2"/>
  <c r="R66" i="2" s="1"/>
  <c r="S66" i="2" s="1"/>
  <c r="Q98" i="2"/>
  <c r="R98" i="2" s="1"/>
  <c r="S98" i="2" s="1"/>
  <c r="Q130" i="2"/>
  <c r="R130" i="2" s="1"/>
  <c r="S130" i="2" s="1"/>
  <c r="Q162" i="2"/>
  <c r="R162" i="2" s="1"/>
  <c r="S162" i="2" s="1"/>
  <c r="Q194" i="2"/>
  <c r="R194" i="2" s="1"/>
  <c r="S194" i="2" s="1"/>
  <c r="Q226" i="2"/>
  <c r="R226" i="2" s="1"/>
  <c r="S226" i="2" s="1"/>
  <c r="Q149" i="2"/>
  <c r="R149" i="2" s="1"/>
  <c r="S149" i="2" s="1"/>
  <c r="Q189" i="2"/>
  <c r="R189" i="2" s="1"/>
  <c r="S189" i="2" s="1"/>
  <c r="Q258" i="2"/>
  <c r="R258" i="2" s="1"/>
  <c r="S258" i="2" s="1"/>
  <c r="Q370" i="2"/>
  <c r="R370" i="2" s="1"/>
  <c r="S370" i="2" s="1"/>
  <c r="Q442" i="2"/>
  <c r="R442" i="2" s="1"/>
  <c r="S442" i="2" s="1"/>
  <c r="Q514" i="2"/>
  <c r="R514" i="2" s="1"/>
  <c r="S514" i="2" s="1"/>
  <c r="Q658" i="2"/>
  <c r="R658" i="2" s="1"/>
  <c r="S658" i="2" s="1"/>
  <c r="Q730" i="2"/>
  <c r="R730" i="2" s="1"/>
  <c r="S730" i="2" s="1"/>
  <c r="Q802" i="2"/>
  <c r="R802" i="2" s="1"/>
  <c r="S802" i="2" s="1"/>
  <c r="Q914" i="2"/>
  <c r="R914" i="2" s="1"/>
  <c r="S914" i="2" s="1"/>
  <c r="Q986" i="2"/>
  <c r="R986" i="2" s="1"/>
  <c r="S986" i="2" s="1"/>
  <c r="Q787" i="2"/>
  <c r="R787" i="2" s="1"/>
  <c r="S787" i="2" s="1"/>
  <c r="Q17" i="2"/>
  <c r="R17" i="2" s="1"/>
  <c r="S17" i="2" s="1"/>
  <c r="Q521" i="2"/>
  <c r="R521" i="2" s="1"/>
  <c r="S521" i="2" s="1"/>
  <c r="Q187" i="2"/>
  <c r="R187" i="2" s="1"/>
  <c r="S187" i="2" s="1"/>
  <c r="Q539" i="2"/>
  <c r="R539" i="2" s="1"/>
  <c r="S539" i="2" s="1"/>
  <c r="Q1003" i="2"/>
  <c r="R1003" i="2" s="1"/>
  <c r="S1003" i="2" s="1"/>
  <c r="Q193" i="2"/>
  <c r="R193" i="2" s="1"/>
  <c r="S193" i="2" s="1"/>
  <c r="Q665" i="2"/>
  <c r="R665" i="2" s="1"/>
  <c r="S665" i="2" s="1"/>
  <c r="Q308" i="2"/>
  <c r="R308" i="2" s="1"/>
  <c r="S308" i="2" s="1"/>
  <c r="Q420" i="2"/>
  <c r="R420" i="2" s="1"/>
  <c r="S420" i="2" s="1"/>
  <c r="Q492" i="2"/>
  <c r="R492" i="2" s="1"/>
  <c r="S492" i="2" s="1"/>
  <c r="Q564" i="2"/>
  <c r="R564" i="2" s="1"/>
  <c r="S564" i="2" s="1"/>
  <c r="Q676" i="2"/>
  <c r="R676" i="2" s="1"/>
  <c r="S676" i="2" s="1"/>
  <c r="Q748" i="2"/>
  <c r="R748" i="2" s="1"/>
  <c r="S748" i="2" s="1"/>
  <c r="Q820" i="2"/>
  <c r="R820" i="2" s="1"/>
  <c r="S820" i="2" s="1"/>
  <c r="Q932" i="2"/>
  <c r="R932" i="2" s="1"/>
  <c r="S932" i="2" s="1"/>
  <c r="Q1004" i="2"/>
  <c r="R1004" i="2" s="1"/>
  <c r="S1004" i="2" s="1"/>
  <c r="Q333" i="2"/>
  <c r="R333" i="2" s="1"/>
  <c r="S333" i="2" s="1"/>
  <c r="Q589" i="2"/>
  <c r="R589" i="2" s="1"/>
  <c r="S589" i="2" s="1"/>
  <c r="Q845" i="2"/>
  <c r="R845" i="2" s="1"/>
  <c r="S845" i="2" s="1"/>
  <c r="Q417" i="2"/>
  <c r="R417" i="2" s="1"/>
  <c r="S417" i="2" s="1"/>
  <c r="Q78" i="2"/>
  <c r="R78" i="2" s="1"/>
  <c r="S78" i="2" s="1"/>
  <c r="Q366" i="2"/>
  <c r="R366" i="2" s="1"/>
  <c r="S366" i="2" s="1"/>
  <c r="Q518" i="2"/>
  <c r="R518" i="2" s="1"/>
  <c r="S518" i="2" s="1"/>
  <c r="Q582" i="2"/>
  <c r="R582" i="2" s="1"/>
  <c r="S582" i="2" s="1"/>
  <c r="Q630" i="2"/>
  <c r="R630" i="2" s="1"/>
  <c r="S630" i="2" s="1"/>
  <c r="Q670" i="2"/>
  <c r="R670" i="2" s="1"/>
  <c r="S670" i="2" s="1"/>
  <c r="Q377" i="2"/>
  <c r="R377" i="2" s="1"/>
  <c r="S377" i="2" s="1"/>
  <c r="Q617" i="2"/>
  <c r="R617" i="2" s="1"/>
  <c r="S617" i="2" s="1"/>
  <c r="Q487" i="2"/>
  <c r="R487" i="2" s="1"/>
  <c r="S487" i="2" s="1"/>
  <c r="Q559" i="2"/>
  <c r="R559" i="2" s="1"/>
  <c r="S559" i="2" s="1"/>
  <c r="Q711" i="2"/>
  <c r="R711" i="2" s="1"/>
  <c r="S711" i="2" s="1"/>
  <c r="Q783" i="2"/>
  <c r="R783" i="2" s="1"/>
  <c r="S783" i="2" s="1"/>
  <c r="Q855" i="2"/>
  <c r="R855" i="2" s="1"/>
  <c r="S855" i="2" s="1"/>
  <c r="Q967" i="2"/>
  <c r="R967" i="2" s="1"/>
  <c r="S967" i="2" s="1"/>
  <c r="Q233" i="2"/>
  <c r="R233" i="2" s="1"/>
  <c r="S233" i="2" s="1"/>
  <c r="Q40" i="2"/>
  <c r="R40" i="2" s="1"/>
  <c r="S40" i="2" s="1"/>
  <c r="Q328" i="2"/>
  <c r="R328" i="2" s="1"/>
  <c r="S328" i="2" s="1"/>
  <c r="Q105" i="2"/>
  <c r="R105" i="2" s="1"/>
  <c r="S105" i="2" s="1"/>
  <c r="Q28" i="2"/>
  <c r="R28" i="2" s="1"/>
  <c r="S28" i="2" s="1"/>
  <c r="Q60" i="2"/>
  <c r="R60" i="2" s="1"/>
  <c r="S60" i="2" s="1"/>
  <c r="Q92" i="2"/>
  <c r="R92" i="2" s="1"/>
  <c r="S92" i="2" s="1"/>
  <c r="Q124" i="2"/>
  <c r="R124" i="2" s="1"/>
  <c r="S124" i="2" s="1"/>
  <c r="Q156" i="2"/>
  <c r="R156" i="2" s="1"/>
  <c r="S156" i="2" s="1"/>
  <c r="Q188" i="2"/>
  <c r="R188" i="2" s="1"/>
  <c r="S188" i="2" s="1"/>
  <c r="Q220" i="2"/>
  <c r="R220" i="2" s="1"/>
  <c r="S220" i="2" s="1"/>
  <c r="Q21" i="2"/>
  <c r="R21" i="2" s="1"/>
  <c r="S21" i="2" s="1"/>
  <c r="Q255" i="2"/>
  <c r="R255" i="2" s="1"/>
  <c r="S255" i="2" s="1"/>
  <c r="Q287" i="2"/>
  <c r="R287" i="2" s="1"/>
  <c r="S287" i="2" s="1"/>
  <c r="Q319" i="2"/>
  <c r="R319" i="2" s="1"/>
  <c r="S319" i="2" s="1"/>
  <c r="Q351" i="2"/>
  <c r="R351" i="2" s="1"/>
  <c r="S351" i="2" s="1"/>
  <c r="Q383" i="2"/>
  <c r="R383" i="2" s="1"/>
  <c r="S383" i="2" s="1"/>
  <c r="Q51" i="2"/>
  <c r="R51" i="2" s="1"/>
  <c r="S51" i="2" s="1"/>
  <c r="Q91" i="2"/>
  <c r="R91" i="2" s="1"/>
  <c r="S91" i="2" s="1"/>
  <c r="Q123" i="2"/>
  <c r="R123" i="2" s="1"/>
  <c r="S123" i="2" s="1"/>
  <c r="Q163" i="2"/>
  <c r="R163" i="2" s="1"/>
  <c r="S163" i="2" s="1"/>
  <c r="Q195" i="2"/>
  <c r="R195" i="2" s="1"/>
  <c r="S195" i="2" s="1"/>
  <c r="Q235" i="2"/>
  <c r="R235" i="2" s="1"/>
  <c r="S235" i="2" s="1"/>
  <c r="Q275" i="2"/>
  <c r="R275" i="2" s="1"/>
  <c r="S275" i="2" s="1"/>
  <c r="Q307" i="2"/>
  <c r="R307" i="2" s="1"/>
  <c r="S307" i="2" s="1"/>
  <c r="Q347" i="2"/>
  <c r="R347" i="2" s="1"/>
  <c r="S347" i="2" s="1"/>
  <c r="Q379" i="2"/>
  <c r="R379" i="2" s="1"/>
  <c r="S379" i="2" s="1"/>
  <c r="Q427" i="2"/>
  <c r="R427" i="2" s="1"/>
  <c r="S427" i="2" s="1"/>
  <c r="Q483" i="2"/>
  <c r="R483" i="2" s="1"/>
  <c r="S483" i="2" s="1"/>
  <c r="Q547" i="2"/>
  <c r="R547" i="2" s="1"/>
  <c r="S547" i="2" s="1"/>
  <c r="Q603" i="2"/>
  <c r="R603" i="2" s="1"/>
  <c r="S603" i="2" s="1"/>
  <c r="Q691" i="2"/>
  <c r="R691" i="2" s="1"/>
  <c r="S691" i="2" s="1"/>
  <c r="Q723" i="2"/>
  <c r="R723" i="2" s="1"/>
  <c r="S723" i="2" s="1"/>
  <c r="Q763" i="2"/>
  <c r="R763" i="2" s="1"/>
  <c r="S763" i="2" s="1"/>
  <c r="Q827" i="2"/>
  <c r="R827" i="2" s="1"/>
  <c r="S827" i="2" s="1"/>
  <c r="Q891" i="2"/>
  <c r="R891" i="2" s="1"/>
  <c r="S891" i="2" s="1"/>
  <c r="Q955" i="2"/>
  <c r="R955" i="2" s="1"/>
  <c r="S955" i="2" s="1"/>
  <c r="Q89" i="2"/>
  <c r="R89" i="2" s="1"/>
  <c r="S89" i="2" s="1"/>
  <c r="Q273" i="2"/>
  <c r="R273" i="2" s="1"/>
  <c r="S273" i="2" s="1"/>
  <c r="Q505" i="2"/>
  <c r="R505" i="2" s="1"/>
  <c r="S505" i="2" s="1"/>
  <c r="Q213" i="2"/>
  <c r="R213" i="2" s="1"/>
  <c r="S213" i="2" s="1"/>
  <c r="Q245" i="2"/>
  <c r="R245" i="2" s="1"/>
  <c r="S245" i="2" s="1"/>
  <c r="Q277" i="2"/>
  <c r="R277" i="2" s="1"/>
  <c r="S277" i="2" s="1"/>
  <c r="Q309" i="2"/>
  <c r="R309" i="2" s="1"/>
  <c r="S309" i="2" s="1"/>
  <c r="Q341" i="2"/>
  <c r="R341" i="2" s="1"/>
  <c r="S341" i="2" s="1"/>
  <c r="Q373" i="2"/>
  <c r="R373" i="2" s="1"/>
  <c r="S373" i="2" s="1"/>
  <c r="Q405" i="2"/>
  <c r="R405" i="2" s="1"/>
  <c r="S405" i="2" s="1"/>
  <c r="Q437" i="2"/>
  <c r="R437" i="2" s="1"/>
  <c r="S437" i="2" s="1"/>
  <c r="Q469" i="2"/>
  <c r="R469" i="2" s="1"/>
  <c r="S469" i="2" s="1"/>
  <c r="Q501" i="2"/>
  <c r="R501" i="2" s="1"/>
  <c r="S501" i="2" s="1"/>
  <c r="Q533" i="2"/>
  <c r="R533" i="2" s="1"/>
  <c r="S533" i="2" s="1"/>
  <c r="Q565" i="2"/>
  <c r="R565" i="2" s="1"/>
  <c r="S565" i="2" s="1"/>
  <c r="Q597" i="2"/>
  <c r="R597" i="2" s="1"/>
  <c r="S597" i="2" s="1"/>
  <c r="Q629" i="2"/>
  <c r="R629" i="2" s="1"/>
  <c r="S629" i="2" s="1"/>
  <c r="Q661" i="2"/>
  <c r="R661" i="2" s="1"/>
  <c r="S661" i="2" s="1"/>
  <c r="Q693" i="2"/>
  <c r="R693" i="2" s="1"/>
  <c r="S693" i="2" s="1"/>
  <c r="Q725" i="2"/>
  <c r="R725" i="2" s="1"/>
  <c r="S725" i="2" s="1"/>
  <c r="Q757" i="2"/>
  <c r="R757" i="2" s="1"/>
  <c r="S757" i="2" s="1"/>
  <c r="Q789" i="2"/>
  <c r="R789" i="2" s="1"/>
  <c r="S789" i="2" s="1"/>
  <c r="Q821" i="2"/>
  <c r="R821" i="2" s="1"/>
  <c r="S821" i="2" s="1"/>
  <c r="Q853" i="2"/>
  <c r="R853" i="2" s="1"/>
  <c r="S853" i="2" s="1"/>
  <c r="Q885" i="2"/>
  <c r="R885" i="2" s="1"/>
  <c r="S885" i="2" s="1"/>
  <c r="Q917" i="2"/>
  <c r="R917" i="2" s="1"/>
  <c r="S917" i="2" s="1"/>
  <c r="Q949" i="2"/>
  <c r="R949" i="2" s="1"/>
  <c r="S949" i="2" s="1"/>
  <c r="Q981" i="2"/>
  <c r="R981" i="2" s="1"/>
  <c r="S981" i="2" s="1"/>
  <c r="Q14" i="2"/>
  <c r="R14" i="2" s="1"/>
  <c r="S14" i="2" s="1"/>
  <c r="Q46" i="2"/>
  <c r="R46" i="2" s="1"/>
  <c r="S46" i="2" s="1"/>
  <c r="Q86" i="2"/>
  <c r="R86" i="2" s="1"/>
  <c r="S86" i="2" s="1"/>
  <c r="Q126" i="2"/>
  <c r="R126" i="2" s="1"/>
  <c r="S126" i="2" s="1"/>
  <c r="Q158" i="2"/>
  <c r="R158" i="2" s="1"/>
  <c r="S158" i="2" s="1"/>
  <c r="Q198" i="2"/>
  <c r="R198" i="2" s="1"/>
  <c r="S198" i="2" s="1"/>
  <c r="Q230" i="2"/>
  <c r="R230" i="2" s="1"/>
  <c r="S230" i="2" s="1"/>
  <c r="Q270" i="2"/>
  <c r="R270" i="2" s="1"/>
  <c r="S270" i="2" s="1"/>
  <c r="Q302" i="2"/>
  <c r="R302" i="2" s="1"/>
  <c r="S302" i="2" s="1"/>
  <c r="Q342" i="2"/>
  <c r="R342" i="2" s="1"/>
  <c r="S342" i="2" s="1"/>
  <c r="Q382" i="2"/>
  <c r="R382" i="2" s="1"/>
  <c r="S382" i="2" s="1"/>
  <c r="Q414" i="2"/>
  <c r="R414" i="2" s="1"/>
  <c r="S414" i="2" s="1"/>
  <c r="Q470" i="2"/>
  <c r="R470" i="2" s="1"/>
  <c r="S470" i="2" s="1"/>
  <c r="Q526" i="2"/>
  <c r="R526" i="2" s="1"/>
  <c r="S526" i="2" s="1"/>
  <c r="Q8" i="2"/>
  <c r="R8" i="2" s="1"/>
  <c r="S8" i="2" s="1"/>
  <c r="Q48" i="2"/>
  <c r="R48" i="2" s="1"/>
  <c r="S48" i="2" s="1"/>
  <c r="Q80" i="2"/>
  <c r="R80" i="2" s="1"/>
  <c r="S80" i="2" s="1"/>
  <c r="Q120" i="2"/>
  <c r="R120" i="2" s="1"/>
  <c r="S120" i="2" s="1"/>
  <c r="Q152" i="2"/>
  <c r="R152" i="2" s="1"/>
  <c r="S152" i="2" s="1"/>
  <c r="Q192" i="2"/>
  <c r="R192" i="2" s="1"/>
  <c r="S192" i="2" s="1"/>
  <c r="Q232" i="2"/>
  <c r="R232" i="2" s="1"/>
  <c r="S232" i="2" s="1"/>
  <c r="Q264" i="2"/>
  <c r="R264" i="2" s="1"/>
  <c r="S264" i="2" s="1"/>
  <c r="Q304" i="2"/>
  <c r="R304" i="2" s="1"/>
  <c r="S304" i="2" s="1"/>
  <c r="Q336" i="2"/>
  <c r="R336" i="2" s="1"/>
  <c r="S336" i="2" s="1"/>
  <c r="Q376" i="2"/>
  <c r="R376" i="2" s="1"/>
  <c r="S376" i="2" s="1"/>
  <c r="Q432" i="2"/>
  <c r="R432" i="2" s="1"/>
  <c r="S432" i="2" s="1"/>
  <c r="Q472" i="2"/>
  <c r="R472" i="2" s="1"/>
  <c r="S472" i="2" s="1"/>
  <c r="Q520" i="2"/>
  <c r="R520" i="2" s="1"/>
  <c r="S520" i="2" s="1"/>
  <c r="Q576" i="2"/>
  <c r="R576" i="2" s="1"/>
  <c r="S576" i="2" s="1"/>
  <c r="Q632" i="2"/>
  <c r="R632" i="2" s="1"/>
  <c r="S632" i="2" s="1"/>
  <c r="Q680" i="2"/>
  <c r="R680" i="2" s="1"/>
  <c r="S680" i="2" s="1"/>
  <c r="Q161" i="2"/>
  <c r="R161" i="2" s="1"/>
  <c r="S161" i="2" s="1"/>
  <c r="Q369" i="2"/>
  <c r="R369" i="2" s="1"/>
  <c r="S369" i="2" s="1"/>
  <c r="Q569" i="2"/>
  <c r="R569" i="2" s="1"/>
  <c r="S569" i="2" s="1"/>
  <c r="Q31" i="2"/>
  <c r="R31" i="2" s="1"/>
  <c r="S31" i="2" s="1"/>
  <c r="Q63" i="2"/>
  <c r="R63" i="2" s="1"/>
  <c r="S63" i="2" s="1"/>
  <c r="Q95" i="2"/>
  <c r="R95" i="2" s="1"/>
  <c r="S95" i="2" s="1"/>
  <c r="Q127" i="2"/>
  <c r="R127" i="2" s="1"/>
  <c r="S127" i="2" s="1"/>
  <c r="Q159" i="2"/>
  <c r="R159" i="2" s="1"/>
  <c r="S159" i="2" s="1"/>
  <c r="Q191" i="2"/>
  <c r="R191" i="2" s="1"/>
  <c r="S191" i="2" s="1"/>
  <c r="Q223" i="2"/>
  <c r="R223" i="2" s="1"/>
  <c r="S223" i="2" s="1"/>
  <c r="Q36" i="2"/>
  <c r="R36" i="2" s="1"/>
  <c r="S36" i="2" s="1"/>
  <c r="Q68" i="2"/>
  <c r="R68" i="2" s="1"/>
  <c r="S68" i="2" s="1"/>
  <c r="Q100" i="2"/>
  <c r="R100" i="2" s="1"/>
  <c r="S100" i="2" s="1"/>
  <c r="Q132" i="2"/>
  <c r="R132" i="2" s="1"/>
  <c r="S132" i="2" s="1"/>
  <c r="Q164" i="2"/>
  <c r="R164" i="2" s="1"/>
  <c r="S164" i="2" s="1"/>
  <c r="Q196" i="2"/>
  <c r="R196" i="2" s="1"/>
  <c r="S196" i="2" s="1"/>
  <c r="Q228" i="2"/>
  <c r="R228" i="2" s="1"/>
  <c r="S228" i="2" s="1"/>
  <c r="Q29" i="2"/>
  <c r="R29" i="2" s="1"/>
  <c r="S29" i="2" s="1"/>
  <c r="Q61" i="2"/>
  <c r="R61" i="2" s="1"/>
  <c r="S61" i="2" s="1"/>
  <c r="Q93" i="2"/>
  <c r="R93" i="2" s="1"/>
  <c r="S93" i="2" s="1"/>
  <c r="Q263" i="2"/>
  <c r="R263" i="2" s="1"/>
  <c r="S263" i="2" s="1"/>
  <c r="Q295" i="2"/>
  <c r="R295" i="2" s="1"/>
  <c r="S295" i="2" s="1"/>
  <c r="Q327" i="2"/>
  <c r="R327" i="2" s="1"/>
  <c r="S327" i="2" s="1"/>
  <c r="Q359" i="2"/>
  <c r="R359" i="2" s="1"/>
  <c r="S359" i="2" s="1"/>
  <c r="Q391" i="2"/>
  <c r="R391" i="2" s="1"/>
  <c r="S391" i="2" s="1"/>
  <c r="Q23" i="2"/>
  <c r="R23" i="2" s="1"/>
  <c r="S23" i="2" s="1"/>
  <c r="Q59" i="2"/>
  <c r="R59" i="2" s="1"/>
  <c r="S59" i="2" s="1"/>
  <c r="Q99" i="2"/>
  <c r="R99" i="2" s="1"/>
  <c r="S99" i="2" s="1"/>
  <c r="Q131" i="2"/>
  <c r="R131" i="2" s="1"/>
  <c r="S131" i="2" s="1"/>
  <c r="Q171" i="2"/>
  <c r="R171" i="2" s="1"/>
  <c r="S171" i="2" s="1"/>
  <c r="Q211" i="2"/>
  <c r="R211" i="2" s="1"/>
  <c r="S211" i="2" s="1"/>
  <c r="Q243" i="2"/>
  <c r="R243" i="2" s="1"/>
  <c r="S243" i="2" s="1"/>
  <c r="Q283" i="2"/>
  <c r="R283" i="2" s="1"/>
  <c r="S283" i="2" s="1"/>
  <c r="Q315" i="2"/>
  <c r="R315" i="2" s="1"/>
  <c r="S315" i="2" s="1"/>
  <c r="Q355" i="2"/>
  <c r="R355" i="2" s="1"/>
  <c r="S355" i="2" s="1"/>
  <c r="Q387" i="2"/>
  <c r="R387" i="2" s="1"/>
  <c r="S387" i="2" s="1"/>
  <c r="Q435" i="2"/>
  <c r="R435" i="2" s="1"/>
  <c r="S435" i="2" s="1"/>
  <c r="Q491" i="2"/>
  <c r="R491" i="2" s="1"/>
  <c r="S491" i="2" s="1"/>
  <c r="Q555" i="2"/>
  <c r="R555" i="2" s="1"/>
  <c r="S555" i="2" s="1"/>
  <c r="Q627" i="2"/>
  <c r="R627" i="2" s="1"/>
  <c r="S627" i="2" s="1"/>
  <c r="Q699" i="2"/>
  <c r="R699" i="2" s="1"/>
  <c r="S699" i="2" s="1"/>
  <c r="Q731" i="2"/>
  <c r="R731" i="2" s="1"/>
  <c r="S731" i="2" s="1"/>
  <c r="Q779" i="2"/>
  <c r="R779" i="2" s="1"/>
  <c r="S779" i="2" s="1"/>
  <c r="Q843" i="2"/>
  <c r="R843" i="2" s="1"/>
  <c r="S843" i="2" s="1"/>
  <c r="Q907" i="2"/>
  <c r="R907" i="2" s="1"/>
  <c r="S907" i="2" s="1"/>
  <c r="Q971" i="2"/>
  <c r="R971" i="2" s="1"/>
  <c r="S971" i="2" s="1"/>
  <c r="Q137" i="2"/>
  <c r="R137" i="2" s="1"/>
  <c r="S137" i="2" s="1"/>
  <c r="Q345" i="2"/>
  <c r="R345" i="2" s="1"/>
  <c r="S345" i="2" s="1"/>
  <c r="Q553" i="2"/>
  <c r="R553" i="2" s="1"/>
  <c r="S553" i="2" s="1"/>
  <c r="Q221" i="2"/>
  <c r="R221" i="2" s="1"/>
  <c r="S221" i="2" s="1"/>
  <c r="Q253" i="2"/>
  <c r="R253" i="2" s="1"/>
  <c r="S253" i="2" s="1"/>
  <c r="Q285" i="2"/>
  <c r="R285" i="2" s="1"/>
  <c r="S285" i="2" s="1"/>
  <c r="Q317" i="2"/>
  <c r="R317" i="2" s="1"/>
  <c r="S317" i="2" s="1"/>
  <c r="Q349" i="2"/>
  <c r="R349" i="2" s="1"/>
  <c r="S349" i="2" s="1"/>
  <c r="Q381" i="2"/>
  <c r="R381" i="2" s="1"/>
  <c r="S381" i="2" s="1"/>
  <c r="Q413" i="2"/>
  <c r="R413" i="2" s="1"/>
  <c r="S413" i="2" s="1"/>
  <c r="Q445" i="2"/>
  <c r="R445" i="2" s="1"/>
  <c r="S445" i="2" s="1"/>
  <c r="Q477" i="2"/>
  <c r="R477" i="2" s="1"/>
  <c r="S477" i="2" s="1"/>
  <c r="Q509" i="2"/>
  <c r="R509" i="2" s="1"/>
  <c r="S509" i="2" s="1"/>
  <c r="Q541" i="2"/>
  <c r="R541" i="2" s="1"/>
  <c r="S541" i="2" s="1"/>
  <c r="Q573" i="2"/>
  <c r="R573" i="2" s="1"/>
  <c r="S573" i="2" s="1"/>
  <c r="Q605" i="2"/>
  <c r="R605" i="2" s="1"/>
  <c r="S605" i="2" s="1"/>
  <c r="Q637" i="2"/>
  <c r="R637" i="2" s="1"/>
  <c r="S637" i="2" s="1"/>
  <c r="Q669" i="2"/>
  <c r="R669" i="2" s="1"/>
  <c r="S669" i="2" s="1"/>
  <c r="Q701" i="2"/>
  <c r="R701" i="2" s="1"/>
  <c r="S701" i="2" s="1"/>
  <c r="Q733" i="2"/>
  <c r="R733" i="2" s="1"/>
  <c r="S733" i="2" s="1"/>
  <c r="Q765" i="2"/>
  <c r="R765" i="2" s="1"/>
  <c r="S765" i="2" s="1"/>
  <c r="Q797" i="2"/>
  <c r="R797" i="2" s="1"/>
  <c r="S797" i="2" s="1"/>
  <c r="Q829" i="2"/>
  <c r="R829" i="2" s="1"/>
  <c r="S829" i="2" s="1"/>
  <c r="Q861" i="2"/>
  <c r="R861" i="2" s="1"/>
  <c r="S861" i="2" s="1"/>
  <c r="Q893" i="2"/>
  <c r="R893" i="2" s="1"/>
  <c r="S893" i="2" s="1"/>
  <c r="Q925" i="2"/>
  <c r="R925" i="2" s="1"/>
  <c r="S925" i="2" s="1"/>
  <c r="Q957" i="2"/>
  <c r="R957" i="2" s="1"/>
  <c r="S957" i="2" s="1"/>
  <c r="Q989" i="2"/>
  <c r="R989" i="2" s="1"/>
  <c r="S989" i="2" s="1"/>
  <c r="Q22" i="2"/>
  <c r="R22" i="2" s="1"/>
  <c r="S22" i="2" s="1"/>
  <c r="Q62" i="2"/>
  <c r="R62" i="2" s="1"/>
  <c r="S62" i="2" s="1"/>
  <c r="Q94" i="2"/>
  <c r="R94" i="2" s="1"/>
  <c r="S94" i="2" s="1"/>
  <c r="Q134" i="2"/>
  <c r="R134" i="2" s="1"/>
  <c r="S134" i="2" s="1"/>
  <c r="Q166" i="2"/>
  <c r="R166" i="2" s="1"/>
  <c r="S166" i="2" s="1"/>
  <c r="Q206" i="2"/>
  <c r="R206" i="2" s="1"/>
  <c r="S206" i="2" s="1"/>
  <c r="Q238" i="2"/>
  <c r="R238" i="2" s="1"/>
  <c r="S238" i="2" s="1"/>
  <c r="Q278" i="2"/>
  <c r="R278" i="2" s="1"/>
  <c r="S278" i="2" s="1"/>
  <c r="Q318" i="2"/>
  <c r="R318" i="2" s="1"/>
  <c r="S318" i="2" s="1"/>
  <c r="Q350" i="2"/>
  <c r="R350" i="2" s="1"/>
  <c r="S350" i="2" s="1"/>
  <c r="Q390" i="2"/>
  <c r="R390" i="2" s="1"/>
  <c r="S390" i="2" s="1"/>
  <c r="Q430" i="2"/>
  <c r="R430" i="2" s="1"/>
  <c r="S430" i="2" s="1"/>
  <c r="Q478" i="2"/>
  <c r="R478" i="2" s="1"/>
  <c r="S478" i="2" s="1"/>
  <c r="Q534" i="2"/>
  <c r="R534" i="2" s="1"/>
  <c r="S534" i="2" s="1"/>
  <c r="Q16" i="2"/>
  <c r="R16" i="2" s="1"/>
  <c r="S16" i="2" s="1"/>
  <c r="Q56" i="2"/>
  <c r="R56" i="2" s="1"/>
  <c r="S56" i="2" s="1"/>
  <c r="Q88" i="2"/>
  <c r="R88" i="2" s="1"/>
  <c r="S88" i="2" s="1"/>
  <c r="Q128" i="2"/>
  <c r="R128" i="2" s="1"/>
  <c r="S128" i="2" s="1"/>
  <c r="Q168" i="2"/>
  <c r="R168" i="2" s="1"/>
  <c r="S168" i="2" s="1"/>
  <c r="Q200" i="2"/>
  <c r="R200" i="2" s="1"/>
  <c r="S200" i="2" s="1"/>
  <c r="Q240" i="2"/>
  <c r="R240" i="2" s="1"/>
  <c r="S240" i="2" s="1"/>
  <c r="Q272" i="2"/>
  <c r="R272" i="2" s="1"/>
  <c r="S272" i="2" s="1"/>
  <c r="Q312" i="2"/>
  <c r="R312" i="2" s="1"/>
  <c r="S312" i="2" s="1"/>
  <c r="Q344" i="2"/>
  <c r="R344" i="2" s="1"/>
  <c r="S344" i="2" s="1"/>
  <c r="Q384" i="2"/>
  <c r="R384" i="2" s="1"/>
  <c r="S384" i="2" s="1"/>
  <c r="Q440" i="2"/>
  <c r="R440" i="2" s="1"/>
  <c r="S440" i="2" s="1"/>
  <c r="Q496" i="2"/>
  <c r="R496" i="2" s="1"/>
  <c r="S496" i="2" s="1"/>
  <c r="Q536" i="2"/>
  <c r="R536" i="2" s="1"/>
  <c r="S536" i="2" s="1"/>
  <c r="Q584" i="2"/>
  <c r="R584" i="2" s="1"/>
  <c r="S584" i="2" s="1"/>
  <c r="Q640" i="2"/>
  <c r="R640" i="2" s="1"/>
  <c r="S640" i="2" s="1"/>
  <c r="Q9" i="2"/>
  <c r="R9" i="2" s="1"/>
  <c r="S9" i="2" s="1"/>
  <c r="Q209" i="2"/>
  <c r="R209" i="2" s="1"/>
  <c r="S209" i="2" s="1"/>
  <c r="Q425" i="2"/>
  <c r="R425" i="2" s="1"/>
  <c r="S425" i="2" s="1"/>
  <c r="Q625" i="2"/>
  <c r="R625" i="2" s="1"/>
  <c r="S625" i="2" s="1"/>
  <c r="Q7" i="2"/>
  <c r="R7" i="2" s="1"/>
  <c r="S7" i="2" s="1"/>
  <c r="Q39" i="2"/>
  <c r="R39" i="2" s="1"/>
  <c r="S39" i="2" s="1"/>
  <c r="Q71" i="2"/>
  <c r="R71" i="2" s="1"/>
  <c r="S71" i="2" s="1"/>
  <c r="Q103" i="2"/>
  <c r="R103" i="2" s="1"/>
  <c r="S103" i="2" s="1"/>
  <c r="Q135" i="2"/>
  <c r="R135" i="2" s="1"/>
  <c r="S135" i="2" s="1"/>
  <c r="Q167" i="2"/>
  <c r="R167" i="2" s="1"/>
  <c r="S167" i="2" s="1"/>
  <c r="Q199" i="2"/>
  <c r="R199" i="2" s="1"/>
  <c r="S199" i="2" s="1"/>
  <c r="Q231" i="2"/>
  <c r="R231" i="2" s="1"/>
  <c r="S231" i="2" s="1"/>
  <c r="Q12" i="2"/>
  <c r="R12" i="2" s="1"/>
  <c r="S12" i="2" s="1"/>
  <c r="Q44" i="2"/>
  <c r="R44" i="2" s="1"/>
  <c r="S44" i="2" s="1"/>
  <c r="Q76" i="2"/>
  <c r="R76" i="2" s="1"/>
  <c r="S76" i="2" s="1"/>
  <c r="Q108" i="2"/>
  <c r="R108" i="2" s="1"/>
  <c r="S108" i="2" s="1"/>
  <c r="Q140" i="2"/>
  <c r="R140" i="2" s="1"/>
  <c r="S140" i="2" s="1"/>
  <c r="Q172" i="2"/>
  <c r="R172" i="2" s="1"/>
  <c r="S172" i="2" s="1"/>
  <c r="Q204" i="2"/>
  <c r="R204" i="2" s="1"/>
  <c r="S204" i="2" s="1"/>
  <c r="Q236" i="2"/>
  <c r="R236" i="2" s="1"/>
  <c r="S236" i="2" s="1"/>
  <c r="Q37" i="2"/>
  <c r="R37" i="2" s="1"/>
  <c r="S37" i="2" s="1"/>
  <c r="Q69" i="2"/>
  <c r="R69" i="2" s="1"/>
  <c r="S69" i="2" s="1"/>
  <c r="Q101" i="2"/>
  <c r="R101" i="2" s="1"/>
  <c r="S101" i="2" s="1"/>
  <c r="Q133" i="2"/>
  <c r="R133" i="2" s="1"/>
  <c r="S133" i="2" s="1"/>
  <c r="Q165" i="2"/>
  <c r="R165" i="2" s="1"/>
  <c r="S165" i="2" s="1"/>
  <c r="Q197" i="2"/>
  <c r="R197" i="2" s="1"/>
  <c r="S197" i="2" s="1"/>
  <c r="Q239" i="2"/>
  <c r="R239" i="2" s="1"/>
  <c r="S239" i="2" s="1"/>
  <c r="Q271" i="2"/>
  <c r="R271" i="2" s="1"/>
  <c r="S271" i="2" s="1"/>
  <c r="Q303" i="2"/>
  <c r="R303" i="2" s="1"/>
  <c r="S303" i="2" s="1"/>
  <c r="Q335" i="2"/>
  <c r="R335" i="2" s="1"/>
  <c r="S335" i="2" s="1"/>
  <c r="Q367" i="2"/>
  <c r="R367" i="2" s="1"/>
  <c r="S367" i="2" s="1"/>
  <c r="Q399" i="2"/>
  <c r="R399" i="2" s="1"/>
  <c r="S399" i="2" s="1"/>
  <c r="Q87" i="2"/>
  <c r="R87" i="2" s="1"/>
  <c r="S87" i="2" s="1"/>
  <c r="Q67" i="2"/>
  <c r="R67" i="2" s="1"/>
  <c r="S67" i="2" s="1"/>
  <c r="Q107" i="2"/>
  <c r="R107" i="2" s="1"/>
  <c r="S107" i="2" s="1"/>
  <c r="Q147" i="2"/>
  <c r="R147" i="2" s="1"/>
  <c r="S147" i="2" s="1"/>
  <c r="Q179" i="2"/>
  <c r="R179" i="2" s="1"/>
  <c r="S179" i="2" s="1"/>
  <c r="Q219" i="2"/>
  <c r="R219" i="2" s="1"/>
  <c r="S219" i="2" s="1"/>
  <c r="Q251" i="2"/>
  <c r="R251" i="2" s="1"/>
  <c r="S251" i="2" s="1"/>
  <c r="Q291" i="2"/>
  <c r="R291" i="2" s="1"/>
  <c r="S291" i="2" s="1"/>
  <c r="Q323" i="2"/>
  <c r="R323" i="2" s="1"/>
  <c r="S323" i="2" s="1"/>
  <c r="Q363" i="2"/>
  <c r="R363" i="2" s="1"/>
  <c r="S363" i="2" s="1"/>
  <c r="Q411" i="2"/>
  <c r="R411" i="2" s="1"/>
  <c r="S411" i="2" s="1"/>
  <c r="Q451" i="2"/>
  <c r="R451" i="2" s="1"/>
  <c r="S451" i="2" s="1"/>
  <c r="Q499" i="2"/>
  <c r="R499" i="2" s="1"/>
  <c r="S499" i="2" s="1"/>
  <c r="Q563" i="2"/>
  <c r="R563" i="2" s="1"/>
  <c r="S563" i="2" s="1"/>
  <c r="Q643" i="2"/>
  <c r="R643" i="2" s="1"/>
  <c r="S643" i="2" s="1"/>
  <c r="Q707" i="2"/>
  <c r="R707" i="2" s="1"/>
  <c r="S707" i="2" s="1"/>
  <c r="Q739" i="2"/>
  <c r="R739" i="2" s="1"/>
  <c r="S739" i="2" s="1"/>
  <c r="Q795" i="2"/>
  <c r="R795" i="2" s="1"/>
  <c r="S795" i="2" s="1"/>
  <c r="Q859" i="2"/>
  <c r="R859" i="2" s="1"/>
  <c r="S859" i="2" s="1"/>
  <c r="Q923" i="2"/>
  <c r="R923" i="2" s="1"/>
  <c r="S923" i="2" s="1"/>
  <c r="Q987" i="2"/>
  <c r="R987" i="2" s="1"/>
  <c r="S987" i="2" s="1"/>
  <c r="Q177" i="2"/>
  <c r="R177" i="2" s="1"/>
  <c r="S177" i="2" s="1"/>
  <c r="Q393" i="2"/>
  <c r="R393" i="2" s="1"/>
  <c r="S393" i="2" s="1"/>
  <c r="Q601" i="2"/>
  <c r="R601" i="2" s="1"/>
  <c r="S601" i="2" s="1"/>
  <c r="Q229" i="2"/>
  <c r="R229" i="2" s="1"/>
  <c r="S229" i="2" s="1"/>
  <c r="Q261" i="2"/>
  <c r="R261" i="2" s="1"/>
  <c r="S261" i="2" s="1"/>
  <c r="Q293" i="2"/>
  <c r="R293" i="2" s="1"/>
  <c r="S293" i="2" s="1"/>
  <c r="Q325" i="2"/>
  <c r="R325" i="2" s="1"/>
  <c r="S325" i="2" s="1"/>
  <c r="Q357" i="2"/>
  <c r="R357" i="2" s="1"/>
  <c r="S357" i="2" s="1"/>
  <c r="Q389" i="2"/>
  <c r="R389" i="2" s="1"/>
  <c r="S389" i="2" s="1"/>
  <c r="Q421" i="2"/>
  <c r="R421" i="2" s="1"/>
  <c r="S421" i="2" s="1"/>
  <c r="Q453" i="2"/>
  <c r="R453" i="2" s="1"/>
  <c r="S453" i="2" s="1"/>
  <c r="Q485" i="2"/>
  <c r="R485" i="2" s="1"/>
  <c r="S485" i="2" s="1"/>
  <c r="Q517" i="2"/>
  <c r="R517" i="2" s="1"/>
  <c r="S517" i="2" s="1"/>
  <c r="Q549" i="2"/>
  <c r="R549" i="2" s="1"/>
  <c r="S549" i="2" s="1"/>
  <c r="Q581" i="2"/>
  <c r="R581" i="2" s="1"/>
  <c r="S581" i="2" s="1"/>
  <c r="Q613" i="2"/>
  <c r="R613" i="2" s="1"/>
  <c r="S613" i="2" s="1"/>
  <c r="Q645" i="2"/>
  <c r="R645" i="2" s="1"/>
  <c r="S645" i="2" s="1"/>
  <c r="Q677" i="2"/>
  <c r="R677" i="2" s="1"/>
  <c r="S677" i="2" s="1"/>
  <c r="Q709" i="2"/>
  <c r="R709" i="2" s="1"/>
  <c r="S709" i="2" s="1"/>
  <c r="Q741" i="2"/>
  <c r="R741" i="2" s="1"/>
  <c r="S741" i="2" s="1"/>
  <c r="Q773" i="2"/>
  <c r="R773" i="2" s="1"/>
  <c r="S773" i="2" s="1"/>
  <c r="Q805" i="2"/>
  <c r="R805" i="2" s="1"/>
  <c r="S805" i="2" s="1"/>
  <c r="Q837" i="2"/>
  <c r="R837" i="2" s="1"/>
  <c r="S837" i="2" s="1"/>
  <c r="Q869" i="2"/>
  <c r="R869" i="2" s="1"/>
  <c r="S869" i="2" s="1"/>
  <c r="Q901" i="2"/>
  <c r="R901" i="2" s="1"/>
  <c r="S901" i="2" s="1"/>
  <c r="Q933" i="2"/>
  <c r="R933" i="2" s="1"/>
  <c r="S933" i="2" s="1"/>
  <c r="Q965" i="2"/>
  <c r="R965" i="2" s="1"/>
  <c r="S965" i="2" s="1"/>
  <c r="Q997" i="2"/>
  <c r="R997" i="2" s="1"/>
  <c r="S997" i="2" s="1"/>
  <c r="Q30" i="2"/>
  <c r="R30" i="2" s="1"/>
  <c r="S30" i="2" s="1"/>
  <c r="Q70" i="2"/>
  <c r="R70" i="2" s="1"/>
  <c r="S70" i="2" s="1"/>
  <c r="Q102" i="2"/>
  <c r="R102" i="2" s="1"/>
  <c r="S102" i="2" s="1"/>
  <c r="Q142" i="2"/>
  <c r="R142" i="2" s="1"/>
  <c r="S142" i="2" s="1"/>
  <c r="Q174" i="2"/>
  <c r="R174" i="2" s="1"/>
  <c r="S174" i="2" s="1"/>
  <c r="Q214" i="2"/>
  <c r="R214" i="2" s="1"/>
  <c r="S214" i="2" s="1"/>
  <c r="Q254" i="2"/>
  <c r="R254" i="2" s="1"/>
  <c r="S254" i="2" s="1"/>
  <c r="Q286" i="2"/>
  <c r="R286" i="2" s="1"/>
  <c r="S286" i="2" s="1"/>
  <c r="Q326" i="2"/>
  <c r="R326" i="2" s="1"/>
  <c r="S326" i="2" s="1"/>
  <c r="Q358" i="2"/>
  <c r="R358" i="2" s="1"/>
  <c r="S358" i="2" s="1"/>
  <c r="Q398" i="2"/>
  <c r="R398" i="2" s="1"/>
  <c r="S398" i="2" s="1"/>
  <c r="Q454" i="2"/>
  <c r="R454" i="2" s="1"/>
  <c r="S454" i="2" s="1"/>
  <c r="Q24" i="2"/>
  <c r="R24" i="2" s="1"/>
  <c r="S24" i="2" s="1"/>
  <c r="Q64" i="2"/>
  <c r="R64" i="2" s="1"/>
  <c r="S64" i="2" s="1"/>
  <c r="Q104" i="2"/>
  <c r="R104" i="2" s="1"/>
  <c r="S104" i="2" s="1"/>
  <c r="Q136" i="2"/>
  <c r="R136" i="2" s="1"/>
  <c r="S136" i="2" s="1"/>
  <c r="Q176" i="2"/>
  <c r="R176" i="2" s="1"/>
  <c r="S176" i="2" s="1"/>
  <c r="Q208" i="2"/>
  <c r="R208" i="2" s="1"/>
  <c r="S208" i="2" s="1"/>
  <c r="Q248" i="2"/>
  <c r="R248" i="2" s="1"/>
  <c r="S248" i="2" s="1"/>
  <c r="Q280" i="2"/>
  <c r="R280" i="2" s="1"/>
  <c r="S280" i="2" s="1"/>
  <c r="Q320" i="2"/>
  <c r="R320" i="2" s="1"/>
  <c r="S320" i="2" s="1"/>
  <c r="Q360" i="2"/>
  <c r="R360" i="2" s="1"/>
  <c r="S360" i="2" s="1"/>
  <c r="Q392" i="2"/>
  <c r="R392" i="2" s="1"/>
  <c r="S392" i="2" s="1"/>
  <c r="Q448" i="2"/>
  <c r="R448" i="2" s="1"/>
  <c r="S448" i="2" s="1"/>
  <c r="Q504" i="2"/>
  <c r="R504" i="2" s="1"/>
  <c r="S504" i="2" s="1"/>
  <c r="Q560" i="2"/>
  <c r="R560" i="2" s="1"/>
  <c r="S560" i="2" s="1"/>
  <c r="Q592" i="2"/>
  <c r="R592" i="2" s="1"/>
  <c r="S592" i="2" s="1"/>
  <c r="Q648" i="2"/>
  <c r="R648" i="2" s="1"/>
  <c r="S648" i="2" s="1"/>
  <c r="Q57" i="2"/>
  <c r="R57" i="2" s="1"/>
  <c r="S57" i="2" s="1"/>
  <c r="Q265" i="2"/>
  <c r="R265" i="2" s="1"/>
  <c r="S265" i="2" s="1"/>
  <c r="Q481" i="2"/>
  <c r="R481" i="2" s="1"/>
  <c r="S481" i="2" s="1"/>
  <c r="Q681" i="2"/>
  <c r="R681" i="2" s="1"/>
  <c r="S681" i="2" s="1"/>
  <c r="Q55" i="2"/>
  <c r="R55" i="2" s="1"/>
  <c r="S55" i="2" s="1"/>
  <c r="Q15" i="2"/>
  <c r="R15" i="2" s="1"/>
  <c r="S15" i="2" s="1"/>
  <c r="Q47" i="2"/>
  <c r="R47" i="2" s="1"/>
  <c r="S47" i="2" s="1"/>
  <c r="Q79" i="2"/>
  <c r="R79" i="2" s="1"/>
  <c r="S79" i="2" s="1"/>
  <c r="Q111" i="2"/>
  <c r="R111" i="2" s="1"/>
  <c r="S111" i="2" s="1"/>
  <c r="Q143" i="2"/>
  <c r="R143" i="2" s="1"/>
  <c r="S143" i="2" s="1"/>
  <c r="Q175" i="2"/>
  <c r="R175" i="2" s="1"/>
  <c r="S175" i="2" s="1"/>
  <c r="Q207" i="2"/>
  <c r="R207" i="2" s="1"/>
  <c r="S207" i="2" s="1"/>
  <c r="Q20" i="2"/>
  <c r="R20" i="2" s="1"/>
  <c r="S20" i="2" s="1"/>
  <c r="Q52" i="2"/>
  <c r="R52" i="2" s="1"/>
  <c r="S52" i="2" s="1"/>
  <c r="Q84" i="2"/>
  <c r="R84" i="2" s="1"/>
  <c r="S84" i="2" s="1"/>
  <c r="Q116" i="2"/>
  <c r="R116" i="2" s="1"/>
  <c r="S116" i="2" s="1"/>
  <c r="Q148" i="2"/>
  <c r="R148" i="2" s="1"/>
  <c r="S148" i="2" s="1"/>
  <c r="Q180" i="2"/>
  <c r="R180" i="2" s="1"/>
  <c r="S180" i="2" s="1"/>
  <c r="Q212" i="2"/>
  <c r="R212" i="2" s="1"/>
  <c r="S212" i="2" s="1"/>
  <c r="Q13" i="2"/>
  <c r="R13" i="2" s="1"/>
  <c r="S13" i="2" s="1"/>
  <c r="Q45" i="2"/>
  <c r="R45" i="2" s="1"/>
  <c r="S45" i="2" s="1"/>
  <c r="Q77" i="2"/>
  <c r="R77" i="2" s="1"/>
  <c r="S77" i="2" s="1"/>
  <c r="Q109" i="2"/>
  <c r="R109" i="2" s="1"/>
  <c r="S109" i="2" s="1"/>
  <c r="Q141" i="2"/>
  <c r="R141" i="2" s="1"/>
  <c r="S141" i="2" s="1"/>
  <c r="Q173" i="2"/>
  <c r="R173" i="2" s="1"/>
  <c r="S173" i="2" s="1"/>
  <c r="Q205" i="2"/>
  <c r="R205" i="2" s="1"/>
  <c r="S205" i="2" s="1"/>
  <c r="Q266" i="2"/>
  <c r="R266" i="2" s="1"/>
  <c r="S266" i="2" s="1"/>
  <c r="Q298" i="2"/>
  <c r="R298" i="2" s="1"/>
  <c r="S298" i="2" s="1"/>
  <c r="Q330" i="2"/>
  <c r="R330" i="2" s="1"/>
  <c r="S330" i="2" s="1"/>
  <c r="Q362" i="2"/>
  <c r="R362" i="2" s="1"/>
  <c r="S362" i="2" s="1"/>
  <c r="Q394" i="2"/>
  <c r="R394" i="2" s="1"/>
  <c r="S394" i="2" s="1"/>
  <c r="Q426" i="2"/>
  <c r="R426" i="2" s="1"/>
  <c r="S426" i="2" s="1"/>
  <c r="Q458" i="2"/>
  <c r="R458" i="2" s="1"/>
  <c r="S458" i="2" s="1"/>
  <c r="Q490" i="2"/>
  <c r="R490" i="2" s="1"/>
  <c r="S490" i="2" s="1"/>
  <c r="Q522" i="2"/>
  <c r="R522" i="2" s="1"/>
  <c r="S522" i="2" s="1"/>
  <c r="Q554" i="2"/>
  <c r="R554" i="2" s="1"/>
  <c r="S554" i="2" s="1"/>
  <c r="Q594" i="2"/>
  <c r="R594" i="2" s="1"/>
  <c r="S594" i="2" s="1"/>
  <c r="Q642" i="2"/>
  <c r="R642" i="2" s="1"/>
  <c r="S642" i="2" s="1"/>
  <c r="Q682" i="2"/>
  <c r="R682" i="2" s="1"/>
  <c r="S682" i="2" s="1"/>
  <c r="Q714" i="2"/>
  <c r="R714" i="2" s="1"/>
  <c r="S714" i="2" s="1"/>
  <c r="Q746" i="2"/>
  <c r="R746" i="2" s="1"/>
  <c r="S746" i="2" s="1"/>
  <c r="Q778" i="2"/>
  <c r="R778" i="2" s="1"/>
  <c r="S778" i="2" s="1"/>
  <c r="Q810" i="2"/>
  <c r="R810" i="2" s="1"/>
  <c r="S810" i="2" s="1"/>
  <c r="Q842" i="2"/>
  <c r="R842" i="2" s="1"/>
  <c r="S842" i="2" s="1"/>
  <c r="Q874" i="2"/>
  <c r="R874" i="2" s="1"/>
  <c r="S874" i="2" s="1"/>
  <c r="Q906" i="2"/>
  <c r="R906" i="2" s="1"/>
  <c r="S906" i="2" s="1"/>
  <c r="Q938" i="2"/>
  <c r="R938" i="2" s="1"/>
  <c r="S938" i="2" s="1"/>
  <c r="Q970" i="2"/>
  <c r="R970" i="2" s="1"/>
  <c r="S970" i="2" s="1"/>
  <c r="Q1002" i="2"/>
  <c r="R1002" i="2" s="1"/>
  <c r="S1002" i="2" s="1"/>
  <c r="Q667" i="2"/>
  <c r="R667" i="2" s="1"/>
  <c r="S667" i="2" s="1"/>
  <c r="Q803" i="2"/>
  <c r="R803" i="2" s="1"/>
  <c r="S803" i="2" s="1"/>
  <c r="Q867" i="2"/>
  <c r="R867" i="2" s="1"/>
  <c r="S867" i="2" s="1"/>
  <c r="Q931" i="2"/>
  <c r="R931" i="2" s="1"/>
  <c r="S931" i="2" s="1"/>
  <c r="Q995" i="2"/>
  <c r="R995" i="2" s="1"/>
  <c r="S995" i="2" s="1"/>
  <c r="Q169" i="2"/>
  <c r="R169" i="2" s="1"/>
  <c r="S169" i="2" s="1"/>
  <c r="Q401" i="2"/>
  <c r="R401" i="2" s="1"/>
  <c r="S401" i="2" s="1"/>
  <c r="Q657" i="2"/>
  <c r="R657" i="2" s="1"/>
  <c r="S657" i="2" s="1"/>
  <c r="Q145" i="2"/>
  <c r="R145" i="2" s="1"/>
  <c r="S145" i="2" s="1"/>
  <c r="Q337" i="2"/>
  <c r="R337" i="2" s="1"/>
  <c r="S337" i="2" s="1"/>
  <c r="Q561" i="2"/>
  <c r="R561" i="2" s="1"/>
  <c r="S561" i="2" s="1"/>
  <c r="Q252" i="2"/>
  <c r="R252" i="2" s="1"/>
  <c r="S252" i="2" s="1"/>
  <c r="Q284" i="2"/>
  <c r="R284" i="2" s="1"/>
  <c r="S284" i="2" s="1"/>
  <c r="Q316" i="2"/>
  <c r="R316" i="2" s="1"/>
  <c r="S316" i="2" s="1"/>
  <c r="Q348" i="2"/>
  <c r="R348" i="2" s="1"/>
  <c r="S348" i="2" s="1"/>
  <c r="Q380" i="2"/>
  <c r="R380" i="2" s="1"/>
  <c r="S380" i="2" s="1"/>
  <c r="Q412" i="2"/>
  <c r="R412" i="2" s="1"/>
  <c r="S412" i="2" s="1"/>
  <c r="Q444" i="2"/>
  <c r="R444" i="2" s="1"/>
  <c r="S444" i="2" s="1"/>
  <c r="Q476" i="2"/>
  <c r="R476" i="2" s="1"/>
  <c r="S476" i="2" s="1"/>
  <c r="Q508" i="2"/>
  <c r="R508" i="2" s="1"/>
  <c r="S508" i="2" s="1"/>
  <c r="Q540" i="2"/>
  <c r="R540" i="2" s="1"/>
  <c r="S540" i="2" s="1"/>
  <c r="Q572" i="2"/>
  <c r="R572" i="2" s="1"/>
  <c r="S572" i="2" s="1"/>
  <c r="Q604" i="2"/>
  <c r="R604" i="2" s="1"/>
  <c r="S604" i="2" s="1"/>
  <c r="Q636" i="2"/>
  <c r="R636" i="2" s="1"/>
  <c r="S636" i="2" s="1"/>
  <c r="Q668" i="2"/>
  <c r="R668" i="2" s="1"/>
  <c r="S668" i="2" s="1"/>
  <c r="Q700" i="2"/>
  <c r="R700" i="2" s="1"/>
  <c r="S700" i="2" s="1"/>
  <c r="Q732" i="2"/>
  <c r="R732" i="2" s="1"/>
  <c r="S732" i="2" s="1"/>
  <c r="Q764" i="2"/>
  <c r="R764" i="2" s="1"/>
  <c r="S764" i="2" s="1"/>
  <c r="Q796" i="2"/>
  <c r="R796" i="2" s="1"/>
  <c r="S796" i="2" s="1"/>
  <c r="Q828" i="2"/>
  <c r="R828" i="2" s="1"/>
  <c r="S828" i="2" s="1"/>
  <c r="Q860" i="2"/>
  <c r="R860" i="2" s="1"/>
  <c r="S860" i="2" s="1"/>
  <c r="Q892" i="2"/>
  <c r="R892" i="2" s="1"/>
  <c r="S892" i="2" s="1"/>
  <c r="Q924" i="2"/>
  <c r="R924" i="2" s="1"/>
  <c r="S924" i="2" s="1"/>
  <c r="Q956" i="2"/>
  <c r="R956" i="2" s="1"/>
  <c r="S956" i="2" s="1"/>
  <c r="Q988" i="2"/>
  <c r="R988" i="2" s="1"/>
  <c r="S988" i="2" s="1"/>
  <c r="Q153" i="2"/>
  <c r="R153" i="2" s="1"/>
  <c r="S153" i="2" s="1"/>
  <c r="Q361" i="2"/>
  <c r="R361" i="2" s="1"/>
  <c r="S361" i="2" s="1"/>
  <c r="Q585" i="2"/>
  <c r="R585" i="2" s="1"/>
  <c r="S585" i="2" s="1"/>
  <c r="Q247" i="2"/>
  <c r="R247" i="2" s="1"/>
  <c r="S247" i="2" s="1"/>
  <c r="Q279" i="2"/>
  <c r="R279" i="2" s="1"/>
  <c r="S279" i="2" s="1"/>
  <c r="Q311" i="2"/>
  <c r="R311" i="2" s="1"/>
  <c r="S311" i="2" s="1"/>
  <c r="Q343" i="2"/>
  <c r="R343" i="2" s="1"/>
  <c r="S343" i="2" s="1"/>
  <c r="Q375" i="2"/>
  <c r="R375" i="2" s="1"/>
  <c r="S375" i="2" s="1"/>
  <c r="Q407" i="2"/>
  <c r="R407" i="2" s="1"/>
  <c r="S407" i="2" s="1"/>
  <c r="Q439" i="2"/>
  <c r="R439" i="2" s="1"/>
  <c r="S439" i="2" s="1"/>
  <c r="Q471" i="2"/>
  <c r="R471" i="2" s="1"/>
  <c r="S471" i="2" s="1"/>
  <c r="Q503" i="2"/>
  <c r="R503" i="2" s="1"/>
  <c r="S503" i="2" s="1"/>
  <c r="Q535" i="2"/>
  <c r="R535" i="2" s="1"/>
  <c r="S535" i="2" s="1"/>
  <c r="Q567" i="2"/>
  <c r="R567" i="2" s="1"/>
  <c r="S567" i="2" s="1"/>
  <c r="Q615" i="2"/>
  <c r="R615" i="2" s="1"/>
  <c r="S615" i="2" s="1"/>
  <c r="Q671" i="2"/>
  <c r="R671" i="2" s="1"/>
  <c r="S671" i="2" s="1"/>
  <c r="Q703" i="2"/>
  <c r="R703" i="2" s="1"/>
  <c r="S703" i="2" s="1"/>
  <c r="Q735" i="2"/>
  <c r="R735" i="2" s="1"/>
  <c r="S735" i="2" s="1"/>
  <c r="Q767" i="2"/>
  <c r="R767" i="2" s="1"/>
  <c r="S767" i="2" s="1"/>
  <c r="Q799" i="2"/>
  <c r="R799" i="2" s="1"/>
  <c r="S799" i="2" s="1"/>
  <c r="Q831" i="2"/>
  <c r="R831" i="2" s="1"/>
  <c r="S831" i="2" s="1"/>
  <c r="Q863" i="2"/>
  <c r="R863" i="2" s="1"/>
  <c r="S863" i="2" s="1"/>
  <c r="Q895" i="2"/>
  <c r="R895" i="2" s="1"/>
  <c r="S895" i="2" s="1"/>
  <c r="Q927" i="2"/>
  <c r="R927" i="2" s="1"/>
  <c r="S927" i="2" s="1"/>
  <c r="Q959" i="2"/>
  <c r="R959" i="2" s="1"/>
  <c r="S959" i="2" s="1"/>
  <c r="Q991" i="2"/>
  <c r="R991" i="2" s="1"/>
  <c r="S991" i="2" s="1"/>
  <c r="Q129" i="2"/>
  <c r="R129" i="2" s="1"/>
  <c r="S129" i="2" s="1"/>
  <c r="Q353" i="2"/>
  <c r="R353" i="2" s="1"/>
  <c r="S353" i="2" s="1"/>
  <c r="Q593" i="2"/>
  <c r="R593" i="2" s="1"/>
  <c r="S593" i="2" s="1"/>
  <c r="C12" i="4" l="1"/>
  <c r="Q368" i="3"/>
  <c r="R368" i="3" s="1"/>
  <c r="S368" i="3" s="1"/>
  <c r="Q174" i="3"/>
  <c r="R174" i="3" s="1"/>
  <c r="S174" i="3" s="1"/>
  <c r="Q750" i="3"/>
  <c r="R750" i="3" s="1"/>
  <c r="S750" i="3" s="1"/>
  <c r="Q818" i="3"/>
  <c r="R818" i="3" s="1"/>
  <c r="S818" i="3" s="1"/>
  <c r="Q909" i="3"/>
  <c r="R909" i="3" s="1"/>
  <c r="S909" i="3" s="1"/>
  <c r="Q838" i="3"/>
  <c r="R838" i="3" s="1"/>
  <c r="S838" i="3" s="1"/>
  <c r="Q795" i="3"/>
  <c r="R795" i="3" s="1"/>
  <c r="S795" i="3" s="1"/>
  <c r="Q936" i="3"/>
  <c r="R936" i="3" s="1"/>
  <c r="S936" i="3" s="1"/>
  <c r="Q814" i="3"/>
  <c r="R814" i="3" s="1"/>
  <c r="S814" i="3" s="1"/>
  <c r="Q7" i="3"/>
  <c r="R7" i="3" s="1"/>
  <c r="S7" i="3" s="1"/>
  <c r="Q693" i="3"/>
  <c r="R693" i="3" s="1"/>
  <c r="S693" i="3" s="1"/>
  <c r="Q896" i="3"/>
  <c r="R896" i="3" s="1"/>
  <c r="S896" i="3" s="1"/>
  <c r="Q189" i="3"/>
  <c r="R189" i="3" s="1"/>
  <c r="S189" i="3" s="1"/>
  <c r="Q151" i="3"/>
  <c r="R151" i="3" s="1"/>
  <c r="S151" i="3" s="1"/>
  <c r="Q190" i="3"/>
  <c r="R190" i="3" s="1"/>
  <c r="S190" i="3" s="1"/>
  <c r="Q870" i="3"/>
  <c r="R870" i="3" s="1"/>
  <c r="S870" i="3" s="1"/>
  <c r="Q87" i="3"/>
  <c r="R87" i="3" s="1"/>
  <c r="S87" i="3" s="1"/>
  <c r="Q758" i="3"/>
  <c r="R758" i="3" s="1"/>
  <c r="S758" i="3" s="1"/>
  <c r="Q159" i="3"/>
  <c r="R159" i="3" s="1"/>
  <c r="S159" i="3" s="1"/>
  <c r="Q96" i="3"/>
  <c r="R96" i="3" s="1"/>
  <c r="S96" i="3" s="1"/>
  <c r="Q485" i="3"/>
  <c r="R485" i="3" s="1"/>
  <c r="S485" i="3" s="1"/>
  <c r="Q710" i="3"/>
  <c r="R710" i="3" s="1"/>
  <c r="S710" i="3" s="1"/>
  <c r="Q486" i="3"/>
  <c r="R486" i="3" s="1"/>
  <c r="S486" i="3" s="1"/>
  <c r="Q199" i="3"/>
  <c r="R199" i="3" s="1"/>
  <c r="S199" i="3" s="1"/>
  <c r="Q686" i="3"/>
  <c r="R686" i="3" s="1"/>
  <c r="S686" i="3" s="1"/>
  <c r="Q390" i="3"/>
  <c r="R390" i="3" s="1"/>
  <c r="S390" i="3" s="1"/>
  <c r="Q357" i="3"/>
  <c r="R357" i="3" s="1"/>
  <c r="S357" i="3" s="1"/>
  <c r="Q731" i="3"/>
  <c r="R731" i="3" s="1"/>
  <c r="S731" i="3" s="1"/>
  <c r="Q846" i="3"/>
  <c r="R846" i="3" s="1"/>
  <c r="S846" i="3" s="1"/>
  <c r="Q422" i="3"/>
  <c r="R422" i="3" s="1"/>
  <c r="S422" i="3" s="1"/>
  <c r="Q381" i="3"/>
  <c r="R381" i="3" s="1"/>
  <c r="S381" i="3" s="1"/>
  <c r="Q128" i="3"/>
  <c r="R128" i="3" s="1"/>
  <c r="S128" i="3" s="1"/>
  <c r="Q584" i="3"/>
  <c r="R584" i="3" s="1"/>
  <c r="S584" i="3" s="1"/>
  <c r="Q542" i="3"/>
  <c r="R542" i="3" s="1"/>
  <c r="S542" i="3" s="1"/>
  <c r="Q86" i="3"/>
  <c r="R86" i="3" s="1"/>
  <c r="S86" i="3" s="1"/>
  <c r="Q238" i="3"/>
  <c r="R238" i="3" s="1"/>
  <c r="S238" i="3" s="1"/>
  <c r="Q941" i="3"/>
  <c r="R941" i="3" s="1"/>
  <c r="S941" i="3" s="1"/>
  <c r="Q488" i="3"/>
  <c r="R488" i="3" s="1"/>
  <c r="S488" i="3" s="1"/>
  <c r="Q64" i="3"/>
  <c r="R64" i="3" s="1"/>
  <c r="S64" i="3" s="1"/>
  <c r="Q327" i="3"/>
  <c r="R327" i="3" s="1"/>
  <c r="S327" i="3" s="1"/>
  <c r="Q792" i="3"/>
  <c r="R792" i="3" s="1"/>
  <c r="S792" i="3" s="1"/>
  <c r="Q215" i="3"/>
  <c r="R215" i="3" s="1"/>
  <c r="S215" i="3" s="1"/>
  <c r="Q917" i="3"/>
  <c r="R917" i="3" s="1"/>
  <c r="S917" i="3" s="1"/>
  <c r="Q192" i="3"/>
  <c r="R192" i="3" s="1"/>
  <c r="S192" i="3" s="1"/>
  <c r="Q343" i="3"/>
  <c r="R343" i="3" s="1"/>
  <c r="S343" i="3" s="1"/>
  <c r="Q421" i="3"/>
  <c r="R421" i="3" s="1"/>
  <c r="S421" i="3" s="1"/>
  <c r="Q462" i="3"/>
  <c r="R462" i="3" s="1"/>
  <c r="S462" i="3" s="1"/>
  <c r="Q853" i="3"/>
  <c r="R853" i="3" s="1"/>
  <c r="S853" i="3" s="1"/>
  <c r="Q520" i="3"/>
  <c r="R520" i="3" s="1"/>
  <c r="S520" i="3" s="1"/>
  <c r="Q574" i="3"/>
  <c r="R574" i="3" s="1"/>
  <c r="S574" i="3" s="1"/>
  <c r="Q933" i="3"/>
  <c r="R933" i="3" s="1"/>
  <c r="S933" i="3" s="1"/>
  <c r="Q558" i="3"/>
  <c r="R558" i="3" s="1"/>
  <c r="S558" i="3" s="1"/>
  <c r="Q619" i="3"/>
  <c r="R619" i="3" s="1"/>
  <c r="S619" i="3" s="1"/>
  <c r="Q763" i="3"/>
  <c r="R763" i="3" s="1"/>
  <c r="S763" i="3" s="1"/>
  <c r="Q279" i="3"/>
  <c r="R279" i="3" s="1"/>
  <c r="S279" i="3" s="1"/>
  <c r="Q408" i="3"/>
  <c r="R408" i="3" s="1"/>
  <c r="S408" i="3" s="1"/>
  <c r="Q614" i="3"/>
  <c r="R614" i="3" s="1"/>
  <c r="S614" i="3" s="1"/>
  <c r="Q165" i="3"/>
  <c r="R165" i="3" s="1"/>
  <c r="S165" i="3" s="1"/>
  <c r="Q827" i="3"/>
  <c r="R827" i="3" s="1"/>
  <c r="S827" i="3" s="1"/>
  <c r="Q678" i="3"/>
  <c r="R678" i="3" s="1"/>
  <c r="S678" i="3" s="1"/>
  <c r="Q78" i="3"/>
  <c r="R78" i="3" s="1"/>
  <c r="S78" i="3" s="1"/>
  <c r="Q31" i="3"/>
  <c r="R31" i="3" s="1"/>
  <c r="S31" i="3" s="1"/>
  <c r="Q891" i="3"/>
  <c r="R891" i="3" s="1"/>
  <c r="S891" i="3" s="1"/>
  <c r="Q438" i="3"/>
  <c r="R438" i="3" s="1"/>
  <c r="S438" i="3" s="1"/>
  <c r="Q757" i="3"/>
  <c r="R757" i="3" s="1"/>
  <c r="S757" i="3" s="1"/>
  <c r="Q229" i="3"/>
  <c r="R229" i="3" s="1"/>
  <c r="S229" i="3" s="1"/>
  <c r="Q318" i="3"/>
  <c r="R318" i="3" s="1"/>
  <c r="S318" i="3" s="1"/>
  <c r="Q774" i="3"/>
  <c r="R774" i="3" s="1"/>
  <c r="S774" i="3" s="1"/>
  <c r="Q302" i="3"/>
  <c r="R302" i="3" s="1"/>
  <c r="S302" i="3" s="1"/>
  <c r="Q517" i="3"/>
  <c r="R517" i="3" s="1"/>
  <c r="S517" i="3" s="1"/>
  <c r="Q552" i="3"/>
  <c r="R552" i="3" s="1"/>
  <c r="S552" i="3" s="1"/>
  <c r="Q328" i="3"/>
  <c r="R328" i="3" s="1"/>
  <c r="S328" i="3" s="1"/>
  <c r="Q254" i="3"/>
  <c r="R254" i="3" s="1"/>
  <c r="S254" i="3" s="1"/>
  <c r="Q37" i="3"/>
  <c r="R37" i="3" s="1"/>
  <c r="S37" i="3" s="1"/>
  <c r="Q946" i="3"/>
  <c r="R946" i="3" s="1"/>
  <c r="S946" i="3" s="1"/>
  <c r="Q606" i="3"/>
  <c r="R606" i="3" s="1"/>
  <c r="S606" i="3" s="1"/>
  <c r="Q325" i="3"/>
  <c r="R325" i="3" s="1"/>
  <c r="S325" i="3" s="1"/>
  <c r="Q662" i="3"/>
  <c r="R662" i="3" s="1"/>
  <c r="S662" i="3" s="1"/>
  <c r="Q1000" i="3"/>
  <c r="R1000" i="3" s="1"/>
  <c r="S1000" i="3" s="1"/>
  <c r="Q718" i="3"/>
  <c r="R718" i="3" s="1"/>
  <c r="S718" i="3" s="1"/>
  <c r="Q613" i="3"/>
  <c r="R613" i="3" s="1"/>
  <c r="S613" i="3" s="1"/>
  <c r="Q101" i="3"/>
  <c r="R101" i="3" s="1"/>
  <c r="S101" i="3" s="1"/>
  <c r="Q987" i="3"/>
  <c r="R987" i="3" s="1"/>
  <c r="S987" i="3" s="1"/>
  <c r="Q702" i="3"/>
  <c r="R702" i="3" s="1"/>
  <c r="S702" i="3" s="1"/>
  <c r="Q722" i="3"/>
  <c r="R722" i="3" s="1"/>
  <c r="S722" i="3" s="1"/>
  <c r="Q470" i="3"/>
  <c r="R470" i="3" s="1"/>
  <c r="S470" i="3" s="1"/>
  <c r="Q549" i="3"/>
  <c r="R549" i="3" s="1"/>
  <c r="S549" i="3" s="1"/>
  <c r="Q894" i="3"/>
  <c r="R894" i="3" s="1"/>
  <c r="S894" i="3" s="1"/>
  <c r="Q518" i="3"/>
  <c r="R518" i="3" s="1"/>
  <c r="S518" i="3" s="1"/>
  <c r="Q263" i="3"/>
  <c r="R263" i="3" s="1"/>
  <c r="S263" i="3" s="1"/>
  <c r="Q46" i="3"/>
  <c r="R46" i="3" s="1"/>
  <c r="S46" i="3" s="1"/>
  <c r="Q430" i="3"/>
  <c r="R430" i="3" s="1"/>
  <c r="S430" i="3" s="1"/>
  <c r="Q22" i="3"/>
  <c r="R22" i="3" s="1"/>
  <c r="S22" i="3" s="1"/>
  <c r="Q998" i="3"/>
  <c r="R998" i="3" s="1"/>
  <c r="S998" i="3" s="1"/>
  <c r="Q14" i="3"/>
  <c r="R14" i="3" s="1"/>
  <c r="S14" i="3" s="1"/>
  <c r="Q685" i="3"/>
  <c r="R685" i="3" s="1"/>
  <c r="S685" i="3" s="1"/>
  <c r="Q413" i="3"/>
  <c r="R413" i="3" s="1"/>
  <c r="S413" i="3" s="1"/>
  <c r="Q157" i="3"/>
  <c r="R157" i="3" s="1"/>
  <c r="S157" i="3" s="1"/>
  <c r="Q978" i="3"/>
  <c r="R978" i="3" s="1"/>
  <c r="S978" i="3" s="1"/>
  <c r="Q886" i="3"/>
  <c r="R886" i="3" s="1"/>
  <c r="S886" i="3" s="1"/>
  <c r="Q598" i="3"/>
  <c r="R598" i="3" s="1"/>
  <c r="S598" i="3" s="1"/>
  <c r="Q135" i="3"/>
  <c r="R135" i="3" s="1"/>
  <c r="S135" i="3" s="1"/>
  <c r="Q70" i="3"/>
  <c r="R70" i="3" s="1"/>
  <c r="S70" i="3" s="1"/>
  <c r="Q453" i="3"/>
  <c r="R453" i="3" s="1"/>
  <c r="S453" i="3" s="1"/>
  <c r="Q968" i="3"/>
  <c r="R968" i="3" s="1"/>
  <c r="S968" i="3" s="1"/>
  <c r="Q734" i="3"/>
  <c r="R734" i="3" s="1"/>
  <c r="S734" i="3" s="1"/>
  <c r="Q446" i="3"/>
  <c r="R446" i="3" s="1"/>
  <c r="S446" i="3" s="1"/>
  <c r="Q366" i="3"/>
  <c r="R366" i="3" s="1"/>
  <c r="S366" i="3" s="1"/>
  <c r="Q850" i="3"/>
  <c r="R850" i="3" s="1"/>
  <c r="S850" i="3" s="1"/>
  <c r="Q448" i="3"/>
  <c r="R448" i="3" s="1"/>
  <c r="S448" i="3" s="1"/>
  <c r="Q160" i="3"/>
  <c r="R160" i="3" s="1"/>
  <c r="S160" i="3" s="1"/>
  <c r="Q798" i="3"/>
  <c r="R798" i="3" s="1"/>
  <c r="S798" i="3" s="1"/>
  <c r="Q502" i="3"/>
  <c r="R502" i="3" s="1"/>
  <c r="S502" i="3" s="1"/>
  <c r="Q103" i="3"/>
  <c r="R103" i="3" s="1"/>
  <c r="S103" i="3" s="1"/>
  <c r="Q645" i="3"/>
  <c r="R645" i="3" s="1"/>
  <c r="S645" i="3" s="1"/>
  <c r="Q133" i="3"/>
  <c r="R133" i="3" s="1"/>
  <c r="S133" i="3" s="1"/>
  <c r="Q648" i="3"/>
  <c r="R648" i="3" s="1"/>
  <c r="S648" i="3" s="1"/>
  <c r="Q622" i="3"/>
  <c r="R622" i="3" s="1"/>
  <c r="S622" i="3" s="1"/>
  <c r="Q351" i="3"/>
  <c r="R351" i="3" s="1"/>
  <c r="S351" i="3" s="1"/>
  <c r="Q110" i="3"/>
  <c r="R110" i="3" s="1"/>
  <c r="S110" i="3" s="1"/>
  <c r="Q509" i="3"/>
  <c r="R509" i="3" s="1"/>
  <c r="S509" i="3" s="1"/>
  <c r="Q864" i="3"/>
  <c r="R864" i="3" s="1"/>
  <c r="S864" i="3" s="1"/>
  <c r="Q264" i="3"/>
  <c r="R264" i="3" s="1"/>
  <c r="S264" i="3" s="1"/>
  <c r="Q830" i="3"/>
  <c r="R830" i="3" s="1"/>
  <c r="S830" i="3" s="1"/>
  <c r="Q534" i="3"/>
  <c r="R534" i="3" s="1"/>
  <c r="S534" i="3" s="1"/>
  <c r="Q47" i="3"/>
  <c r="R47" i="3" s="1"/>
  <c r="S47" i="3" s="1"/>
  <c r="Q821" i="3"/>
  <c r="R821" i="3" s="1"/>
  <c r="S821" i="3" s="1"/>
  <c r="Q293" i="3"/>
  <c r="R293" i="3" s="1"/>
  <c r="S293" i="3" s="1"/>
  <c r="Q658" i="3"/>
  <c r="R658" i="3" s="1"/>
  <c r="S658" i="3" s="1"/>
  <c r="Q822" i="3"/>
  <c r="R822" i="3" s="1"/>
  <c r="S822" i="3" s="1"/>
  <c r="Q526" i="3"/>
  <c r="R526" i="3" s="1"/>
  <c r="S526" i="3" s="1"/>
  <c r="Q39" i="3"/>
  <c r="R39" i="3" s="1"/>
  <c r="S39" i="3" s="1"/>
  <c r="Q901" i="3"/>
  <c r="R901" i="3" s="1"/>
  <c r="S901" i="3" s="1"/>
  <c r="Q845" i="3"/>
  <c r="R845" i="3" s="1"/>
  <c r="S845" i="3" s="1"/>
  <c r="Q573" i="3"/>
  <c r="R573" i="3" s="1"/>
  <c r="S573" i="3" s="1"/>
  <c r="Q317" i="3"/>
  <c r="R317" i="3" s="1"/>
  <c r="S317" i="3" s="1"/>
  <c r="Q61" i="3"/>
  <c r="R61" i="3" s="1"/>
  <c r="S61" i="3" s="1"/>
  <c r="Q690" i="3"/>
  <c r="R690" i="3" s="1"/>
  <c r="S690" i="3" s="1"/>
  <c r="Q782" i="3"/>
  <c r="R782" i="3" s="1"/>
  <c r="S782" i="3" s="1"/>
  <c r="Q494" i="3"/>
  <c r="R494" i="3" s="1"/>
  <c r="S494" i="3" s="1"/>
  <c r="Q95" i="3"/>
  <c r="R95" i="3" s="1"/>
  <c r="S95" i="3" s="1"/>
  <c r="Q877" i="3"/>
  <c r="R877" i="3" s="1"/>
  <c r="S877" i="3" s="1"/>
  <c r="Q605" i="3"/>
  <c r="R605" i="3" s="1"/>
  <c r="S605" i="3" s="1"/>
  <c r="Q349" i="3"/>
  <c r="R349" i="3" s="1"/>
  <c r="S349" i="3" s="1"/>
  <c r="Q93" i="3"/>
  <c r="R93" i="3" s="1"/>
  <c r="S93" i="3" s="1"/>
  <c r="Q786" i="3"/>
  <c r="R786" i="3" s="1"/>
  <c r="S786" i="3" s="1"/>
  <c r="Q926" i="3"/>
  <c r="R926" i="3" s="1"/>
  <c r="S926" i="3" s="1"/>
  <c r="Q638" i="3"/>
  <c r="R638" i="3" s="1"/>
  <c r="S638" i="3" s="1"/>
  <c r="Q391" i="3"/>
  <c r="R391" i="3" s="1"/>
  <c r="S391" i="3" s="1"/>
  <c r="Q126" i="3"/>
  <c r="R126" i="3" s="1"/>
  <c r="S126" i="3" s="1"/>
  <c r="Q626" i="3"/>
  <c r="R626" i="3" s="1"/>
  <c r="S626" i="3" s="1"/>
  <c r="Q813" i="3"/>
  <c r="R813" i="3" s="1"/>
  <c r="S813" i="3" s="1"/>
  <c r="Q541" i="3"/>
  <c r="R541" i="3" s="1"/>
  <c r="S541" i="3" s="1"/>
  <c r="Q285" i="3"/>
  <c r="R285" i="3" s="1"/>
  <c r="S285" i="3" s="1"/>
  <c r="Q29" i="3"/>
  <c r="R29" i="3" s="1"/>
  <c r="S29" i="3" s="1"/>
  <c r="Q680" i="3"/>
  <c r="R680" i="3" s="1"/>
  <c r="S680" i="3" s="1"/>
  <c r="Q742" i="3"/>
  <c r="R742" i="3" s="1"/>
  <c r="S742" i="3" s="1"/>
  <c r="Q454" i="3"/>
  <c r="R454" i="3" s="1"/>
  <c r="S454" i="3" s="1"/>
  <c r="Q382" i="3"/>
  <c r="R382" i="3" s="1"/>
  <c r="S382" i="3" s="1"/>
  <c r="Q725" i="3"/>
  <c r="R725" i="3" s="1"/>
  <c r="S725" i="3" s="1"/>
  <c r="Q197" i="3"/>
  <c r="R197" i="3" s="1"/>
  <c r="S197" i="3" s="1"/>
  <c r="Q635" i="3"/>
  <c r="R635" i="3" s="1"/>
  <c r="S635" i="3" s="1"/>
  <c r="Q878" i="3"/>
  <c r="R878" i="3" s="1"/>
  <c r="S878" i="3" s="1"/>
  <c r="Q582" i="3"/>
  <c r="R582" i="3" s="1"/>
  <c r="S582" i="3" s="1"/>
  <c r="Q111" i="3"/>
  <c r="R111" i="3" s="1"/>
  <c r="S111" i="3" s="1"/>
  <c r="Q62" i="3"/>
  <c r="R62" i="3" s="1"/>
  <c r="S62" i="3" s="1"/>
  <c r="Q923" i="3"/>
  <c r="R923" i="3" s="1"/>
  <c r="S923" i="3" s="1"/>
  <c r="Q720" i="3"/>
  <c r="R720" i="3" s="1"/>
  <c r="S720" i="3" s="1"/>
  <c r="Q296" i="3"/>
  <c r="R296" i="3" s="1"/>
  <c r="S296" i="3" s="1"/>
  <c r="Q32" i="3"/>
  <c r="R32" i="3" s="1"/>
  <c r="S32" i="3" s="1"/>
  <c r="Q654" i="3"/>
  <c r="R654" i="3" s="1"/>
  <c r="S654" i="3" s="1"/>
  <c r="Q415" i="3"/>
  <c r="R415" i="3" s="1"/>
  <c r="S415" i="3" s="1"/>
  <c r="Q326" i="3"/>
  <c r="R326" i="3" s="1"/>
  <c r="S326" i="3" s="1"/>
  <c r="Q885" i="3"/>
  <c r="R885" i="3" s="1"/>
  <c r="S885" i="3" s="1"/>
  <c r="Q389" i="3"/>
  <c r="R389" i="3" s="1"/>
  <c r="S389" i="3" s="1"/>
  <c r="Q882" i="3"/>
  <c r="R882" i="3" s="1"/>
  <c r="S882" i="3" s="1"/>
  <c r="Q766" i="3"/>
  <c r="R766" i="3" s="1"/>
  <c r="S766" i="3" s="1"/>
  <c r="Q478" i="3"/>
  <c r="R478" i="3" s="1"/>
  <c r="S478" i="3" s="1"/>
  <c r="Q71" i="3"/>
  <c r="R71" i="3" s="1"/>
  <c r="S71" i="3" s="1"/>
  <c r="Q781" i="3"/>
  <c r="R781" i="3" s="1"/>
  <c r="S781" i="3" s="1"/>
  <c r="Q253" i="3"/>
  <c r="R253" i="3" s="1"/>
  <c r="S253" i="3" s="1"/>
  <c r="Q717" i="3"/>
  <c r="R717" i="3" s="1"/>
  <c r="S717" i="3" s="1"/>
  <c r="Q445" i="3"/>
  <c r="R445" i="3" s="1"/>
  <c r="S445" i="3" s="1"/>
  <c r="Q955" i="3"/>
  <c r="R955" i="3" s="1"/>
  <c r="S955" i="3" s="1"/>
  <c r="Q752" i="3"/>
  <c r="R752" i="3" s="1"/>
  <c r="S752" i="3" s="1"/>
  <c r="Q646" i="3"/>
  <c r="R646" i="3" s="1"/>
  <c r="S646" i="3" s="1"/>
  <c r="Q407" i="3"/>
  <c r="R407" i="3" s="1"/>
  <c r="S407" i="3" s="1"/>
  <c r="Q134" i="3"/>
  <c r="R134" i="3" s="1"/>
  <c r="S134" i="3" s="1"/>
  <c r="Q749" i="3"/>
  <c r="R749" i="3" s="1"/>
  <c r="S749" i="3" s="1"/>
  <c r="Q477" i="3"/>
  <c r="R477" i="3" s="1"/>
  <c r="S477" i="3" s="1"/>
  <c r="Q859" i="3"/>
  <c r="R859" i="3" s="1"/>
  <c r="S859" i="3" s="1"/>
  <c r="Q966" i="3"/>
  <c r="R966" i="3" s="1"/>
  <c r="S966" i="3" s="1"/>
  <c r="Q670" i="3"/>
  <c r="R670" i="3" s="1"/>
  <c r="S670" i="3" s="1"/>
  <c r="Q287" i="3"/>
  <c r="R287" i="3" s="1"/>
  <c r="S287" i="3" s="1"/>
  <c r="Q198" i="3"/>
  <c r="R198" i="3" s="1"/>
  <c r="S198" i="3" s="1"/>
  <c r="Q581" i="3"/>
  <c r="R581" i="3" s="1"/>
  <c r="S581" i="3" s="1"/>
  <c r="Q69" i="3"/>
  <c r="R69" i="3" s="1"/>
  <c r="S69" i="3" s="1"/>
  <c r="Q754" i="3"/>
  <c r="R754" i="3" s="1"/>
  <c r="S754" i="3" s="1"/>
  <c r="Q806" i="3"/>
  <c r="R806" i="3" s="1"/>
  <c r="S806" i="3" s="1"/>
  <c r="Q510" i="3"/>
  <c r="R510" i="3" s="1"/>
  <c r="S510" i="3" s="1"/>
  <c r="Q23" i="3"/>
  <c r="R23" i="3" s="1"/>
  <c r="S23" i="3" s="1"/>
  <c r="Q667" i="3"/>
  <c r="R667" i="3" s="1"/>
  <c r="S667" i="3" s="1"/>
  <c r="Q616" i="3"/>
  <c r="R616" i="3" s="1"/>
  <c r="S616" i="3" s="1"/>
  <c r="Q789" i="3"/>
  <c r="R789" i="3" s="1"/>
  <c r="S789" i="3" s="1"/>
  <c r="Q261" i="3"/>
  <c r="R261" i="3" s="1"/>
  <c r="S261" i="3" s="1"/>
  <c r="Q824" i="3"/>
  <c r="R824" i="3" s="1"/>
  <c r="S824" i="3" s="1"/>
  <c r="Q694" i="3"/>
  <c r="R694" i="3" s="1"/>
  <c r="S694" i="3" s="1"/>
  <c r="Q414" i="3"/>
  <c r="R414" i="3" s="1"/>
  <c r="S414" i="3" s="1"/>
  <c r="Q262" i="3"/>
  <c r="R262" i="3" s="1"/>
  <c r="S262" i="3" s="1"/>
  <c r="Q637" i="3"/>
  <c r="R637" i="3" s="1"/>
  <c r="S637" i="3" s="1"/>
  <c r="Q125" i="3"/>
  <c r="R125" i="3" s="1"/>
  <c r="S125" i="3" s="1"/>
  <c r="Q699" i="3"/>
  <c r="R699" i="3" s="1"/>
  <c r="S699" i="3" s="1"/>
  <c r="Q862" i="3"/>
  <c r="R862" i="3" s="1"/>
  <c r="S862" i="3" s="1"/>
  <c r="Q566" i="3"/>
  <c r="R566" i="3" s="1"/>
  <c r="S566" i="3" s="1"/>
  <c r="Q223" i="3"/>
  <c r="R223" i="3" s="1"/>
  <c r="S223" i="3" s="1"/>
  <c r="U7" i="2"/>
  <c r="V7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<sst xmlns="http://schemas.openxmlformats.org/spreadsheetml/2006/main" count="81" uniqueCount="64">
  <si>
    <t>Spot price(S)</t>
  </si>
  <si>
    <t>Int rate r</t>
  </si>
  <si>
    <t>Vol (Sigma)</t>
  </si>
  <si>
    <t>T(years)</t>
  </si>
  <si>
    <t>Strike (K)</t>
  </si>
  <si>
    <t>q</t>
  </si>
  <si>
    <t>d_bs</t>
  </si>
  <si>
    <t>d_1bs</t>
  </si>
  <si>
    <t>BS Call Price</t>
  </si>
  <si>
    <t>BS Put Price</t>
  </si>
  <si>
    <t>Path</t>
  </si>
  <si>
    <t>Z_m</t>
  </si>
  <si>
    <t>S_m(T)</t>
  </si>
  <si>
    <t>Payoff</t>
  </si>
  <si>
    <t>MC Call Price</t>
  </si>
  <si>
    <t>payoff descontado</t>
  </si>
  <si>
    <t>STD</t>
  </si>
  <si>
    <t>alpha</t>
  </si>
  <si>
    <t>int_exc</t>
  </si>
  <si>
    <t>Time step</t>
  </si>
  <si>
    <t>Path\Time</t>
  </si>
  <si>
    <t>AVERAGE</t>
  </si>
  <si>
    <t>PAYOFF</t>
  </si>
  <si>
    <t>PAYOFF DESCONTADO</t>
  </si>
  <si>
    <t>Discrete asian call</t>
  </si>
  <si>
    <t>Alpha</t>
  </si>
  <si>
    <t>int co</t>
  </si>
  <si>
    <t>Est de</t>
  </si>
  <si>
    <t>Call up &amp; out</t>
  </si>
  <si>
    <t>Time Step(DeltaT)</t>
  </si>
  <si>
    <t>Barrera</t>
  </si>
  <si>
    <t>MAX S_i</t>
  </si>
  <si>
    <t>PRICE MC</t>
  </si>
  <si>
    <t>S_0</t>
  </si>
  <si>
    <t>Sigma</t>
  </si>
  <si>
    <t>r</t>
  </si>
  <si>
    <t>T</t>
  </si>
  <si>
    <t>K</t>
  </si>
  <si>
    <t>rho</t>
  </si>
  <si>
    <t>paths</t>
  </si>
  <si>
    <t>eps_1</t>
  </si>
  <si>
    <t>eps_2</t>
  </si>
  <si>
    <t>phi_2</t>
  </si>
  <si>
    <t>phi_1</t>
  </si>
  <si>
    <t>S_1_T</t>
  </si>
  <si>
    <t>S_2_T</t>
  </si>
  <si>
    <t>PAYOFF GEOM</t>
  </si>
  <si>
    <t>PAYOFF ARIT</t>
  </si>
  <si>
    <t>PRECIO MC GEOM</t>
  </si>
  <si>
    <t>S_g</t>
  </si>
  <si>
    <t>Sigma_g</t>
  </si>
  <si>
    <t>q_g</t>
  </si>
  <si>
    <t>BS</t>
  </si>
  <si>
    <t xml:space="preserve">S </t>
  </si>
  <si>
    <t>R</t>
  </si>
  <si>
    <t>Q</t>
  </si>
  <si>
    <t>S0</t>
  </si>
  <si>
    <t>S1</t>
  </si>
  <si>
    <t>sigma0</t>
  </si>
  <si>
    <t>sigma1</t>
  </si>
  <si>
    <t xml:space="preserve">M </t>
  </si>
  <si>
    <t>sigma</t>
  </si>
  <si>
    <t xml:space="preserve">blsprice </t>
  </si>
  <si>
    <t>blsvega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</si>
</sst>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6F33A-98BB-4619-BDC4-09ACE0FBD2BA}">
  <sheetPr codeName="Hoja1"/>
  <dimension ref="B4:I1006"/>
  <sheetViews>
    <sheetView topLeftCell="F11" workbookViewId="0">
      <selection activeCell="C16" sqref="C16"/>
    </sheetView>
  </sheetViews>
  <sheetFormatPr baseColWidth="10" defaultRowHeight="14.75" x14ac:dyDescent="0.75"/>
  <sheetData>
    <row r="4" spans="2:9" x14ac:dyDescent="0.75">
      <c r="F4">
        <f ca="1">NORMINV(RAND(), 0,1)</f>
        <v>-0.15596103350028287</v>
      </c>
    </row>
    <row r="5" spans="2:9" x14ac:dyDescent="0.75">
      <c r="B5" t="s">
        <v>0</v>
      </c>
      <c r="C5">
        <v>100</v>
      </c>
    </row>
    <row r="6" spans="2:9" x14ac:dyDescent="0.75">
      <c r="B6" t="s">
        <v>1</v>
      </c>
      <c r="C6">
        <v>0.05</v>
      </c>
      <c r="E6" t="s">
        <v>10</v>
      </c>
      <c r="F6" t="s">
        <v>11</v>
      </c>
      <c r="G6" t="s">
        <v>12</v>
      </c>
      <c r="H6" t="s">
        <v>13</v>
      </c>
      <c r="I6" t="s">
        <v>15</v>
      </c>
    </row>
    <row r="7" spans="2:9" x14ac:dyDescent="0.75">
      <c r="B7" t="s">
        <v>2</v>
      </c>
      <c r="C7">
        <v>0.2</v>
      </c>
      <c r="E7">
        <v>1</v>
      </c>
      <c r="F7">
        <f ca="1">NORMINV(RAND(), 0,1)</f>
        <v>-1.1301125263558458</v>
      </c>
      <c r="G7">
        <f ca="1">$C$5*EXP(($C$6-0.5*$C$7^2)*$C$8+$C$7*SQRT($C$8)*F7)</f>
        <v>82.199373527810849</v>
      </c>
      <c r="H7">
        <f ca="1">MAX(G7-$C$9,0)</f>
        <v>0</v>
      </c>
      <c r="I7">
        <f ca="1">EXP(-$C$6*$C$8)*H7</f>
        <v>0</v>
      </c>
    </row>
    <row r="8" spans="2:9" x14ac:dyDescent="0.75">
      <c r="B8" t="s">
        <v>3</v>
      </c>
      <c r="C8">
        <v>1</v>
      </c>
      <c r="E8">
        <v>2</v>
      </c>
      <c r="F8">
        <f t="shared" ref="F8:F71" ca="1" si="0">NORMINV(RAND(), 0,1)</f>
        <v>1.0100226830150851</v>
      </c>
      <c r="G8">
        <f t="shared" ref="G8:G71" ca="1" si="1">$C$5*EXP(($C$6-0.5*$C$7^2)*$C$8+$C$7*SQRT($C$8)*F8)</f>
        <v>126.11254500408735</v>
      </c>
      <c r="H8">
        <f t="shared" ref="H8:H71" ca="1" si="2">MAX(G8-$C$9,0)</f>
        <v>26.112545004087352</v>
      </c>
      <c r="I8">
        <f t="shared" ref="I8:I71" ca="1" si="3">EXP(-$C$6*$C$8)*H8</f>
        <v>24.839021156487007</v>
      </c>
    </row>
    <row r="9" spans="2:9" x14ac:dyDescent="0.75">
      <c r="B9" t="s">
        <v>4</v>
      </c>
      <c r="C9">
        <v>100</v>
      </c>
      <c r="E9">
        <v>3</v>
      </c>
      <c r="F9">
        <f t="shared" ca="1" si="0"/>
        <v>0.87716397768553067</v>
      </c>
      <c r="G9">
        <f t="shared" ca="1" si="1"/>
        <v>122.80564473146403</v>
      </c>
      <c r="H9">
        <f t="shared" ca="1" si="2"/>
        <v>22.805644731464028</v>
      </c>
      <c r="I9">
        <f t="shared" ca="1" si="3"/>
        <v>21.693400313278268</v>
      </c>
    </row>
    <row r="10" spans="2:9" x14ac:dyDescent="0.75">
      <c r="B10" t="s">
        <v>5</v>
      </c>
      <c r="C10">
        <v>0</v>
      </c>
      <c r="E10">
        <v>4</v>
      </c>
      <c r="F10">
        <f t="shared" ca="1" si="0"/>
        <v>8.4523975934272993E-2</v>
      </c>
      <c r="G10">
        <f t="shared" ca="1" si="1"/>
        <v>104.80222275695429</v>
      </c>
      <c r="H10">
        <f t="shared" ca="1" si="2"/>
        <v>4.8022227569542935</v>
      </c>
      <c r="I10">
        <f t="shared" ca="1" si="3"/>
        <v>4.568015589421865</v>
      </c>
    </row>
    <row r="11" spans="2:9" x14ac:dyDescent="0.75">
      <c r="E11">
        <v>5</v>
      </c>
      <c r="F11">
        <f t="shared" ca="1" si="0"/>
        <v>4.4414535621299919E-2</v>
      </c>
      <c r="G11">
        <f t="shared" ca="1" si="1"/>
        <v>103.96487410618516</v>
      </c>
      <c r="H11">
        <f t="shared" ca="1" si="2"/>
        <v>3.9648741061851638</v>
      </c>
      <c r="I11">
        <f t="shared" ca="1" si="3"/>
        <v>3.771504914244296</v>
      </c>
    </row>
    <row r="12" spans="2:9" x14ac:dyDescent="0.75">
      <c r="B12" t="s">
        <v>6</v>
      </c>
      <c r="C12">
        <f>(C7)</f>
        <v>0.2</v>
      </c>
      <c r="E12">
        <v>6</v>
      </c>
      <c r="F12">
        <f t="shared" ca="1" si="0"/>
        <v>-1.3670004514073997</v>
      </c>
      <c r="G12">
        <f t="shared" ca="1" si="1"/>
        <v>78.395779712253088</v>
      </c>
      <c r="H12">
        <f t="shared" ca="1" si="2"/>
        <v>0</v>
      </c>
      <c r="I12">
        <f t="shared" ca="1" si="3"/>
        <v>0</v>
      </c>
    </row>
    <row r="13" spans="2:9" x14ac:dyDescent="0.75">
      <c r="B13" t="s">
        <v>7</v>
      </c>
      <c r="E13">
        <v>7</v>
      </c>
      <c r="F13">
        <f t="shared" ca="1" si="0"/>
        <v>1.1107823972160311</v>
      </c>
      <c r="G13">
        <f t="shared" ca="1" si="1"/>
        <v>128.67973788688849</v>
      </c>
      <c r="H13">
        <f t="shared" ca="1" si="2"/>
        <v>28.679737886888489</v>
      </c>
      <c r="I13">
        <f t="shared" ca="1" si="3"/>
        <v>27.28101056497626</v>
      </c>
    </row>
    <row r="14" spans="2:9" x14ac:dyDescent="0.75">
      <c r="E14">
        <v>8</v>
      </c>
      <c r="F14">
        <f t="shared" ca="1" si="0"/>
        <v>-9.5715336807676327E-2</v>
      </c>
      <c r="G14">
        <f t="shared" ca="1" si="1"/>
        <v>101.09160830016459</v>
      </c>
      <c r="H14">
        <f t="shared" ca="1" si="2"/>
        <v>1.0916083001645944</v>
      </c>
      <c r="I14">
        <f t="shared" ca="1" si="3"/>
        <v>1.0383699351457698</v>
      </c>
    </row>
    <row r="15" spans="2:9" x14ac:dyDescent="0.75">
      <c r="B15" t="s">
        <v>8</v>
      </c>
      <c r="C15">
        <f>C5*EXP(-C10*C8)*Vainilla!C18</f>
        <v>0</v>
      </c>
      <c r="E15">
        <v>9</v>
      </c>
      <c r="F15">
        <f t="shared" ca="1" si="0"/>
        <v>-1.2561951264792186</v>
      </c>
      <c r="G15">
        <f t="shared" ca="1" si="1"/>
        <v>80.152507262395787</v>
      </c>
      <c r="H15">
        <f t="shared" ca="1" si="2"/>
        <v>0</v>
      </c>
      <c r="I15">
        <f t="shared" ca="1" si="3"/>
        <v>0</v>
      </c>
    </row>
    <row r="16" spans="2:9" x14ac:dyDescent="0.75">
      <c r="B16" t="s">
        <v>9</v>
      </c>
      <c r="C16">
        <f>C15-C5*EXP(-C10*C8)+C9*EXP(C6*C8)</f>
        <v>5.1271096376024161</v>
      </c>
      <c r="E16">
        <v>10</v>
      </c>
      <c r="F16">
        <f t="shared" ca="1" si="0"/>
        <v>-0.50290875491001108</v>
      </c>
      <c r="G16">
        <f t="shared" ca="1" si="1"/>
        <v>93.185155663199453</v>
      </c>
      <c r="H16">
        <f t="shared" ca="1" si="2"/>
        <v>0</v>
      </c>
      <c r="I16">
        <f t="shared" ca="1" si="3"/>
        <v>0</v>
      </c>
    </row>
    <row r="17" spans="2:9" x14ac:dyDescent="0.75">
      <c r="E17">
        <v>11</v>
      </c>
      <c r="F17">
        <f t="shared" ca="1" si="0"/>
        <v>0.86008925903500366</v>
      </c>
      <c r="G17">
        <f t="shared" ca="1" si="1"/>
        <v>122.38698562048104</v>
      </c>
      <c r="H17">
        <f t="shared" ca="1" si="2"/>
        <v>22.386985620481042</v>
      </c>
      <c r="I17">
        <f t="shared" ca="1" si="3"/>
        <v>21.295159448075943</v>
      </c>
    </row>
    <row r="18" spans="2:9" x14ac:dyDescent="0.75">
      <c r="B18" t="s">
        <v>14</v>
      </c>
      <c r="E18">
        <v>12</v>
      </c>
      <c r="F18">
        <f t="shared" ca="1" si="0"/>
        <v>0.85656701483833209</v>
      </c>
      <c r="G18">
        <f t="shared" ca="1" si="1"/>
        <v>122.30080061054029</v>
      </c>
      <c r="H18">
        <f t="shared" ca="1" si="2"/>
        <v>22.300800610540293</v>
      </c>
      <c r="I18">
        <f t="shared" ca="1" si="3"/>
        <v>21.213177730669415</v>
      </c>
    </row>
    <row r="19" spans="2:9" x14ac:dyDescent="0.75">
      <c r="E19">
        <v>13</v>
      </c>
      <c r="F19">
        <f t="shared" ca="1" si="0"/>
        <v>2.1134438064943502</v>
      </c>
      <c r="G19">
        <f t="shared" ca="1" si="1"/>
        <v>157.25346766906708</v>
      </c>
      <c r="H19">
        <f t="shared" ca="1" si="2"/>
        <v>57.253467669067078</v>
      </c>
      <c r="I19">
        <f t="shared" ca="1" si="3"/>
        <v>54.461183101516916</v>
      </c>
    </row>
    <row r="20" spans="2:9" x14ac:dyDescent="0.75">
      <c r="B20" t="s">
        <v>16</v>
      </c>
      <c r="E20">
        <v>14</v>
      </c>
      <c r="F20">
        <f t="shared" ca="1" si="0"/>
        <v>1.9940139288065879</v>
      </c>
      <c r="G20">
        <f t="shared" ca="1" si="1"/>
        <v>153.54181982055081</v>
      </c>
      <c r="H20">
        <f t="shared" ca="1" si="2"/>
        <v>53.541819820550813</v>
      </c>
      <c r="I20">
        <f t="shared" ca="1" si="3"/>
        <v>50.930554454623476</v>
      </c>
    </row>
    <row r="21" spans="2:9" x14ac:dyDescent="0.75">
      <c r="B21" t="s">
        <v>17</v>
      </c>
      <c r="C21">
        <v>0.05</v>
      </c>
      <c r="E21">
        <v>15</v>
      </c>
      <c r="F21">
        <f t="shared" ca="1" si="0"/>
        <v>1.1704448963818384</v>
      </c>
      <c r="G21">
        <f t="shared" ca="1" si="1"/>
        <v>130.22440638803693</v>
      </c>
      <c r="H21">
        <f t="shared" ca="1" si="2"/>
        <v>30.224406388036925</v>
      </c>
      <c r="I21">
        <f t="shared" ca="1" si="3"/>
        <v>28.750344694368067</v>
      </c>
    </row>
    <row r="22" spans="2:9" x14ac:dyDescent="0.75">
      <c r="B22" t="s">
        <v>18</v>
      </c>
      <c r="C22" t="e">
        <f>CONFIDENCE(C21,C20,E1006)</f>
        <v>#NUM!</v>
      </c>
      <c r="E22">
        <v>16</v>
      </c>
      <c r="F22">
        <f t="shared" ca="1" si="0"/>
        <v>0.12429387138011215</v>
      </c>
      <c r="G22">
        <f t="shared" ca="1" si="1"/>
        <v>105.63914144979745</v>
      </c>
      <c r="H22">
        <f t="shared" ca="1" si="2"/>
        <v>5.6391414497974495</v>
      </c>
      <c r="I22">
        <f t="shared" ca="1" si="3"/>
        <v>5.3641172759689502</v>
      </c>
    </row>
    <row r="23" spans="2:9" x14ac:dyDescent="0.75">
      <c r="E23">
        <v>17</v>
      </c>
      <c r="F23">
        <f t="shared" ca="1" si="0"/>
        <v>7.4184921845239296E-2</v>
      </c>
      <c r="G23">
        <f t="shared" ca="1" si="1"/>
        <v>104.58573549150077</v>
      </c>
      <c r="H23">
        <f t="shared" ca="1" si="2"/>
        <v>4.5857354915007704</v>
      </c>
      <c r="I23">
        <f t="shared" ca="1" si="3"/>
        <v>4.3620865324927767</v>
      </c>
    </row>
    <row r="24" spans="2:9" x14ac:dyDescent="0.75">
      <c r="C24" t="e">
        <f>C18+C22</f>
        <v>#NUM!</v>
      </c>
      <c r="E24">
        <v>18</v>
      </c>
      <c r="F24">
        <f t="shared" ca="1" si="0"/>
        <v>-9.5529594690343417E-2</v>
      </c>
      <c r="G24">
        <f t="shared" ca="1" si="1"/>
        <v>101.09536376379297</v>
      </c>
      <c r="H24">
        <f t="shared" ca="1" si="2"/>
        <v>1.0953637637929745</v>
      </c>
      <c r="I24">
        <f t="shared" ca="1" si="3"/>
        <v>1.0419422426517271</v>
      </c>
    </row>
    <row r="25" spans="2:9" x14ac:dyDescent="0.75">
      <c r="E25">
        <v>19</v>
      </c>
      <c r="F25">
        <f t="shared" ca="1" si="0"/>
        <v>0.10556822295256164</v>
      </c>
      <c r="G25">
        <f t="shared" ca="1" si="1"/>
        <v>105.24424908831793</v>
      </c>
      <c r="H25">
        <f t="shared" ca="1" si="2"/>
        <v>5.2442490883179289</v>
      </c>
      <c r="I25">
        <f t="shared" ca="1" si="3"/>
        <v>4.9884840422190573</v>
      </c>
    </row>
    <row r="26" spans="2:9" x14ac:dyDescent="0.75">
      <c r="E26">
        <v>20</v>
      </c>
      <c r="F26">
        <f t="shared" ca="1" si="0"/>
        <v>1.4083984592146077</v>
      </c>
      <c r="G26">
        <f t="shared" ca="1" si="1"/>
        <v>136.57171726118915</v>
      </c>
      <c r="H26">
        <f t="shared" ca="1" si="2"/>
        <v>36.57171726118915</v>
      </c>
      <c r="I26">
        <f t="shared" ca="1" si="3"/>
        <v>34.788093563363788</v>
      </c>
    </row>
    <row r="27" spans="2:9" x14ac:dyDescent="0.75">
      <c r="E27">
        <v>21</v>
      </c>
      <c r="F27">
        <f t="shared" ca="1" si="0"/>
        <v>0.20758913726291309</v>
      </c>
      <c r="G27">
        <f t="shared" ca="1" si="1"/>
        <v>107.41372996624017</v>
      </c>
      <c r="H27">
        <f t="shared" ca="1" si="2"/>
        <v>7.4137299662401688</v>
      </c>
      <c r="I27">
        <f t="shared" ca="1" si="3"/>
        <v>7.0521580891903337</v>
      </c>
    </row>
    <row r="28" spans="2:9" x14ac:dyDescent="0.75">
      <c r="E28">
        <v>22</v>
      </c>
      <c r="F28">
        <f t="shared" ca="1" si="0"/>
        <v>0.74144531055325757</v>
      </c>
      <c r="G28">
        <f t="shared" ca="1" si="1"/>
        <v>119.51707498867792</v>
      </c>
      <c r="H28">
        <f t="shared" ca="1" si="2"/>
        <v>19.517074988677919</v>
      </c>
      <c r="I28">
        <f t="shared" ca="1" si="3"/>
        <v>18.565216009417377</v>
      </c>
    </row>
    <row r="29" spans="2:9" x14ac:dyDescent="0.75">
      <c r="E29">
        <v>23</v>
      </c>
      <c r="F29">
        <f t="shared" ca="1" si="0"/>
        <v>2.3397922515999539</v>
      </c>
      <c r="G29">
        <f t="shared" ca="1" si="1"/>
        <v>164.53587578539103</v>
      </c>
      <c r="H29">
        <f t="shared" ca="1" si="2"/>
        <v>64.535875785391028</v>
      </c>
      <c r="I29">
        <f t="shared" ca="1" si="3"/>
        <v>61.388423982987071</v>
      </c>
    </row>
    <row r="30" spans="2:9" x14ac:dyDescent="0.75">
      <c r="E30">
        <v>24</v>
      </c>
      <c r="F30">
        <f t="shared" ca="1" si="0"/>
        <v>0.55962035385457276</v>
      </c>
      <c r="G30">
        <f t="shared" ca="1" si="1"/>
        <v>115.24891376029807</v>
      </c>
      <c r="H30">
        <f t="shared" ca="1" si="2"/>
        <v>15.248913760298066</v>
      </c>
      <c r="I30">
        <f t="shared" ca="1" si="3"/>
        <v>14.505215460469348</v>
      </c>
    </row>
    <row r="31" spans="2:9" x14ac:dyDescent="0.75">
      <c r="E31">
        <v>25</v>
      </c>
      <c r="F31">
        <f t="shared" ca="1" si="0"/>
        <v>-0.45581149646902419</v>
      </c>
      <c r="G31">
        <f t="shared" ca="1" si="1"/>
        <v>94.067055721906968</v>
      </c>
      <c r="H31">
        <f t="shared" ca="1" si="2"/>
        <v>0</v>
      </c>
      <c r="I31">
        <f t="shared" ca="1" si="3"/>
        <v>0</v>
      </c>
    </row>
    <row r="32" spans="2:9" x14ac:dyDescent="0.75">
      <c r="E32">
        <v>26</v>
      </c>
      <c r="F32">
        <f t="shared" ca="1" si="0"/>
        <v>-0.25826445348471211</v>
      </c>
      <c r="G32">
        <f t="shared" ca="1" si="1"/>
        <v>97.857985027581364</v>
      </c>
      <c r="H32">
        <f t="shared" ca="1" si="2"/>
        <v>0</v>
      </c>
      <c r="I32">
        <f t="shared" ca="1" si="3"/>
        <v>0</v>
      </c>
    </row>
    <row r="33" spans="5:9" x14ac:dyDescent="0.75">
      <c r="E33">
        <v>27</v>
      </c>
      <c r="F33">
        <f t="shared" ca="1" si="0"/>
        <v>-0.28418847152905435</v>
      </c>
      <c r="G33">
        <f t="shared" ca="1" si="1"/>
        <v>97.351923641772771</v>
      </c>
      <c r="H33">
        <f t="shared" ca="1" si="2"/>
        <v>0</v>
      </c>
      <c r="I33">
        <f t="shared" ca="1" si="3"/>
        <v>0</v>
      </c>
    </row>
    <row r="34" spans="5:9" x14ac:dyDescent="0.75">
      <c r="E34">
        <v>28</v>
      </c>
      <c r="F34">
        <f t="shared" ca="1" si="0"/>
        <v>-0.25043097808220099</v>
      </c>
      <c r="G34">
        <f t="shared" ca="1" si="1"/>
        <v>98.011418811905443</v>
      </c>
      <c r="H34">
        <f t="shared" ca="1" si="2"/>
        <v>0</v>
      </c>
      <c r="I34">
        <f t="shared" ca="1" si="3"/>
        <v>0</v>
      </c>
    </row>
    <row r="35" spans="5:9" x14ac:dyDescent="0.75">
      <c r="E35">
        <v>29</v>
      </c>
      <c r="F35">
        <f t="shared" ca="1" si="0"/>
        <v>-0.63077266834258205</v>
      </c>
      <c r="G35">
        <f t="shared" ca="1" si="1"/>
        <v>90.832363863838694</v>
      </c>
      <c r="H35">
        <f t="shared" ca="1" si="2"/>
        <v>0</v>
      </c>
      <c r="I35">
        <f t="shared" ca="1" si="3"/>
        <v>0</v>
      </c>
    </row>
    <row r="36" spans="5:9" x14ac:dyDescent="0.75">
      <c r="E36">
        <v>30</v>
      </c>
      <c r="F36">
        <f t="shared" ca="1" si="0"/>
        <v>-0.25879680816393308</v>
      </c>
      <c r="G36">
        <f t="shared" ca="1" si="1"/>
        <v>97.847566550977973</v>
      </c>
      <c r="H36">
        <f t="shared" ca="1" si="2"/>
        <v>0</v>
      </c>
      <c r="I36">
        <f t="shared" ca="1" si="3"/>
        <v>0</v>
      </c>
    </row>
    <row r="37" spans="5:9" x14ac:dyDescent="0.75">
      <c r="E37">
        <v>31</v>
      </c>
      <c r="F37">
        <f t="shared" ca="1" si="0"/>
        <v>-0.40148899147265937</v>
      </c>
      <c r="G37">
        <f t="shared" ca="1" si="1"/>
        <v>95.094619217553401</v>
      </c>
      <c r="H37">
        <f t="shared" ca="1" si="2"/>
        <v>0</v>
      </c>
      <c r="I37">
        <f t="shared" ca="1" si="3"/>
        <v>0</v>
      </c>
    </row>
    <row r="38" spans="5:9" x14ac:dyDescent="0.75">
      <c r="E38">
        <v>32</v>
      </c>
      <c r="F38">
        <f t="shared" ca="1" si="0"/>
        <v>-1.3989798137270728</v>
      </c>
      <c r="G38">
        <f t="shared" ca="1" si="1"/>
        <v>77.895970365736048</v>
      </c>
      <c r="H38">
        <f t="shared" ca="1" si="2"/>
        <v>0</v>
      </c>
      <c r="I38">
        <f t="shared" ca="1" si="3"/>
        <v>0</v>
      </c>
    </row>
    <row r="39" spans="5:9" x14ac:dyDescent="0.75">
      <c r="E39">
        <v>33</v>
      </c>
      <c r="F39">
        <f t="shared" ca="1" si="0"/>
        <v>-0.76903412107067681</v>
      </c>
      <c r="G39">
        <f t="shared" ca="1" si="1"/>
        <v>88.355050496128342</v>
      </c>
      <c r="H39">
        <f t="shared" ca="1" si="2"/>
        <v>0</v>
      </c>
      <c r="I39">
        <f t="shared" ca="1" si="3"/>
        <v>0</v>
      </c>
    </row>
    <row r="40" spans="5:9" x14ac:dyDescent="0.75">
      <c r="E40">
        <v>34</v>
      </c>
      <c r="F40">
        <f t="shared" ca="1" si="0"/>
        <v>-0.59386296535967198</v>
      </c>
      <c r="G40">
        <f t="shared" ca="1" si="1"/>
        <v>91.505363945290739</v>
      </c>
      <c r="H40">
        <f t="shared" ca="1" si="2"/>
        <v>0</v>
      </c>
      <c r="I40">
        <f t="shared" ca="1" si="3"/>
        <v>0</v>
      </c>
    </row>
    <row r="41" spans="5:9" x14ac:dyDescent="0.75">
      <c r="E41">
        <v>35</v>
      </c>
      <c r="F41">
        <f t="shared" ca="1" si="0"/>
        <v>-1.2282695140986675</v>
      </c>
      <c r="G41">
        <f t="shared" ca="1" si="1"/>
        <v>80.601421285186674</v>
      </c>
      <c r="H41">
        <f t="shared" ca="1" si="2"/>
        <v>0</v>
      </c>
      <c r="I41">
        <f t="shared" ca="1" si="3"/>
        <v>0</v>
      </c>
    </row>
    <row r="42" spans="5:9" x14ac:dyDescent="0.75">
      <c r="E42">
        <v>36</v>
      </c>
      <c r="F42">
        <f t="shared" ca="1" si="0"/>
        <v>1.7767026927997551</v>
      </c>
      <c r="G42">
        <f t="shared" ca="1" si="1"/>
        <v>147.01148670085476</v>
      </c>
      <c r="H42">
        <f t="shared" ca="1" si="2"/>
        <v>47.011486700854761</v>
      </c>
      <c r="I42">
        <f t="shared" ca="1" si="3"/>
        <v>44.718709439377044</v>
      </c>
    </row>
    <row r="43" spans="5:9" x14ac:dyDescent="0.75">
      <c r="E43">
        <v>37</v>
      </c>
      <c r="F43">
        <f t="shared" ca="1" si="0"/>
        <v>0.70305326800113954</v>
      </c>
      <c r="G43">
        <f t="shared" ca="1" si="1"/>
        <v>118.60288830389807</v>
      </c>
      <c r="H43">
        <f t="shared" ca="1" si="2"/>
        <v>18.602888303898069</v>
      </c>
      <c r="I43">
        <f t="shared" ca="1" si="3"/>
        <v>17.695614735368025</v>
      </c>
    </row>
    <row r="44" spans="5:9" x14ac:dyDescent="0.75">
      <c r="E44">
        <v>38</v>
      </c>
      <c r="F44">
        <f t="shared" ca="1" si="0"/>
        <v>0.32918692809580424</v>
      </c>
      <c r="G44">
        <f t="shared" ca="1" si="1"/>
        <v>110.05800792934718</v>
      </c>
      <c r="H44">
        <f t="shared" ca="1" si="2"/>
        <v>10.058007929347184</v>
      </c>
      <c r="I44">
        <f t="shared" ca="1" si="3"/>
        <v>9.56747309425654</v>
      </c>
    </row>
    <row r="45" spans="5:9" x14ac:dyDescent="0.75">
      <c r="E45">
        <v>39</v>
      </c>
      <c r="F45">
        <f t="shared" ca="1" si="0"/>
        <v>0.28578655158508165</v>
      </c>
      <c r="G45">
        <f t="shared" ca="1" si="1"/>
        <v>109.10683025194609</v>
      </c>
      <c r="H45">
        <f t="shared" ca="1" si="2"/>
        <v>9.1068302519460929</v>
      </c>
      <c r="I45">
        <f t="shared" ca="1" si="3"/>
        <v>8.6626848995843737</v>
      </c>
    </row>
    <row r="46" spans="5:9" x14ac:dyDescent="0.75">
      <c r="E46">
        <v>40</v>
      </c>
      <c r="F46">
        <f t="shared" ca="1" si="0"/>
        <v>0.1065849721290013</v>
      </c>
      <c r="G46">
        <f t="shared" ca="1" si="1"/>
        <v>105.26565266516819</v>
      </c>
      <c r="H46">
        <f t="shared" ca="1" si="2"/>
        <v>5.2656526651681901</v>
      </c>
      <c r="I46">
        <f t="shared" ca="1" si="3"/>
        <v>5.0088437543085886</v>
      </c>
    </row>
    <row r="47" spans="5:9" x14ac:dyDescent="0.75">
      <c r="E47">
        <v>41</v>
      </c>
      <c r="F47">
        <f t="shared" ca="1" si="0"/>
        <v>1.1539594532934532</v>
      </c>
      <c r="G47">
        <f t="shared" ca="1" si="1"/>
        <v>129.79575202402111</v>
      </c>
      <c r="H47">
        <f t="shared" ca="1" si="2"/>
        <v>29.795752024021112</v>
      </c>
      <c r="I47">
        <f t="shared" ca="1" si="3"/>
        <v>28.342596050375587</v>
      </c>
    </row>
    <row r="48" spans="5:9" x14ac:dyDescent="0.75">
      <c r="E48">
        <v>42</v>
      </c>
      <c r="F48">
        <f t="shared" ca="1" si="0"/>
        <v>-1.2795256447130223</v>
      </c>
      <c r="G48">
        <f t="shared" ca="1" si="1"/>
        <v>79.779378561553429</v>
      </c>
      <c r="H48">
        <f t="shared" ca="1" si="2"/>
        <v>0</v>
      </c>
      <c r="I48">
        <f t="shared" ca="1" si="3"/>
        <v>0</v>
      </c>
    </row>
    <row r="49" spans="5:9" x14ac:dyDescent="0.75">
      <c r="E49">
        <v>43</v>
      </c>
      <c r="F49">
        <f t="shared" ca="1" si="0"/>
        <v>-1.1429707568796754</v>
      </c>
      <c r="G49">
        <f t="shared" ca="1" si="1"/>
        <v>81.988257403392325</v>
      </c>
      <c r="H49">
        <f t="shared" ca="1" si="2"/>
        <v>0</v>
      </c>
      <c r="I49">
        <f t="shared" ca="1" si="3"/>
        <v>0</v>
      </c>
    </row>
    <row r="50" spans="5:9" x14ac:dyDescent="0.75">
      <c r="E50">
        <v>44</v>
      </c>
      <c r="F50">
        <f t="shared" ca="1" si="0"/>
        <v>-0.13249061415269278</v>
      </c>
      <c r="G50">
        <f t="shared" ca="1" si="1"/>
        <v>100.35080159049241</v>
      </c>
      <c r="H50">
        <f t="shared" ca="1" si="2"/>
        <v>0.35080159049240933</v>
      </c>
      <c r="I50">
        <f t="shared" ca="1" si="3"/>
        <v>0.33369279503802968</v>
      </c>
    </row>
    <row r="51" spans="5:9" x14ac:dyDescent="0.75">
      <c r="E51">
        <v>45</v>
      </c>
      <c r="F51">
        <f t="shared" ca="1" si="0"/>
        <v>-0.46530871533240531</v>
      </c>
      <c r="G51">
        <f t="shared" ca="1" si="1"/>
        <v>93.888550222950158</v>
      </c>
      <c r="H51">
        <f t="shared" ca="1" si="2"/>
        <v>0</v>
      </c>
      <c r="I51">
        <f t="shared" ca="1" si="3"/>
        <v>0</v>
      </c>
    </row>
    <row r="52" spans="5:9" x14ac:dyDescent="0.75">
      <c r="E52">
        <v>46</v>
      </c>
      <c r="F52">
        <f t="shared" ca="1" si="0"/>
        <v>-1.0687008976885382</v>
      </c>
      <c r="G52">
        <f t="shared" ca="1" si="1"/>
        <v>83.215198585486064</v>
      </c>
      <c r="H52">
        <f t="shared" ca="1" si="2"/>
        <v>0</v>
      </c>
      <c r="I52">
        <f t="shared" ca="1" si="3"/>
        <v>0</v>
      </c>
    </row>
    <row r="53" spans="5:9" x14ac:dyDescent="0.75">
      <c r="E53">
        <v>47</v>
      </c>
      <c r="F53">
        <f t="shared" ca="1" si="0"/>
        <v>-0.18079840117895654</v>
      </c>
      <c r="G53">
        <f t="shared" ca="1" si="1"/>
        <v>99.385925170300439</v>
      </c>
      <c r="H53">
        <f t="shared" ca="1" si="2"/>
        <v>0</v>
      </c>
      <c r="I53">
        <f t="shared" ca="1" si="3"/>
        <v>0</v>
      </c>
    </row>
    <row r="54" spans="5:9" x14ac:dyDescent="0.75">
      <c r="E54">
        <v>48</v>
      </c>
      <c r="F54">
        <f t="shared" ca="1" si="0"/>
        <v>-1.7900120095806697</v>
      </c>
      <c r="G54">
        <f t="shared" ca="1" si="1"/>
        <v>72.036128945582007</v>
      </c>
      <c r="H54">
        <f t="shared" ca="1" si="2"/>
        <v>0</v>
      </c>
      <c r="I54">
        <f t="shared" ca="1" si="3"/>
        <v>0</v>
      </c>
    </row>
    <row r="55" spans="5:9" x14ac:dyDescent="0.75">
      <c r="E55">
        <v>49</v>
      </c>
      <c r="F55">
        <f t="shared" ca="1" si="0"/>
        <v>-0.31103258229074993</v>
      </c>
      <c r="G55">
        <f t="shared" ca="1" si="1"/>
        <v>96.830659018169158</v>
      </c>
      <c r="H55">
        <f t="shared" ca="1" si="2"/>
        <v>0</v>
      </c>
      <c r="I55">
        <f t="shared" ca="1" si="3"/>
        <v>0</v>
      </c>
    </row>
    <row r="56" spans="5:9" x14ac:dyDescent="0.75">
      <c r="E56">
        <v>50</v>
      </c>
      <c r="F56">
        <f t="shared" ca="1" si="0"/>
        <v>-2.595954847120082E-2</v>
      </c>
      <c r="G56">
        <f t="shared" ca="1" si="1"/>
        <v>102.51183714927762</v>
      </c>
      <c r="H56">
        <f t="shared" ca="1" si="2"/>
        <v>2.5118371492776248</v>
      </c>
      <c r="I56">
        <f t="shared" ca="1" si="3"/>
        <v>2.3893334059468692</v>
      </c>
    </row>
    <row r="57" spans="5:9" x14ac:dyDescent="0.75">
      <c r="E57">
        <v>51</v>
      </c>
      <c r="F57">
        <f t="shared" ca="1" si="0"/>
        <v>-1.4227899684598893</v>
      </c>
      <c r="G57">
        <f t="shared" ca="1" si="1"/>
        <v>77.525909165007818</v>
      </c>
      <c r="H57">
        <f t="shared" ca="1" si="2"/>
        <v>0</v>
      </c>
      <c r="I57">
        <f t="shared" ca="1" si="3"/>
        <v>0</v>
      </c>
    </row>
    <row r="58" spans="5:9" x14ac:dyDescent="0.75">
      <c r="E58">
        <v>52</v>
      </c>
      <c r="F58">
        <f t="shared" ca="1" si="0"/>
        <v>-0.54688222779205797</v>
      </c>
      <c r="G58">
        <f t="shared" ca="1" si="1"/>
        <v>92.369213918494978</v>
      </c>
      <c r="H58">
        <f t="shared" ca="1" si="2"/>
        <v>0</v>
      </c>
      <c r="I58">
        <f t="shared" ca="1" si="3"/>
        <v>0</v>
      </c>
    </row>
    <row r="59" spans="5:9" x14ac:dyDescent="0.75">
      <c r="E59">
        <v>53</v>
      </c>
      <c r="F59">
        <f t="shared" ca="1" si="0"/>
        <v>-0.46035348756649663</v>
      </c>
      <c r="G59">
        <f t="shared" ca="1" si="1"/>
        <v>93.981644175697724</v>
      </c>
      <c r="H59">
        <f t="shared" ca="1" si="2"/>
        <v>0</v>
      </c>
      <c r="I59">
        <f t="shared" ca="1" si="3"/>
        <v>0</v>
      </c>
    </row>
    <row r="60" spans="5:9" x14ac:dyDescent="0.75">
      <c r="E60">
        <v>54</v>
      </c>
      <c r="F60">
        <f t="shared" ca="1" si="0"/>
        <v>-0.90605995812870455</v>
      </c>
      <c r="G60">
        <f t="shared" ca="1" si="1"/>
        <v>85.966543746728291</v>
      </c>
      <c r="H60">
        <f t="shared" ca="1" si="2"/>
        <v>0</v>
      </c>
      <c r="I60">
        <f t="shared" ca="1" si="3"/>
        <v>0</v>
      </c>
    </row>
    <row r="61" spans="5:9" x14ac:dyDescent="0.75">
      <c r="E61">
        <v>55</v>
      </c>
      <c r="F61">
        <f t="shared" ca="1" si="0"/>
        <v>-1.639140588674779</v>
      </c>
      <c r="G61">
        <f t="shared" ca="1" si="1"/>
        <v>74.242893914911846</v>
      </c>
      <c r="H61">
        <f t="shared" ca="1" si="2"/>
        <v>0</v>
      </c>
      <c r="I61">
        <f t="shared" ca="1" si="3"/>
        <v>0</v>
      </c>
    </row>
    <row r="62" spans="5:9" x14ac:dyDescent="0.75">
      <c r="E62">
        <v>56</v>
      </c>
      <c r="F62">
        <f t="shared" ca="1" si="0"/>
        <v>0.9012960039464305</v>
      </c>
      <c r="G62">
        <f t="shared" ca="1" si="1"/>
        <v>123.39978717295503</v>
      </c>
      <c r="H62">
        <f t="shared" ca="1" si="2"/>
        <v>23.39978717295503</v>
      </c>
      <c r="I62">
        <f t="shared" ca="1" si="3"/>
        <v>22.258566085969203</v>
      </c>
    </row>
    <row r="63" spans="5:9" x14ac:dyDescent="0.75">
      <c r="E63">
        <v>57</v>
      </c>
      <c r="F63">
        <f t="shared" ca="1" si="0"/>
        <v>-0.2329909928166724</v>
      </c>
      <c r="G63">
        <f t="shared" ca="1" si="1"/>
        <v>98.353879255199331</v>
      </c>
      <c r="H63">
        <f t="shared" ca="1" si="2"/>
        <v>0</v>
      </c>
      <c r="I63">
        <f t="shared" ca="1" si="3"/>
        <v>0</v>
      </c>
    </row>
    <row r="64" spans="5:9" x14ac:dyDescent="0.75">
      <c r="E64">
        <v>58</v>
      </c>
      <c r="F64">
        <f t="shared" ca="1" si="0"/>
        <v>0.41567940187838698</v>
      </c>
      <c r="G64">
        <f t="shared" ca="1" si="1"/>
        <v>111.97840792928726</v>
      </c>
      <c r="H64">
        <f t="shared" ca="1" si="2"/>
        <v>11.978407929287258</v>
      </c>
      <c r="I64">
        <f t="shared" ca="1" si="3"/>
        <v>11.394214081010707</v>
      </c>
    </row>
    <row r="65" spans="5:9" x14ac:dyDescent="0.75">
      <c r="E65">
        <v>59</v>
      </c>
      <c r="F65">
        <f t="shared" ca="1" si="0"/>
        <v>-0.60630816084625805</v>
      </c>
      <c r="G65">
        <f t="shared" ca="1" si="1"/>
        <v>91.277886734093954</v>
      </c>
      <c r="H65">
        <f t="shared" ca="1" si="2"/>
        <v>0</v>
      </c>
      <c r="I65">
        <f t="shared" ca="1" si="3"/>
        <v>0</v>
      </c>
    </row>
    <row r="66" spans="5:9" x14ac:dyDescent="0.75">
      <c r="E66">
        <v>60</v>
      </c>
      <c r="F66">
        <f t="shared" ca="1" si="0"/>
        <v>0.9037702113681142</v>
      </c>
      <c r="G66">
        <f t="shared" ca="1" si="1"/>
        <v>123.46086561763431</v>
      </c>
      <c r="H66">
        <f t="shared" ca="1" si="2"/>
        <v>23.460865617634312</v>
      </c>
      <c r="I66">
        <f t="shared" ca="1" si="3"/>
        <v>22.316665699750875</v>
      </c>
    </row>
    <row r="67" spans="5:9" x14ac:dyDescent="0.75">
      <c r="E67">
        <v>61</v>
      </c>
      <c r="F67">
        <f t="shared" ca="1" si="0"/>
        <v>1.2929305480945315</v>
      </c>
      <c r="G67">
        <f t="shared" ca="1" si="1"/>
        <v>133.45392612425272</v>
      </c>
      <c r="H67">
        <f t="shared" ca="1" si="2"/>
        <v>33.453926124252717</v>
      </c>
      <c r="I67">
        <f t="shared" ca="1" si="3"/>
        <v>31.822358894462315</v>
      </c>
    </row>
    <row r="68" spans="5:9" x14ac:dyDescent="0.75">
      <c r="E68">
        <v>62</v>
      </c>
      <c r="F68">
        <f t="shared" ca="1" si="0"/>
        <v>0.83725763147357191</v>
      </c>
      <c r="G68">
        <f t="shared" ca="1" si="1"/>
        <v>121.82940083135931</v>
      </c>
      <c r="H68">
        <f t="shared" ca="1" si="2"/>
        <v>21.829400831359308</v>
      </c>
      <c r="I68">
        <f t="shared" ca="1" si="3"/>
        <v>20.764768390009323</v>
      </c>
    </row>
    <row r="69" spans="5:9" x14ac:dyDescent="0.75">
      <c r="E69">
        <v>63</v>
      </c>
      <c r="F69">
        <f t="shared" ca="1" si="0"/>
        <v>0.59570459834630163</v>
      </c>
      <c r="G69">
        <f t="shared" ca="1" si="1"/>
        <v>116.08365623879126</v>
      </c>
      <c r="H69">
        <f t="shared" ca="1" si="2"/>
        <v>16.083656238791264</v>
      </c>
      <c r="I69">
        <f t="shared" ca="1" si="3"/>
        <v>15.299247067892733</v>
      </c>
    </row>
    <row r="70" spans="5:9" x14ac:dyDescent="0.75">
      <c r="E70">
        <v>64</v>
      </c>
      <c r="F70">
        <f t="shared" ca="1" si="0"/>
        <v>0.36822142104434563</v>
      </c>
      <c r="G70">
        <f t="shared" ca="1" si="1"/>
        <v>110.92058227045389</v>
      </c>
      <c r="H70">
        <f t="shared" ca="1" si="2"/>
        <v>10.920582270453892</v>
      </c>
      <c r="I70">
        <f t="shared" ca="1" si="3"/>
        <v>10.387979188336557</v>
      </c>
    </row>
    <row r="71" spans="5:9" x14ac:dyDescent="0.75">
      <c r="E71">
        <v>65</v>
      </c>
      <c r="F71">
        <f t="shared" ca="1" si="0"/>
        <v>0.84971901832978824</v>
      </c>
      <c r="G71">
        <f t="shared" ca="1" si="1"/>
        <v>122.1334121731348</v>
      </c>
      <c r="H71">
        <f t="shared" ca="1" si="2"/>
        <v>22.133412173134801</v>
      </c>
      <c r="I71">
        <f t="shared" ca="1" si="3"/>
        <v>21.053952923688115</v>
      </c>
    </row>
    <row r="72" spans="5:9" x14ac:dyDescent="0.75">
      <c r="E72">
        <v>66</v>
      </c>
      <c r="F72">
        <f t="shared" ref="F72:F135" ca="1" si="4">NORMINV(RAND(), 0,1)</f>
        <v>-0.25400309069064908</v>
      </c>
      <c r="G72">
        <f t="shared" ref="G72:G135" ca="1" si="5">$C$5*EXP(($C$6-0.5*$C$7^2)*$C$8+$C$7*SQRT($C$8)*F72)</f>
        <v>97.94142225345955</v>
      </c>
      <c r="H72">
        <f t="shared" ref="H72:H135" ca="1" si="6">MAX(G72-$C$9,0)</f>
        <v>0</v>
      </c>
      <c r="I72">
        <f t="shared" ref="I72:I135" ca="1" si="7">EXP(-$C$6*$C$8)*H72</f>
        <v>0</v>
      </c>
    </row>
    <row r="73" spans="5:9" x14ac:dyDescent="0.75">
      <c r="E73">
        <v>67</v>
      </c>
      <c r="F73">
        <f t="shared" ca="1" si="4"/>
        <v>1.0911722126491785</v>
      </c>
      <c r="G73">
        <f t="shared" ca="1" si="5"/>
        <v>128.17603961217935</v>
      </c>
      <c r="H73">
        <f t="shared" ca="1" si="6"/>
        <v>28.176039612179352</v>
      </c>
      <c r="I73">
        <f t="shared" ca="1" si="7"/>
        <v>26.801877945002687</v>
      </c>
    </row>
    <row r="74" spans="5:9" x14ac:dyDescent="0.75">
      <c r="E74">
        <v>68</v>
      </c>
      <c r="F74">
        <f t="shared" ca="1" si="4"/>
        <v>-2.7263313509600838E-2</v>
      </c>
      <c r="G74">
        <f t="shared" ca="1" si="5"/>
        <v>102.48511036411439</v>
      </c>
      <c r="H74">
        <f t="shared" ca="1" si="6"/>
        <v>2.4851103641143908</v>
      </c>
      <c r="I74">
        <f t="shared" ca="1" si="7"/>
        <v>2.3639101014772916</v>
      </c>
    </row>
    <row r="75" spans="5:9" x14ac:dyDescent="0.75">
      <c r="E75">
        <v>69</v>
      </c>
      <c r="F75">
        <f t="shared" ca="1" si="4"/>
        <v>-1.5417201855086746</v>
      </c>
      <c r="G75">
        <f t="shared" ca="1" si="5"/>
        <v>75.703632812297371</v>
      </c>
      <c r="H75">
        <f t="shared" ca="1" si="6"/>
        <v>0</v>
      </c>
      <c r="I75">
        <f t="shared" ca="1" si="7"/>
        <v>0</v>
      </c>
    </row>
    <row r="76" spans="5:9" x14ac:dyDescent="0.75">
      <c r="E76">
        <v>70</v>
      </c>
      <c r="F76">
        <f t="shared" ca="1" si="4"/>
        <v>-0.37133727511667514</v>
      </c>
      <c r="G76">
        <f t="shared" ca="1" si="5"/>
        <v>95.669804955347487</v>
      </c>
      <c r="H76">
        <f t="shared" ca="1" si="6"/>
        <v>0</v>
      </c>
      <c r="I76">
        <f t="shared" ca="1" si="7"/>
        <v>0</v>
      </c>
    </row>
    <row r="77" spans="5:9" x14ac:dyDescent="0.75">
      <c r="E77">
        <v>71</v>
      </c>
      <c r="F77">
        <f t="shared" ca="1" si="4"/>
        <v>5.2052920188682808E-2</v>
      </c>
      <c r="G77">
        <f t="shared" ca="1" si="5"/>
        <v>104.12382022241349</v>
      </c>
      <c r="H77">
        <f t="shared" ca="1" si="6"/>
        <v>4.1238202224134852</v>
      </c>
      <c r="I77">
        <f t="shared" ca="1" si="7"/>
        <v>3.922699136910786</v>
      </c>
    </row>
    <row r="78" spans="5:9" x14ac:dyDescent="0.75">
      <c r="E78">
        <v>72</v>
      </c>
      <c r="F78">
        <f t="shared" ca="1" si="4"/>
        <v>0.32621294624587455</v>
      </c>
      <c r="G78">
        <f t="shared" ca="1" si="5"/>
        <v>109.99256529019441</v>
      </c>
      <c r="H78">
        <f t="shared" ca="1" si="6"/>
        <v>9.9925652901944062</v>
      </c>
      <c r="I78">
        <f t="shared" ca="1" si="7"/>
        <v>9.5052221302774349</v>
      </c>
    </row>
    <row r="79" spans="5:9" x14ac:dyDescent="0.75">
      <c r="E79">
        <v>73</v>
      </c>
      <c r="F79">
        <f t="shared" ca="1" si="4"/>
        <v>-0.41619657322140513</v>
      </c>
      <c r="G79">
        <f t="shared" ca="1" si="5"/>
        <v>94.815307841237399</v>
      </c>
      <c r="H79">
        <f t="shared" ca="1" si="6"/>
        <v>0</v>
      </c>
      <c r="I79">
        <f t="shared" ca="1" si="7"/>
        <v>0</v>
      </c>
    </row>
    <row r="80" spans="5:9" x14ac:dyDescent="0.75">
      <c r="E80">
        <v>74</v>
      </c>
      <c r="F80">
        <f t="shared" ca="1" si="4"/>
        <v>-0.50136132688567225</v>
      </c>
      <c r="G80">
        <f t="shared" ca="1" si="5"/>
        <v>93.213999590624525</v>
      </c>
      <c r="H80">
        <f t="shared" ca="1" si="6"/>
        <v>0</v>
      </c>
      <c r="I80">
        <f t="shared" ca="1" si="7"/>
        <v>0</v>
      </c>
    </row>
    <row r="81" spans="5:9" x14ac:dyDescent="0.75">
      <c r="E81">
        <v>75</v>
      </c>
      <c r="F81">
        <f t="shared" ca="1" si="4"/>
        <v>0.34330197727939465</v>
      </c>
      <c r="G81">
        <f t="shared" ca="1" si="5"/>
        <v>110.36914172860055</v>
      </c>
      <c r="H81">
        <f t="shared" ca="1" si="6"/>
        <v>10.369141728600553</v>
      </c>
      <c r="I81">
        <f t="shared" ca="1" si="7"/>
        <v>9.8634327190630433</v>
      </c>
    </row>
    <row r="82" spans="5:9" x14ac:dyDescent="0.75">
      <c r="E82">
        <v>76</v>
      </c>
      <c r="F82">
        <f t="shared" ca="1" si="4"/>
        <v>-0.78386879455521141</v>
      </c>
      <c r="G82">
        <f t="shared" ca="1" si="5"/>
        <v>88.093295328421689</v>
      </c>
      <c r="H82">
        <f t="shared" ca="1" si="6"/>
        <v>0</v>
      </c>
      <c r="I82">
        <f t="shared" ca="1" si="7"/>
        <v>0</v>
      </c>
    </row>
    <row r="83" spans="5:9" x14ac:dyDescent="0.75">
      <c r="E83">
        <v>77</v>
      </c>
      <c r="F83">
        <f t="shared" ca="1" si="4"/>
        <v>0.61764315652131219</v>
      </c>
      <c r="G83">
        <f t="shared" ca="1" si="5"/>
        <v>116.59411690605891</v>
      </c>
      <c r="H83">
        <f t="shared" ca="1" si="6"/>
        <v>16.594116906058915</v>
      </c>
      <c r="I83">
        <f t="shared" ca="1" si="7"/>
        <v>15.78481227464799</v>
      </c>
    </row>
    <row r="84" spans="5:9" x14ac:dyDescent="0.75">
      <c r="E84">
        <v>78</v>
      </c>
      <c r="F84">
        <f t="shared" ca="1" si="4"/>
        <v>9.6508865132913318E-2</v>
      </c>
      <c r="G84">
        <f t="shared" ca="1" si="5"/>
        <v>105.05373267388474</v>
      </c>
      <c r="H84">
        <f t="shared" ca="1" si="6"/>
        <v>5.0537326738847383</v>
      </c>
      <c r="I84">
        <f t="shared" ca="1" si="7"/>
        <v>4.8072592229598339</v>
      </c>
    </row>
    <row r="85" spans="5:9" x14ac:dyDescent="0.75">
      <c r="E85">
        <v>79</v>
      </c>
      <c r="F85">
        <f t="shared" ca="1" si="4"/>
        <v>-1.2312600877613424</v>
      </c>
      <c r="G85">
        <f t="shared" ca="1" si="5"/>
        <v>80.553226802004716</v>
      </c>
      <c r="H85">
        <f t="shared" ca="1" si="6"/>
        <v>0</v>
      </c>
      <c r="I85">
        <f t="shared" ca="1" si="7"/>
        <v>0</v>
      </c>
    </row>
    <row r="86" spans="5:9" x14ac:dyDescent="0.75">
      <c r="E86">
        <v>80</v>
      </c>
      <c r="F86">
        <f t="shared" ca="1" si="4"/>
        <v>-1.7470607137428902</v>
      </c>
      <c r="G86">
        <f t="shared" ca="1" si="5"/>
        <v>72.657603454523098</v>
      </c>
      <c r="H86">
        <f t="shared" ca="1" si="6"/>
        <v>0</v>
      </c>
      <c r="I86">
        <f t="shared" ca="1" si="7"/>
        <v>0</v>
      </c>
    </row>
    <row r="87" spans="5:9" x14ac:dyDescent="0.75">
      <c r="E87">
        <v>81</v>
      </c>
      <c r="F87">
        <f t="shared" ca="1" si="4"/>
        <v>1.6532831845038891</v>
      </c>
      <c r="G87">
        <f t="shared" ca="1" si="5"/>
        <v>143.42709006183262</v>
      </c>
      <c r="H87">
        <f t="shared" ca="1" si="6"/>
        <v>43.427090061832615</v>
      </c>
      <c r="I87">
        <f t="shared" ca="1" si="7"/>
        <v>41.309125887257714</v>
      </c>
    </row>
    <row r="88" spans="5:9" x14ac:dyDescent="0.75">
      <c r="E88">
        <v>82</v>
      </c>
      <c r="F88">
        <f t="shared" ca="1" si="4"/>
        <v>0.11021468420356381</v>
      </c>
      <c r="G88">
        <f t="shared" ca="1" si="5"/>
        <v>105.34209721108327</v>
      </c>
      <c r="H88">
        <f t="shared" ca="1" si="6"/>
        <v>5.3420972110832707</v>
      </c>
      <c r="I88">
        <f t="shared" ca="1" si="7"/>
        <v>5.0815600557256086</v>
      </c>
    </row>
    <row r="89" spans="5:9" x14ac:dyDescent="0.75">
      <c r="E89">
        <v>83</v>
      </c>
      <c r="F89">
        <f t="shared" ca="1" si="4"/>
        <v>-0.44846523062806193</v>
      </c>
      <c r="G89">
        <f t="shared" ca="1" si="5"/>
        <v>94.205365622798098</v>
      </c>
      <c r="H89">
        <f t="shared" ca="1" si="6"/>
        <v>0</v>
      </c>
      <c r="I89">
        <f t="shared" ca="1" si="7"/>
        <v>0</v>
      </c>
    </row>
    <row r="90" spans="5:9" x14ac:dyDescent="0.75">
      <c r="E90">
        <v>84</v>
      </c>
      <c r="F90">
        <f t="shared" ca="1" si="4"/>
        <v>1.1484017001408735</v>
      </c>
      <c r="G90">
        <f t="shared" ca="1" si="5"/>
        <v>129.65155762855267</v>
      </c>
      <c r="H90">
        <f t="shared" ca="1" si="6"/>
        <v>29.651557628552666</v>
      </c>
      <c r="I90">
        <f t="shared" ca="1" si="7"/>
        <v>28.205434098557909</v>
      </c>
    </row>
    <row r="91" spans="5:9" x14ac:dyDescent="0.75">
      <c r="E91">
        <v>85</v>
      </c>
      <c r="F91">
        <f t="shared" ca="1" si="4"/>
        <v>-0.10328916913152493</v>
      </c>
      <c r="G91">
        <f t="shared" ca="1" si="5"/>
        <v>100.93859404173332</v>
      </c>
      <c r="H91">
        <f t="shared" ca="1" si="6"/>
        <v>0.9385940417333245</v>
      </c>
      <c r="I91">
        <f t="shared" ca="1" si="7"/>
        <v>0.89281827015778947</v>
      </c>
    </row>
    <row r="92" spans="5:9" x14ac:dyDescent="0.75">
      <c r="E92">
        <v>86</v>
      </c>
      <c r="F92">
        <f t="shared" ca="1" si="4"/>
        <v>2.4686216389275635</v>
      </c>
      <c r="G92">
        <f t="shared" ca="1" si="5"/>
        <v>168.83037518870933</v>
      </c>
      <c r="H92">
        <f t="shared" ca="1" si="6"/>
        <v>68.830375188709326</v>
      </c>
      <c r="I92">
        <f t="shared" ca="1" si="7"/>
        <v>65.473478178924196</v>
      </c>
    </row>
    <row r="93" spans="5:9" x14ac:dyDescent="0.75">
      <c r="E93">
        <v>87</v>
      </c>
      <c r="F93">
        <f t="shared" ca="1" si="4"/>
        <v>-1.1847122902011329</v>
      </c>
      <c r="G93">
        <f t="shared" ca="1" si="5"/>
        <v>81.306643407757676</v>
      </c>
      <c r="H93">
        <f t="shared" ca="1" si="6"/>
        <v>0</v>
      </c>
      <c r="I93">
        <f t="shared" ca="1" si="7"/>
        <v>0</v>
      </c>
    </row>
    <row r="94" spans="5:9" x14ac:dyDescent="0.75">
      <c r="E94">
        <v>88</v>
      </c>
      <c r="F94">
        <f t="shared" ca="1" si="4"/>
        <v>-1.1317691458448034</v>
      </c>
      <c r="G94">
        <f t="shared" ca="1" si="5"/>
        <v>82.172143422219051</v>
      </c>
      <c r="H94">
        <f t="shared" ca="1" si="6"/>
        <v>0</v>
      </c>
      <c r="I94">
        <f t="shared" ca="1" si="7"/>
        <v>0</v>
      </c>
    </row>
    <row r="95" spans="5:9" x14ac:dyDescent="0.75">
      <c r="E95">
        <v>89</v>
      </c>
      <c r="F95">
        <f t="shared" ca="1" si="4"/>
        <v>0.81021103736692668</v>
      </c>
      <c r="G95">
        <f t="shared" ca="1" si="5"/>
        <v>121.17216595952902</v>
      </c>
      <c r="H95">
        <f t="shared" ca="1" si="6"/>
        <v>21.172165959529025</v>
      </c>
      <c r="I95">
        <f t="shared" ca="1" si="7"/>
        <v>20.139587241116402</v>
      </c>
    </row>
    <row r="96" spans="5:9" x14ac:dyDescent="0.75">
      <c r="E96">
        <v>90</v>
      </c>
      <c r="F96">
        <f t="shared" ca="1" si="4"/>
        <v>-1.0593211877699928</v>
      </c>
      <c r="G96">
        <f t="shared" ca="1" si="5"/>
        <v>83.371451985528509</v>
      </c>
      <c r="H96">
        <f t="shared" ca="1" si="6"/>
        <v>0</v>
      </c>
      <c r="I96">
        <f t="shared" ca="1" si="7"/>
        <v>0</v>
      </c>
    </row>
    <row r="97" spans="5:9" x14ac:dyDescent="0.75">
      <c r="E97">
        <v>91</v>
      </c>
      <c r="F97">
        <f t="shared" ca="1" si="4"/>
        <v>-0.57948100277724035</v>
      </c>
      <c r="G97">
        <f t="shared" ca="1" si="5"/>
        <v>91.768948193507583</v>
      </c>
      <c r="H97">
        <f t="shared" ca="1" si="6"/>
        <v>0</v>
      </c>
      <c r="I97">
        <f t="shared" ca="1" si="7"/>
        <v>0</v>
      </c>
    </row>
    <row r="98" spans="5:9" x14ac:dyDescent="0.75">
      <c r="E98">
        <v>92</v>
      </c>
      <c r="F98">
        <f t="shared" ca="1" si="4"/>
        <v>0.36190985300191114</v>
      </c>
      <c r="G98">
        <f t="shared" ca="1" si="5"/>
        <v>110.78065404522461</v>
      </c>
      <c r="H98">
        <f t="shared" ca="1" si="6"/>
        <v>10.780654045224608</v>
      </c>
      <c r="I98">
        <f t="shared" ca="1" si="7"/>
        <v>10.254875343180299</v>
      </c>
    </row>
    <row r="99" spans="5:9" x14ac:dyDescent="0.75">
      <c r="E99">
        <v>93</v>
      </c>
      <c r="F99">
        <f t="shared" ca="1" si="4"/>
        <v>1.0777618299092726</v>
      </c>
      <c r="G99">
        <f t="shared" ca="1" si="5"/>
        <v>127.83272226982403</v>
      </c>
      <c r="H99">
        <f t="shared" ca="1" si="6"/>
        <v>27.832722269824032</v>
      </c>
      <c r="I99">
        <f t="shared" ca="1" si="7"/>
        <v>26.475304387012919</v>
      </c>
    </row>
    <row r="100" spans="5:9" x14ac:dyDescent="0.75">
      <c r="E100">
        <v>94</v>
      </c>
      <c r="F100">
        <f t="shared" ca="1" si="4"/>
        <v>-1.3962249571678003</v>
      </c>
      <c r="G100">
        <f t="shared" ca="1" si="5"/>
        <v>77.938900636304353</v>
      </c>
      <c r="H100">
        <f t="shared" ca="1" si="6"/>
        <v>0</v>
      </c>
      <c r="I100">
        <f t="shared" ca="1" si="7"/>
        <v>0</v>
      </c>
    </row>
    <row r="101" spans="5:9" x14ac:dyDescent="0.75">
      <c r="E101">
        <v>95</v>
      </c>
      <c r="F101">
        <f t="shared" ca="1" si="4"/>
        <v>-0.79141502304817934</v>
      </c>
      <c r="G101">
        <f t="shared" ca="1" si="5"/>
        <v>87.960441181365496</v>
      </c>
      <c r="H101">
        <f t="shared" ca="1" si="6"/>
        <v>0</v>
      </c>
      <c r="I101">
        <f t="shared" ca="1" si="7"/>
        <v>0</v>
      </c>
    </row>
    <row r="102" spans="5:9" x14ac:dyDescent="0.75">
      <c r="E102">
        <v>96</v>
      </c>
      <c r="F102">
        <f t="shared" ca="1" si="4"/>
        <v>0.56154410002218702</v>
      </c>
      <c r="G102">
        <f t="shared" ca="1" si="5"/>
        <v>115.29326422288781</v>
      </c>
      <c r="H102">
        <f t="shared" ca="1" si="6"/>
        <v>15.293264222887814</v>
      </c>
      <c r="I102">
        <f t="shared" ca="1" si="7"/>
        <v>14.547402925474934</v>
      </c>
    </row>
    <row r="103" spans="5:9" x14ac:dyDescent="0.75">
      <c r="E103">
        <v>97</v>
      </c>
      <c r="F103">
        <f t="shared" ca="1" si="4"/>
        <v>-0.47481139624397822</v>
      </c>
      <c r="G103">
        <f t="shared" ca="1" si="5"/>
        <v>93.710281093271519</v>
      </c>
      <c r="H103">
        <f t="shared" ca="1" si="6"/>
        <v>0</v>
      </c>
      <c r="I103">
        <f t="shared" ca="1" si="7"/>
        <v>0</v>
      </c>
    </row>
    <row r="104" spans="5:9" x14ac:dyDescent="0.75">
      <c r="E104">
        <v>98</v>
      </c>
      <c r="F104">
        <f t="shared" ca="1" si="4"/>
        <v>7.6997971903556409E-2</v>
      </c>
      <c r="G104">
        <f t="shared" ca="1" si="5"/>
        <v>104.64459302873279</v>
      </c>
      <c r="H104">
        <f t="shared" ca="1" si="6"/>
        <v>4.6445930287327855</v>
      </c>
      <c r="I104">
        <f t="shared" ca="1" si="7"/>
        <v>4.4180735537615154</v>
      </c>
    </row>
    <row r="105" spans="5:9" x14ac:dyDescent="0.75">
      <c r="E105">
        <v>99</v>
      </c>
      <c r="F105">
        <f t="shared" ca="1" si="4"/>
        <v>0.2978320264853051</v>
      </c>
      <c r="G105">
        <f t="shared" ca="1" si="5"/>
        <v>109.36999583716111</v>
      </c>
      <c r="H105">
        <f t="shared" ca="1" si="6"/>
        <v>9.3699958371611132</v>
      </c>
      <c r="I105">
        <f t="shared" ca="1" si="7"/>
        <v>8.9130157477568517</v>
      </c>
    </row>
    <row r="106" spans="5:9" x14ac:dyDescent="0.75">
      <c r="E106">
        <v>100</v>
      </c>
      <c r="F106">
        <f t="shared" ca="1" si="4"/>
        <v>0.72815369395684082</v>
      </c>
      <c r="G106">
        <f t="shared" ca="1" si="5"/>
        <v>119.19978188186622</v>
      </c>
      <c r="H106">
        <f t="shared" ca="1" si="6"/>
        <v>19.199781881866215</v>
      </c>
      <c r="I106">
        <f t="shared" ca="1" si="7"/>
        <v>18.263397470026835</v>
      </c>
    </row>
    <row r="107" spans="5:9" x14ac:dyDescent="0.75">
      <c r="E107">
        <v>101</v>
      </c>
      <c r="F107">
        <f t="shared" ca="1" si="4"/>
        <v>0.5840346820616551</v>
      </c>
      <c r="G107">
        <f t="shared" ca="1" si="5"/>
        <v>115.81303486445545</v>
      </c>
      <c r="H107">
        <f t="shared" ca="1" si="6"/>
        <v>15.813034864455446</v>
      </c>
      <c r="I107">
        <f t="shared" ca="1" si="7"/>
        <v>15.04182405372568</v>
      </c>
    </row>
    <row r="108" spans="5:9" x14ac:dyDescent="0.75">
      <c r="E108">
        <v>102</v>
      </c>
      <c r="F108">
        <f t="shared" ca="1" si="4"/>
        <v>2.1731409195893243</v>
      </c>
      <c r="G108">
        <f t="shared" ca="1" si="5"/>
        <v>159.1422362440799</v>
      </c>
      <c r="H108">
        <f t="shared" ca="1" si="6"/>
        <v>59.142236244079896</v>
      </c>
      <c r="I108">
        <f t="shared" ca="1" si="7"/>
        <v>56.257835346141391</v>
      </c>
    </row>
    <row r="109" spans="5:9" x14ac:dyDescent="0.75">
      <c r="E109">
        <v>103</v>
      </c>
      <c r="F109">
        <f t="shared" ca="1" si="4"/>
        <v>-0.92665777964708873</v>
      </c>
      <c r="G109">
        <f t="shared" ca="1" si="5"/>
        <v>85.613127502084879</v>
      </c>
      <c r="H109">
        <f t="shared" ca="1" si="6"/>
        <v>0</v>
      </c>
      <c r="I109">
        <f t="shared" ca="1" si="7"/>
        <v>0</v>
      </c>
    </row>
    <row r="110" spans="5:9" x14ac:dyDescent="0.75">
      <c r="E110">
        <v>104</v>
      </c>
      <c r="F110">
        <f t="shared" ca="1" si="4"/>
        <v>-1.6762345296562944</v>
      </c>
      <c r="G110">
        <f t="shared" ca="1" si="5"/>
        <v>73.6941396725028</v>
      </c>
      <c r="H110">
        <f t="shared" ca="1" si="6"/>
        <v>0</v>
      </c>
      <c r="I110">
        <f t="shared" ca="1" si="7"/>
        <v>0</v>
      </c>
    </row>
    <row r="111" spans="5:9" x14ac:dyDescent="0.75">
      <c r="E111">
        <v>105</v>
      </c>
      <c r="F111">
        <f t="shared" ca="1" si="4"/>
        <v>0.30781255776721372</v>
      </c>
      <c r="G111">
        <f t="shared" ca="1" si="5"/>
        <v>109.58852800426439</v>
      </c>
      <c r="H111">
        <f t="shared" ca="1" si="6"/>
        <v>9.5885280042643899</v>
      </c>
      <c r="I111">
        <f t="shared" ca="1" si="7"/>
        <v>9.1208899753053956</v>
      </c>
    </row>
    <row r="112" spans="5:9" x14ac:dyDescent="0.75">
      <c r="E112">
        <v>106</v>
      </c>
      <c r="F112">
        <f t="shared" ca="1" si="4"/>
        <v>-0.81006718226396635</v>
      </c>
      <c r="G112">
        <f t="shared" ca="1" si="5"/>
        <v>87.632922024406824</v>
      </c>
      <c r="H112">
        <f t="shared" ca="1" si="6"/>
        <v>0</v>
      </c>
      <c r="I112">
        <f t="shared" ca="1" si="7"/>
        <v>0</v>
      </c>
    </row>
    <row r="113" spans="5:9" x14ac:dyDescent="0.75">
      <c r="E113">
        <v>107</v>
      </c>
      <c r="F113">
        <f t="shared" ca="1" si="4"/>
        <v>0.5328707309974211</v>
      </c>
      <c r="G113">
        <f t="shared" ca="1" si="5"/>
        <v>114.63398713695317</v>
      </c>
      <c r="H113">
        <f t="shared" ca="1" si="6"/>
        <v>14.633987136953166</v>
      </c>
      <c r="I113">
        <f t="shared" ca="1" si="7"/>
        <v>13.920279162434811</v>
      </c>
    </row>
    <row r="114" spans="5:9" x14ac:dyDescent="0.75">
      <c r="E114">
        <v>108</v>
      </c>
      <c r="F114">
        <f t="shared" ca="1" si="4"/>
        <v>-9.8096474495402319E-2</v>
      </c>
      <c r="G114">
        <f t="shared" ca="1" si="5"/>
        <v>101.04347715407556</v>
      </c>
      <c r="H114">
        <f t="shared" ca="1" si="6"/>
        <v>1.0434771540755605</v>
      </c>
      <c r="I114">
        <f t="shared" ca="1" si="7"/>
        <v>0.9925861727509383</v>
      </c>
    </row>
    <row r="115" spans="5:9" x14ac:dyDescent="0.75">
      <c r="E115">
        <v>109</v>
      </c>
      <c r="F115">
        <f t="shared" ca="1" si="4"/>
        <v>-1.1715862596508113</v>
      </c>
      <c r="G115">
        <f t="shared" ca="1" si="5"/>
        <v>81.520370520936865</v>
      </c>
      <c r="H115">
        <f t="shared" ca="1" si="6"/>
        <v>0</v>
      </c>
      <c r="I115">
        <f t="shared" ca="1" si="7"/>
        <v>0</v>
      </c>
    </row>
    <row r="116" spans="5:9" x14ac:dyDescent="0.75">
      <c r="E116">
        <v>110</v>
      </c>
      <c r="F116">
        <f t="shared" ca="1" si="4"/>
        <v>-1.6735509548632623</v>
      </c>
      <c r="G116">
        <f t="shared" ca="1" si="5"/>
        <v>73.733703035801383</v>
      </c>
      <c r="H116">
        <f t="shared" ca="1" si="6"/>
        <v>0</v>
      </c>
      <c r="I116">
        <f t="shared" ca="1" si="7"/>
        <v>0</v>
      </c>
    </row>
    <row r="117" spans="5:9" x14ac:dyDescent="0.75">
      <c r="E117">
        <v>111</v>
      </c>
      <c r="F117">
        <f t="shared" ca="1" si="4"/>
        <v>-0.24383573030478173</v>
      </c>
      <c r="G117">
        <f t="shared" ca="1" si="5"/>
        <v>98.140786032451928</v>
      </c>
      <c r="H117">
        <f t="shared" ca="1" si="6"/>
        <v>0</v>
      </c>
      <c r="I117">
        <f t="shared" ca="1" si="7"/>
        <v>0</v>
      </c>
    </row>
    <row r="118" spans="5:9" x14ac:dyDescent="0.75">
      <c r="E118">
        <v>112</v>
      </c>
      <c r="F118">
        <f t="shared" ca="1" si="4"/>
        <v>2.0556260798078534</v>
      </c>
      <c r="G118">
        <f t="shared" ca="1" si="5"/>
        <v>155.44553327758456</v>
      </c>
      <c r="H118">
        <f t="shared" ca="1" si="6"/>
        <v>55.445533277584559</v>
      </c>
      <c r="I118">
        <f t="shared" ca="1" si="7"/>
        <v>52.74142271077195</v>
      </c>
    </row>
    <row r="119" spans="5:9" x14ac:dyDescent="0.75">
      <c r="E119">
        <v>113</v>
      </c>
      <c r="F119">
        <f t="shared" ca="1" si="4"/>
        <v>0.69012121853290975</v>
      </c>
      <c r="G119">
        <f t="shared" ca="1" si="5"/>
        <v>118.29652897635469</v>
      </c>
      <c r="H119">
        <f t="shared" ca="1" si="6"/>
        <v>18.296528976354693</v>
      </c>
      <c r="I119">
        <f t="shared" ca="1" si="7"/>
        <v>17.404196728538512</v>
      </c>
    </row>
    <row r="120" spans="5:9" x14ac:dyDescent="0.75">
      <c r="E120">
        <v>114</v>
      </c>
      <c r="F120">
        <f t="shared" ca="1" si="4"/>
        <v>0.17421588533463714</v>
      </c>
      <c r="G120">
        <f t="shared" ca="1" si="5"/>
        <v>106.69916824977996</v>
      </c>
      <c r="H120">
        <f t="shared" ca="1" si="6"/>
        <v>6.6991682497799587</v>
      </c>
      <c r="I120">
        <f t="shared" ca="1" si="7"/>
        <v>6.372445958871646</v>
      </c>
    </row>
    <row r="121" spans="5:9" x14ac:dyDescent="0.75">
      <c r="E121">
        <v>115</v>
      </c>
      <c r="F121">
        <f t="shared" ca="1" si="4"/>
        <v>1.1852905913188475E-2</v>
      </c>
      <c r="G121">
        <f t="shared" ca="1" si="5"/>
        <v>103.29002077701148</v>
      </c>
      <c r="H121">
        <f t="shared" ca="1" si="6"/>
        <v>3.2900207770114775</v>
      </c>
      <c r="I121">
        <f t="shared" ca="1" si="7"/>
        <v>3.1295645703120196</v>
      </c>
    </row>
    <row r="122" spans="5:9" x14ac:dyDescent="0.75">
      <c r="E122">
        <v>116</v>
      </c>
      <c r="F122">
        <f t="shared" ca="1" si="4"/>
        <v>0.34704572615134605</v>
      </c>
      <c r="G122">
        <f t="shared" ca="1" si="5"/>
        <v>110.45181154421013</v>
      </c>
      <c r="H122">
        <f t="shared" ca="1" si="6"/>
        <v>10.45181154421013</v>
      </c>
      <c r="I122">
        <f t="shared" ca="1" si="7"/>
        <v>9.9420706801889214</v>
      </c>
    </row>
    <row r="123" spans="5:9" x14ac:dyDescent="0.75">
      <c r="E123">
        <v>117</v>
      </c>
      <c r="F123">
        <f t="shared" ca="1" si="4"/>
        <v>-6.7276228283580389E-2</v>
      </c>
      <c r="G123">
        <f t="shared" ca="1" si="5"/>
        <v>101.66823767199867</v>
      </c>
      <c r="H123">
        <f t="shared" ca="1" si="6"/>
        <v>1.6682376719986678</v>
      </c>
      <c r="I123">
        <f t="shared" ca="1" si="7"/>
        <v>1.5868767606657037</v>
      </c>
    </row>
    <row r="124" spans="5:9" x14ac:dyDescent="0.75">
      <c r="E124">
        <v>118</v>
      </c>
      <c r="F124">
        <f t="shared" ca="1" si="4"/>
        <v>-0.42986317947431268</v>
      </c>
      <c r="G124">
        <f t="shared" ca="1" si="5"/>
        <v>94.556501007673276</v>
      </c>
      <c r="H124">
        <f t="shared" ca="1" si="6"/>
        <v>0</v>
      </c>
      <c r="I124">
        <f t="shared" ca="1" si="7"/>
        <v>0</v>
      </c>
    </row>
    <row r="125" spans="5:9" x14ac:dyDescent="0.75">
      <c r="E125">
        <v>119</v>
      </c>
      <c r="F125">
        <f t="shared" ca="1" si="4"/>
        <v>-1.4706014498570397</v>
      </c>
      <c r="G125">
        <f t="shared" ca="1" si="5"/>
        <v>76.788116569752063</v>
      </c>
      <c r="H125">
        <f t="shared" ca="1" si="6"/>
        <v>0</v>
      </c>
      <c r="I125">
        <f t="shared" ca="1" si="7"/>
        <v>0</v>
      </c>
    </row>
    <row r="126" spans="5:9" x14ac:dyDescent="0.75">
      <c r="E126">
        <v>120</v>
      </c>
      <c r="F126">
        <f t="shared" ca="1" si="4"/>
        <v>-0.30113409194399804</v>
      </c>
      <c r="G126">
        <f t="shared" ca="1" si="5"/>
        <v>97.022544361733637</v>
      </c>
      <c r="H126">
        <f t="shared" ca="1" si="6"/>
        <v>0</v>
      </c>
      <c r="I126">
        <f t="shared" ca="1" si="7"/>
        <v>0</v>
      </c>
    </row>
    <row r="127" spans="5:9" x14ac:dyDescent="0.75">
      <c r="E127">
        <v>121</v>
      </c>
      <c r="F127">
        <f t="shared" ca="1" si="4"/>
        <v>-1.0570706612983256</v>
      </c>
      <c r="G127">
        <f t="shared" ca="1" si="5"/>
        <v>83.408986364041027</v>
      </c>
      <c r="H127">
        <f t="shared" ca="1" si="6"/>
        <v>0</v>
      </c>
      <c r="I127">
        <f t="shared" ca="1" si="7"/>
        <v>0</v>
      </c>
    </row>
    <row r="128" spans="5:9" x14ac:dyDescent="0.75">
      <c r="E128">
        <v>122</v>
      </c>
      <c r="F128">
        <f t="shared" ca="1" si="4"/>
        <v>0.71930430172607407</v>
      </c>
      <c r="G128">
        <f t="shared" ca="1" si="5"/>
        <v>118.98899934188698</v>
      </c>
      <c r="H128">
        <f t="shared" ca="1" si="6"/>
        <v>18.988999341886981</v>
      </c>
      <c r="I128">
        <f t="shared" ca="1" si="7"/>
        <v>18.062894915827592</v>
      </c>
    </row>
    <row r="129" spans="5:9" x14ac:dyDescent="0.75">
      <c r="E129">
        <v>123</v>
      </c>
      <c r="F129">
        <f t="shared" ca="1" si="4"/>
        <v>-1.1999996166066345</v>
      </c>
      <c r="G129">
        <f t="shared" ca="1" si="5"/>
        <v>81.0584308124714</v>
      </c>
      <c r="H129">
        <f t="shared" ca="1" si="6"/>
        <v>0</v>
      </c>
      <c r="I129">
        <f t="shared" ca="1" si="7"/>
        <v>0</v>
      </c>
    </row>
    <row r="130" spans="5:9" x14ac:dyDescent="0.75">
      <c r="E130">
        <v>124</v>
      </c>
      <c r="F130">
        <f t="shared" ca="1" si="4"/>
        <v>-0.6943301161737081</v>
      </c>
      <c r="G130">
        <f t="shared" ca="1" si="5"/>
        <v>89.685056658729408</v>
      </c>
      <c r="H130">
        <f t="shared" ca="1" si="6"/>
        <v>0</v>
      </c>
      <c r="I130">
        <f t="shared" ca="1" si="7"/>
        <v>0</v>
      </c>
    </row>
    <row r="131" spans="5:9" x14ac:dyDescent="0.75">
      <c r="E131">
        <v>125</v>
      </c>
      <c r="F131">
        <f t="shared" ca="1" si="4"/>
        <v>-1.0413937661773187</v>
      </c>
      <c r="G131">
        <f t="shared" ca="1" si="5"/>
        <v>83.670915559392441</v>
      </c>
      <c r="H131">
        <f t="shared" ca="1" si="6"/>
        <v>0</v>
      </c>
      <c r="I131">
        <f t="shared" ca="1" si="7"/>
        <v>0</v>
      </c>
    </row>
    <row r="132" spans="5:9" x14ac:dyDescent="0.75">
      <c r="E132">
        <v>126</v>
      </c>
      <c r="F132">
        <f t="shared" ca="1" si="4"/>
        <v>0.31920635817627824</v>
      </c>
      <c r="G132">
        <f t="shared" ca="1" si="5"/>
        <v>109.83853871633364</v>
      </c>
      <c r="H132">
        <f t="shared" ca="1" si="6"/>
        <v>9.8385387163336446</v>
      </c>
      <c r="I132">
        <f t="shared" ca="1" si="7"/>
        <v>9.3587075210660462</v>
      </c>
    </row>
    <row r="133" spans="5:9" x14ac:dyDescent="0.75">
      <c r="E133">
        <v>127</v>
      </c>
      <c r="F133">
        <f t="shared" ca="1" si="4"/>
        <v>-0.43626702012810964</v>
      </c>
      <c r="G133">
        <f t="shared" ca="1" si="5"/>
        <v>94.435473575209855</v>
      </c>
      <c r="H133">
        <f t="shared" ca="1" si="6"/>
        <v>0</v>
      </c>
      <c r="I133">
        <f t="shared" ca="1" si="7"/>
        <v>0</v>
      </c>
    </row>
    <row r="134" spans="5:9" x14ac:dyDescent="0.75">
      <c r="E134">
        <v>128</v>
      </c>
      <c r="F134">
        <f t="shared" ca="1" si="4"/>
        <v>-0.37543423565129158</v>
      </c>
      <c r="G134">
        <f t="shared" ca="1" si="5"/>
        <v>95.591445980043332</v>
      </c>
      <c r="H134">
        <f t="shared" ca="1" si="6"/>
        <v>0</v>
      </c>
      <c r="I134">
        <f t="shared" ca="1" si="7"/>
        <v>0</v>
      </c>
    </row>
    <row r="135" spans="5:9" x14ac:dyDescent="0.75">
      <c r="E135">
        <v>129</v>
      </c>
      <c r="F135">
        <f t="shared" ca="1" si="4"/>
        <v>0.85321854183047641</v>
      </c>
      <c r="G135">
        <f t="shared" ca="1" si="5"/>
        <v>122.21892384387797</v>
      </c>
      <c r="H135">
        <f t="shared" ca="1" si="6"/>
        <v>22.218923843877974</v>
      </c>
      <c r="I135">
        <f t="shared" ca="1" si="7"/>
        <v>21.135294141037239</v>
      </c>
    </row>
    <row r="136" spans="5:9" x14ac:dyDescent="0.75">
      <c r="E136">
        <v>130</v>
      </c>
      <c r="F136">
        <f t="shared" ref="F136:F199" ca="1" si="8">NORMINV(RAND(), 0,1)</f>
        <v>0.87658214782748733</v>
      </c>
      <c r="G136">
        <f t="shared" ref="G136:G199" ca="1" si="9">$C$5*EXP(($C$6-0.5*$C$7^2)*$C$8+$C$7*SQRT($C$8)*F136)</f>
        <v>122.79135516472159</v>
      </c>
      <c r="H136">
        <f t="shared" ref="H136:H199" ca="1" si="10">MAX(G136-$C$9,0)</f>
        <v>22.791355164721594</v>
      </c>
      <c r="I136">
        <f t="shared" ref="I136:I199" ca="1" si="11">EXP(-$C$6*$C$8)*H136</f>
        <v>21.679807656929498</v>
      </c>
    </row>
    <row r="137" spans="5:9" x14ac:dyDescent="0.75">
      <c r="E137">
        <v>131</v>
      </c>
      <c r="F137">
        <f t="shared" ca="1" si="8"/>
        <v>0.29279767994576117</v>
      </c>
      <c r="G137">
        <f t="shared" ca="1" si="9"/>
        <v>109.2599299654192</v>
      </c>
      <c r="H137">
        <f t="shared" ca="1" si="10"/>
        <v>9.2599299654192038</v>
      </c>
      <c r="I137">
        <f t="shared" ca="1" si="11"/>
        <v>8.8083178519226255</v>
      </c>
    </row>
    <row r="138" spans="5:9" x14ac:dyDescent="0.75">
      <c r="E138">
        <v>132</v>
      </c>
      <c r="F138">
        <f t="shared" ca="1" si="8"/>
        <v>-0.82394668957629391</v>
      </c>
      <c r="G138">
        <f t="shared" ca="1" si="9"/>
        <v>87.389998989193046</v>
      </c>
      <c r="H138">
        <f t="shared" ca="1" si="10"/>
        <v>0</v>
      </c>
      <c r="I138">
        <f t="shared" ca="1" si="11"/>
        <v>0</v>
      </c>
    </row>
    <row r="139" spans="5:9" x14ac:dyDescent="0.75">
      <c r="E139">
        <v>133</v>
      </c>
      <c r="F139">
        <f t="shared" ca="1" si="8"/>
        <v>-1.6084740402388475</v>
      </c>
      <c r="G139">
        <f t="shared" ca="1" si="9"/>
        <v>74.699647850205849</v>
      </c>
      <c r="H139">
        <f t="shared" ca="1" si="10"/>
        <v>0</v>
      </c>
      <c r="I139">
        <f t="shared" ca="1" si="11"/>
        <v>0</v>
      </c>
    </row>
    <row r="140" spans="5:9" x14ac:dyDescent="0.75">
      <c r="E140">
        <v>134</v>
      </c>
      <c r="F140">
        <f t="shared" ca="1" si="8"/>
        <v>0.66726631576317408</v>
      </c>
      <c r="G140">
        <f t="shared" ca="1" si="9"/>
        <v>117.75703179770862</v>
      </c>
      <c r="H140">
        <f t="shared" ca="1" si="10"/>
        <v>17.757031797708621</v>
      </c>
      <c r="I140">
        <f t="shared" ca="1" si="11"/>
        <v>16.891011137775251</v>
      </c>
    </row>
    <row r="141" spans="5:9" x14ac:dyDescent="0.75">
      <c r="E141">
        <v>135</v>
      </c>
      <c r="F141">
        <f t="shared" ca="1" si="8"/>
        <v>0.74218319799254329</v>
      </c>
      <c r="G141">
        <f t="shared" ca="1" si="9"/>
        <v>119.53471431991287</v>
      </c>
      <c r="H141">
        <f t="shared" ca="1" si="10"/>
        <v>19.534714319912865</v>
      </c>
      <c r="I141">
        <f t="shared" ca="1" si="11"/>
        <v>18.581995060316572</v>
      </c>
    </row>
    <row r="142" spans="5:9" x14ac:dyDescent="0.75">
      <c r="E142">
        <v>136</v>
      </c>
      <c r="F142">
        <f t="shared" ca="1" si="8"/>
        <v>1.658594579107934</v>
      </c>
      <c r="G142">
        <f t="shared" ca="1" si="9"/>
        <v>143.5795305891227</v>
      </c>
      <c r="H142">
        <f t="shared" ca="1" si="10"/>
        <v>43.579530589122697</v>
      </c>
      <c r="I142">
        <f t="shared" ca="1" si="11"/>
        <v>41.454131802302449</v>
      </c>
    </row>
    <row r="143" spans="5:9" x14ac:dyDescent="0.75">
      <c r="E143">
        <v>137</v>
      </c>
      <c r="F143">
        <f t="shared" ca="1" si="8"/>
        <v>2.5016958661224531</v>
      </c>
      <c r="G143">
        <f t="shared" ca="1" si="9"/>
        <v>169.95086387001973</v>
      </c>
      <c r="H143">
        <f t="shared" ca="1" si="10"/>
        <v>69.950863870019731</v>
      </c>
      <c r="I143">
        <f t="shared" ca="1" si="11"/>
        <v>66.539319982406653</v>
      </c>
    </row>
    <row r="144" spans="5:9" x14ac:dyDescent="0.75">
      <c r="E144">
        <v>138</v>
      </c>
      <c r="F144">
        <f t="shared" ca="1" si="8"/>
        <v>0.70886431756150747</v>
      </c>
      <c r="G144">
        <f t="shared" ca="1" si="9"/>
        <v>118.7408098876767</v>
      </c>
      <c r="H144">
        <f t="shared" ca="1" si="10"/>
        <v>18.740809887676704</v>
      </c>
      <c r="I144">
        <f t="shared" ca="1" si="11"/>
        <v>17.826809804132001</v>
      </c>
    </row>
    <row r="145" spans="5:9" x14ac:dyDescent="0.75">
      <c r="E145">
        <v>139</v>
      </c>
      <c r="F145">
        <f t="shared" ca="1" si="8"/>
        <v>1.6442602253832452</v>
      </c>
      <c r="G145">
        <f t="shared" ca="1" si="9"/>
        <v>143.16849610619454</v>
      </c>
      <c r="H145">
        <f t="shared" ca="1" si="10"/>
        <v>43.168496106194539</v>
      </c>
      <c r="I145">
        <f t="shared" ca="1" si="11"/>
        <v>41.063143707656742</v>
      </c>
    </row>
    <row r="146" spans="5:9" x14ac:dyDescent="0.75">
      <c r="E146">
        <v>140</v>
      </c>
      <c r="F146">
        <f t="shared" ca="1" si="8"/>
        <v>-4.3269618058751867E-2</v>
      </c>
      <c r="G146">
        <f t="shared" ca="1" si="9"/>
        <v>102.15755336391194</v>
      </c>
      <c r="H146">
        <f t="shared" ca="1" si="10"/>
        <v>2.1575533639119442</v>
      </c>
      <c r="I146">
        <f t="shared" ca="1" si="11"/>
        <v>2.0523282446835385</v>
      </c>
    </row>
    <row r="147" spans="5:9" x14ac:dyDescent="0.75">
      <c r="E147">
        <v>141</v>
      </c>
      <c r="F147">
        <f t="shared" ca="1" si="8"/>
        <v>-0.34870562145384354</v>
      </c>
      <c r="G147">
        <f t="shared" ca="1" si="9"/>
        <v>96.103819639702053</v>
      </c>
      <c r="H147">
        <f t="shared" ca="1" si="10"/>
        <v>0</v>
      </c>
      <c r="I147">
        <f t="shared" ca="1" si="11"/>
        <v>0</v>
      </c>
    </row>
    <row r="148" spans="5:9" x14ac:dyDescent="0.75">
      <c r="E148">
        <v>142</v>
      </c>
      <c r="F148">
        <f t="shared" ca="1" si="8"/>
        <v>0.6992510246589233</v>
      </c>
      <c r="G148">
        <f t="shared" ca="1" si="9"/>
        <v>118.51273117969106</v>
      </c>
      <c r="H148">
        <f t="shared" ca="1" si="10"/>
        <v>18.512731179691059</v>
      </c>
      <c r="I148">
        <f t="shared" ca="1" si="11"/>
        <v>17.60985462599395</v>
      </c>
    </row>
    <row r="149" spans="5:9" x14ac:dyDescent="0.75">
      <c r="E149">
        <v>143</v>
      </c>
      <c r="F149">
        <f t="shared" ca="1" si="8"/>
        <v>2.3275780845900274</v>
      </c>
      <c r="G149">
        <f t="shared" ca="1" si="9"/>
        <v>164.13443258126378</v>
      </c>
      <c r="H149">
        <f t="shared" ca="1" si="10"/>
        <v>64.134432581263781</v>
      </c>
      <c r="I149">
        <f t="shared" ca="1" si="11"/>
        <v>61.006559394955389</v>
      </c>
    </row>
    <row r="150" spans="5:9" x14ac:dyDescent="0.75">
      <c r="E150">
        <v>144</v>
      </c>
      <c r="F150">
        <f t="shared" ca="1" si="8"/>
        <v>0.36643432764768696</v>
      </c>
      <c r="G150">
        <f t="shared" ca="1" si="9"/>
        <v>110.88094426653154</v>
      </c>
      <c r="H150">
        <f t="shared" ca="1" si="10"/>
        <v>10.880944266531543</v>
      </c>
      <c r="I150">
        <f t="shared" ca="1" si="11"/>
        <v>10.350274352677143</v>
      </c>
    </row>
    <row r="151" spans="5:9" x14ac:dyDescent="0.75">
      <c r="E151">
        <v>145</v>
      </c>
      <c r="F151">
        <f t="shared" ca="1" si="8"/>
        <v>2.8730526381730752</v>
      </c>
      <c r="G151">
        <f t="shared" ca="1" si="9"/>
        <v>183.05391256284875</v>
      </c>
      <c r="H151">
        <f t="shared" ca="1" si="10"/>
        <v>83.053912562848751</v>
      </c>
      <c r="I151">
        <f t="shared" ca="1" si="11"/>
        <v>79.003325449691246</v>
      </c>
    </row>
    <row r="152" spans="5:9" x14ac:dyDescent="0.75">
      <c r="E152">
        <v>146</v>
      </c>
      <c r="F152">
        <f t="shared" ca="1" si="8"/>
        <v>2.1253022378897146</v>
      </c>
      <c r="G152">
        <f t="shared" ca="1" si="9"/>
        <v>157.62686617770694</v>
      </c>
      <c r="H152">
        <f t="shared" ca="1" si="10"/>
        <v>57.626866177706944</v>
      </c>
      <c r="I152">
        <f t="shared" ca="1" si="11"/>
        <v>54.816370749999841</v>
      </c>
    </row>
    <row r="153" spans="5:9" x14ac:dyDescent="0.75">
      <c r="E153">
        <v>147</v>
      </c>
      <c r="F153">
        <f t="shared" ca="1" si="8"/>
        <v>0.55803028617158257</v>
      </c>
      <c r="G153">
        <f t="shared" ca="1" si="9"/>
        <v>115.21226887273805</v>
      </c>
      <c r="H153">
        <f t="shared" ca="1" si="10"/>
        <v>15.212268872738051</v>
      </c>
      <c r="I153">
        <f t="shared" ca="1" si="11"/>
        <v>14.470357765164742</v>
      </c>
    </row>
    <row r="154" spans="5:9" x14ac:dyDescent="0.75">
      <c r="E154">
        <v>148</v>
      </c>
      <c r="F154">
        <f t="shared" ca="1" si="8"/>
        <v>1.1563941471877226</v>
      </c>
      <c r="G154">
        <f t="shared" ca="1" si="9"/>
        <v>129.85896999940485</v>
      </c>
      <c r="H154">
        <f t="shared" ca="1" si="10"/>
        <v>29.858969999404849</v>
      </c>
      <c r="I154">
        <f t="shared" ca="1" si="11"/>
        <v>28.402730848717958</v>
      </c>
    </row>
    <row r="155" spans="5:9" x14ac:dyDescent="0.75">
      <c r="E155">
        <v>149</v>
      </c>
      <c r="F155">
        <f t="shared" ca="1" si="8"/>
        <v>-2.5515741839450143E-2</v>
      </c>
      <c r="G155">
        <f t="shared" ca="1" si="9"/>
        <v>102.52093663974505</v>
      </c>
      <c r="H155">
        <f t="shared" ca="1" si="10"/>
        <v>2.5209366397450452</v>
      </c>
      <c r="I155">
        <f t="shared" ca="1" si="11"/>
        <v>2.397989109027443</v>
      </c>
    </row>
    <row r="156" spans="5:9" x14ac:dyDescent="0.75">
      <c r="E156">
        <v>150</v>
      </c>
      <c r="F156">
        <f t="shared" ca="1" si="8"/>
        <v>-0.35890990011077406</v>
      </c>
      <c r="G156">
        <f t="shared" ca="1" si="9"/>
        <v>95.907885613129764</v>
      </c>
      <c r="H156">
        <f t="shared" ca="1" si="10"/>
        <v>0</v>
      </c>
      <c r="I156">
        <f t="shared" ca="1" si="11"/>
        <v>0</v>
      </c>
    </row>
    <row r="157" spans="5:9" x14ac:dyDescent="0.75">
      <c r="E157">
        <v>151</v>
      </c>
      <c r="F157">
        <f t="shared" ca="1" si="8"/>
        <v>-0.29029525227901204</v>
      </c>
      <c r="G157">
        <f t="shared" ca="1" si="9"/>
        <v>97.233094852027477</v>
      </c>
      <c r="H157">
        <f t="shared" ca="1" si="10"/>
        <v>0</v>
      </c>
      <c r="I157">
        <f t="shared" ca="1" si="11"/>
        <v>0</v>
      </c>
    </row>
    <row r="158" spans="5:9" x14ac:dyDescent="0.75">
      <c r="E158">
        <v>152</v>
      </c>
      <c r="F158">
        <f t="shared" ca="1" si="8"/>
        <v>1.5737885121174482</v>
      </c>
      <c r="G158">
        <f t="shared" ca="1" si="9"/>
        <v>141.16478393763529</v>
      </c>
      <c r="H158">
        <f t="shared" ca="1" si="10"/>
        <v>41.164783937635292</v>
      </c>
      <c r="I158">
        <f t="shared" ca="1" si="11"/>
        <v>39.157153734693054</v>
      </c>
    </row>
    <row r="159" spans="5:9" x14ac:dyDescent="0.75">
      <c r="E159">
        <v>153</v>
      </c>
      <c r="F159">
        <f t="shared" ca="1" si="8"/>
        <v>1.1037359595447047</v>
      </c>
      <c r="G159">
        <f t="shared" ca="1" si="9"/>
        <v>128.49851886122204</v>
      </c>
      <c r="H159">
        <f t="shared" ca="1" si="10"/>
        <v>28.498518861222038</v>
      </c>
      <c r="I159">
        <f t="shared" ca="1" si="11"/>
        <v>27.108629695482982</v>
      </c>
    </row>
    <row r="160" spans="5:9" x14ac:dyDescent="0.75">
      <c r="E160">
        <v>154</v>
      </c>
      <c r="F160">
        <f t="shared" ca="1" si="8"/>
        <v>0.25636943947833274</v>
      </c>
      <c r="G160">
        <f t="shared" ca="1" si="9"/>
        <v>108.46679333052698</v>
      </c>
      <c r="H160">
        <f t="shared" ca="1" si="10"/>
        <v>8.4667933305269827</v>
      </c>
      <c r="I160">
        <f t="shared" ca="1" si="11"/>
        <v>8.0538629471636654</v>
      </c>
    </row>
    <row r="161" spans="5:9" x14ac:dyDescent="0.75">
      <c r="E161">
        <v>155</v>
      </c>
      <c r="F161">
        <f t="shared" ca="1" si="8"/>
        <v>0.97498618307288709</v>
      </c>
      <c r="G161">
        <f t="shared" ca="1" si="9"/>
        <v>125.23192555463076</v>
      </c>
      <c r="H161">
        <f t="shared" ca="1" si="10"/>
        <v>25.231925554630763</v>
      </c>
      <c r="I161">
        <f t="shared" ca="1" si="11"/>
        <v>24.001350024376279</v>
      </c>
    </row>
    <row r="162" spans="5:9" x14ac:dyDescent="0.75">
      <c r="E162">
        <v>156</v>
      </c>
      <c r="F162">
        <f t="shared" ca="1" si="8"/>
        <v>-0.67889920923636127</v>
      </c>
      <c r="G162">
        <f t="shared" ca="1" si="9"/>
        <v>89.962268554394385</v>
      </c>
      <c r="H162">
        <f t="shared" ca="1" si="10"/>
        <v>0</v>
      </c>
      <c r="I162">
        <f t="shared" ca="1" si="11"/>
        <v>0</v>
      </c>
    </row>
    <row r="163" spans="5:9" x14ac:dyDescent="0.75">
      <c r="E163">
        <v>157</v>
      </c>
      <c r="F163">
        <f t="shared" ca="1" si="8"/>
        <v>-1.6182930694546498</v>
      </c>
      <c r="G163">
        <f t="shared" ca="1" si="9"/>
        <v>74.553096191875511</v>
      </c>
      <c r="H163">
        <f t="shared" ca="1" si="10"/>
        <v>0</v>
      </c>
      <c r="I163">
        <f t="shared" ca="1" si="11"/>
        <v>0</v>
      </c>
    </row>
    <row r="164" spans="5:9" x14ac:dyDescent="0.75">
      <c r="E164">
        <v>158</v>
      </c>
      <c r="F164">
        <f t="shared" ca="1" si="8"/>
        <v>-1.0041265942952677</v>
      </c>
      <c r="G164">
        <f t="shared" ca="1" si="9"/>
        <v>84.296881136515537</v>
      </c>
      <c r="H164">
        <f t="shared" ca="1" si="10"/>
        <v>0</v>
      </c>
      <c r="I164">
        <f t="shared" ca="1" si="11"/>
        <v>0</v>
      </c>
    </row>
    <row r="165" spans="5:9" x14ac:dyDescent="0.75">
      <c r="E165">
        <v>159</v>
      </c>
      <c r="F165">
        <f t="shared" ca="1" si="8"/>
        <v>-0.8913046828165293</v>
      </c>
      <c r="G165">
        <f t="shared" ca="1" si="9"/>
        <v>86.220610448882823</v>
      </c>
      <c r="H165">
        <f t="shared" ca="1" si="10"/>
        <v>0</v>
      </c>
      <c r="I165">
        <f t="shared" ca="1" si="11"/>
        <v>0</v>
      </c>
    </row>
    <row r="166" spans="5:9" x14ac:dyDescent="0.75">
      <c r="E166">
        <v>160</v>
      </c>
      <c r="F166">
        <f t="shared" ca="1" si="8"/>
        <v>-0.90309124723512113</v>
      </c>
      <c r="G166">
        <f t="shared" ca="1" si="9"/>
        <v>86.017600865591788</v>
      </c>
      <c r="H166">
        <f t="shared" ca="1" si="10"/>
        <v>0</v>
      </c>
      <c r="I166">
        <f t="shared" ca="1" si="11"/>
        <v>0</v>
      </c>
    </row>
    <row r="167" spans="5:9" x14ac:dyDescent="0.75">
      <c r="E167">
        <v>161</v>
      </c>
      <c r="F167">
        <f t="shared" ca="1" si="8"/>
        <v>-7.8267306265330447E-2</v>
      </c>
      <c r="G167">
        <f t="shared" ca="1" si="9"/>
        <v>101.44499442458421</v>
      </c>
      <c r="H167">
        <f t="shared" ca="1" si="10"/>
        <v>1.444994424584209</v>
      </c>
      <c r="I167">
        <f t="shared" ca="1" si="11"/>
        <v>1.3745212149039776</v>
      </c>
    </row>
    <row r="168" spans="5:9" x14ac:dyDescent="0.75">
      <c r="E168">
        <v>162</v>
      </c>
      <c r="F168">
        <f t="shared" ca="1" si="8"/>
        <v>-4.2567198996834775E-2</v>
      </c>
      <c r="G168">
        <f t="shared" ca="1" si="9"/>
        <v>102.17190585459497</v>
      </c>
      <c r="H168">
        <f t="shared" ca="1" si="10"/>
        <v>2.1719058545949679</v>
      </c>
      <c r="I168">
        <f t="shared" ca="1" si="11"/>
        <v>2.0659807561361028</v>
      </c>
    </row>
    <row r="169" spans="5:9" x14ac:dyDescent="0.75">
      <c r="E169">
        <v>163</v>
      </c>
      <c r="F169">
        <f t="shared" ca="1" si="8"/>
        <v>-2.5820356686025177</v>
      </c>
      <c r="G169">
        <f t="shared" ca="1" si="9"/>
        <v>61.483143773930962</v>
      </c>
      <c r="H169">
        <f t="shared" ca="1" si="10"/>
        <v>0</v>
      </c>
      <c r="I169">
        <f t="shared" ca="1" si="11"/>
        <v>0</v>
      </c>
    </row>
    <row r="170" spans="5:9" x14ac:dyDescent="0.75">
      <c r="E170">
        <v>164</v>
      </c>
      <c r="F170">
        <f t="shared" ca="1" si="8"/>
        <v>0.18279765228922504</v>
      </c>
      <c r="G170">
        <f t="shared" ca="1" si="9"/>
        <v>106.88245897985071</v>
      </c>
      <c r="H170">
        <f t="shared" ca="1" si="10"/>
        <v>6.8824589798507105</v>
      </c>
      <c r="I170">
        <f t="shared" ca="1" si="11"/>
        <v>6.5467974945531626</v>
      </c>
    </row>
    <row r="171" spans="5:9" x14ac:dyDescent="0.75">
      <c r="E171">
        <v>165</v>
      </c>
      <c r="F171">
        <f t="shared" ca="1" si="8"/>
        <v>4.2136687085523192E-2</v>
      </c>
      <c r="G171">
        <f t="shared" ca="1" si="9"/>
        <v>103.91752164592636</v>
      </c>
      <c r="H171">
        <f t="shared" ca="1" si="10"/>
        <v>3.9175216459263567</v>
      </c>
      <c r="I171">
        <f t="shared" ca="1" si="11"/>
        <v>3.7264618607236182</v>
      </c>
    </row>
    <row r="172" spans="5:9" x14ac:dyDescent="0.75">
      <c r="E172">
        <v>166</v>
      </c>
      <c r="F172">
        <f t="shared" ca="1" si="8"/>
        <v>-0.69449252334461331</v>
      </c>
      <c r="G172">
        <f t="shared" ca="1" si="9"/>
        <v>89.682143606774829</v>
      </c>
      <c r="H172">
        <f t="shared" ca="1" si="10"/>
        <v>0</v>
      </c>
      <c r="I172">
        <f t="shared" ca="1" si="11"/>
        <v>0</v>
      </c>
    </row>
    <row r="173" spans="5:9" x14ac:dyDescent="0.75">
      <c r="E173">
        <v>167</v>
      </c>
      <c r="F173">
        <f t="shared" ca="1" si="8"/>
        <v>-1.5748467648450424</v>
      </c>
      <c r="G173">
        <f t="shared" ca="1" si="9"/>
        <v>75.203730167670557</v>
      </c>
      <c r="H173">
        <f t="shared" ca="1" si="10"/>
        <v>0</v>
      </c>
      <c r="I173">
        <f t="shared" ca="1" si="11"/>
        <v>0</v>
      </c>
    </row>
    <row r="174" spans="5:9" x14ac:dyDescent="0.75">
      <c r="E174">
        <v>168</v>
      </c>
      <c r="F174">
        <f t="shared" ca="1" si="8"/>
        <v>-1.3954530429046144</v>
      </c>
      <c r="G174">
        <f t="shared" ca="1" si="9"/>
        <v>77.950933994964217</v>
      </c>
      <c r="H174">
        <f t="shared" ca="1" si="10"/>
        <v>0</v>
      </c>
      <c r="I174">
        <f t="shared" ca="1" si="11"/>
        <v>0</v>
      </c>
    </row>
    <row r="175" spans="5:9" x14ac:dyDescent="0.75">
      <c r="E175">
        <v>169</v>
      </c>
      <c r="F175">
        <f t="shared" ca="1" si="8"/>
        <v>7.496259888667535E-2</v>
      </c>
      <c r="G175">
        <f t="shared" ca="1" si="9"/>
        <v>104.60200354166756</v>
      </c>
      <c r="H175">
        <f t="shared" ca="1" si="10"/>
        <v>4.6020035416675569</v>
      </c>
      <c r="I175">
        <f t="shared" ca="1" si="11"/>
        <v>4.3775611804906776</v>
      </c>
    </row>
    <row r="176" spans="5:9" x14ac:dyDescent="0.75">
      <c r="E176">
        <v>170</v>
      </c>
      <c r="F176">
        <f t="shared" ca="1" si="8"/>
        <v>-0.29341964363960432</v>
      </c>
      <c r="G176">
        <f t="shared" ca="1" si="9"/>
        <v>97.172354983212188</v>
      </c>
      <c r="H176">
        <f t="shared" ca="1" si="10"/>
        <v>0</v>
      </c>
      <c r="I176">
        <f t="shared" ca="1" si="11"/>
        <v>0</v>
      </c>
    </row>
    <row r="177" spans="5:9" x14ac:dyDescent="0.75">
      <c r="E177">
        <v>171</v>
      </c>
      <c r="F177">
        <f t="shared" ca="1" si="8"/>
        <v>0.89413796947379043</v>
      </c>
      <c r="G177">
        <f t="shared" ca="1" si="9"/>
        <v>123.22325358035953</v>
      </c>
      <c r="H177">
        <f t="shared" ca="1" si="10"/>
        <v>23.223253580359525</v>
      </c>
      <c r="I177">
        <f t="shared" ca="1" si="11"/>
        <v>22.090642138279538</v>
      </c>
    </row>
    <row r="178" spans="5:9" x14ac:dyDescent="0.75">
      <c r="E178">
        <v>172</v>
      </c>
      <c r="F178">
        <f t="shared" ca="1" si="8"/>
        <v>-0.25320468723578887</v>
      </c>
      <c r="G178">
        <f t="shared" ca="1" si="9"/>
        <v>97.957062856157663</v>
      </c>
      <c r="H178">
        <f t="shared" ca="1" si="10"/>
        <v>0</v>
      </c>
      <c r="I178">
        <f t="shared" ca="1" si="11"/>
        <v>0</v>
      </c>
    </row>
    <row r="179" spans="5:9" x14ac:dyDescent="0.75">
      <c r="E179">
        <v>173</v>
      </c>
      <c r="F179">
        <f t="shared" ca="1" si="8"/>
        <v>-2.488017410876969</v>
      </c>
      <c r="G179">
        <f t="shared" ca="1" si="9"/>
        <v>62.65018935807052</v>
      </c>
      <c r="H179">
        <f t="shared" ca="1" si="10"/>
        <v>0</v>
      </c>
      <c r="I179">
        <f t="shared" ca="1" si="11"/>
        <v>0</v>
      </c>
    </row>
    <row r="180" spans="5:9" x14ac:dyDescent="0.75">
      <c r="E180">
        <v>174</v>
      </c>
      <c r="F180">
        <f t="shared" ca="1" si="8"/>
        <v>-1.0384927543647833</v>
      </c>
      <c r="G180">
        <f t="shared" ca="1" si="9"/>
        <v>83.719475708267439</v>
      </c>
      <c r="H180">
        <f t="shared" ca="1" si="10"/>
        <v>0</v>
      </c>
      <c r="I180">
        <f t="shared" ca="1" si="11"/>
        <v>0</v>
      </c>
    </row>
    <row r="181" spans="5:9" x14ac:dyDescent="0.75">
      <c r="E181">
        <v>175</v>
      </c>
      <c r="F181">
        <f t="shared" ca="1" si="8"/>
        <v>1.739833771247874</v>
      </c>
      <c r="G181">
        <f t="shared" ca="1" si="9"/>
        <v>145.93144260661114</v>
      </c>
      <c r="H181">
        <f t="shared" ca="1" si="10"/>
        <v>45.931442606611142</v>
      </c>
      <c r="I181">
        <f t="shared" ca="1" si="11"/>
        <v>43.691339717174294</v>
      </c>
    </row>
    <row r="182" spans="5:9" x14ac:dyDescent="0.75">
      <c r="E182">
        <v>176</v>
      </c>
      <c r="F182">
        <f t="shared" ca="1" si="8"/>
        <v>1.6938187852101834</v>
      </c>
      <c r="G182">
        <f t="shared" ca="1" si="9"/>
        <v>144.59459687691913</v>
      </c>
      <c r="H182">
        <f t="shared" ca="1" si="10"/>
        <v>44.594596876919127</v>
      </c>
      <c r="I182">
        <f t="shared" ca="1" si="11"/>
        <v>42.419692723073119</v>
      </c>
    </row>
    <row r="183" spans="5:9" x14ac:dyDescent="0.75">
      <c r="E183">
        <v>177</v>
      </c>
      <c r="F183">
        <f t="shared" ca="1" si="8"/>
        <v>8.9767898273452523E-2</v>
      </c>
      <c r="G183">
        <f t="shared" ca="1" si="9"/>
        <v>104.91219535907462</v>
      </c>
      <c r="H183">
        <f t="shared" ca="1" si="10"/>
        <v>4.9121953590746159</v>
      </c>
      <c r="I183">
        <f t="shared" ca="1" si="11"/>
        <v>4.6726247644476251</v>
      </c>
    </row>
    <row r="184" spans="5:9" x14ac:dyDescent="0.75">
      <c r="E184">
        <v>178</v>
      </c>
      <c r="F184">
        <f t="shared" ca="1" si="8"/>
        <v>-0.17615213808406663</v>
      </c>
      <c r="G184">
        <f t="shared" ca="1" si="9"/>
        <v>99.478322725240602</v>
      </c>
      <c r="H184">
        <f t="shared" ca="1" si="10"/>
        <v>0</v>
      </c>
      <c r="I184">
        <f t="shared" ca="1" si="11"/>
        <v>0</v>
      </c>
    </row>
    <row r="185" spans="5:9" x14ac:dyDescent="0.75">
      <c r="E185">
        <v>179</v>
      </c>
      <c r="F185">
        <f t="shared" ca="1" si="8"/>
        <v>0.33704938012955643</v>
      </c>
      <c r="G185">
        <f t="shared" ca="1" si="9"/>
        <v>110.23120923400722</v>
      </c>
      <c r="H185">
        <f t="shared" ca="1" si="10"/>
        <v>10.231209234007224</v>
      </c>
      <c r="I185">
        <f t="shared" ca="1" si="11"/>
        <v>9.732227271611082</v>
      </c>
    </row>
    <row r="186" spans="5:9" x14ac:dyDescent="0.75">
      <c r="E186">
        <v>180</v>
      </c>
      <c r="F186">
        <f t="shared" ca="1" si="8"/>
        <v>-1.121845979800292</v>
      </c>
      <c r="G186">
        <f t="shared" ca="1" si="9"/>
        <v>82.335386922555898</v>
      </c>
      <c r="H186">
        <f t="shared" ca="1" si="10"/>
        <v>0</v>
      </c>
      <c r="I186">
        <f t="shared" ca="1" si="11"/>
        <v>0</v>
      </c>
    </row>
    <row r="187" spans="5:9" x14ac:dyDescent="0.75">
      <c r="E187">
        <v>181</v>
      </c>
      <c r="F187">
        <f t="shared" ca="1" si="8"/>
        <v>1.7302368355401421</v>
      </c>
      <c r="G187">
        <f t="shared" ca="1" si="9"/>
        <v>145.65161230937085</v>
      </c>
      <c r="H187">
        <f t="shared" ca="1" si="10"/>
        <v>45.651612309370847</v>
      </c>
      <c r="I187">
        <f t="shared" ca="1" si="11"/>
        <v>43.425156904572546</v>
      </c>
    </row>
    <row r="188" spans="5:9" x14ac:dyDescent="0.75">
      <c r="E188">
        <v>182</v>
      </c>
      <c r="F188">
        <f t="shared" ca="1" si="8"/>
        <v>2.2155559398120559</v>
      </c>
      <c r="G188">
        <f t="shared" ca="1" si="9"/>
        <v>160.4979827492364</v>
      </c>
      <c r="H188">
        <f t="shared" ca="1" si="10"/>
        <v>60.4979827492364</v>
      </c>
      <c r="I188">
        <f t="shared" ca="1" si="11"/>
        <v>57.547461314010263</v>
      </c>
    </row>
    <row r="189" spans="5:9" x14ac:dyDescent="0.75">
      <c r="E189">
        <v>183</v>
      </c>
      <c r="F189">
        <f t="shared" ca="1" si="8"/>
        <v>-0.56007750572362824</v>
      </c>
      <c r="G189">
        <f t="shared" ca="1" si="9"/>
        <v>92.125767803706879</v>
      </c>
      <c r="H189">
        <f t="shared" ca="1" si="10"/>
        <v>0</v>
      </c>
      <c r="I189">
        <f t="shared" ca="1" si="11"/>
        <v>0</v>
      </c>
    </row>
    <row r="190" spans="5:9" x14ac:dyDescent="0.75">
      <c r="E190">
        <v>184</v>
      </c>
      <c r="F190">
        <f t="shared" ca="1" si="8"/>
        <v>0.22641793418738668</v>
      </c>
      <c r="G190">
        <f t="shared" ca="1" si="9"/>
        <v>107.81898679887722</v>
      </c>
      <c r="H190">
        <f t="shared" ca="1" si="10"/>
        <v>7.8189867988772193</v>
      </c>
      <c r="I190">
        <f t="shared" ca="1" si="11"/>
        <v>7.4376503128746574</v>
      </c>
    </row>
    <row r="191" spans="5:9" x14ac:dyDescent="0.75">
      <c r="E191">
        <v>185</v>
      </c>
      <c r="F191">
        <f t="shared" ca="1" si="8"/>
        <v>-0.36330995939754118</v>
      </c>
      <c r="G191">
        <f t="shared" ca="1" si="9"/>
        <v>95.823522662219446</v>
      </c>
      <c r="H191">
        <f t="shared" ca="1" si="10"/>
        <v>0</v>
      </c>
      <c r="I191">
        <f t="shared" ca="1" si="11"/>
        <v>0</v>
      </c>
    </row>
    <row r="192" spans="5:9" x14ac:dyDescent="0.75">
      <c r="E192">
        <v>186</v>
      </c>
      <c r="F192">
        <f t="shared" ca="1" si="8"/>
        <v>0.86375459220586492</v>
      </c>
      <c r="G192">
        <f t="shared" ca="1" si="9"/>
        <v>122.4767363287019</v>
      </c>
      <c r="H192">
        <f t="shared" ca="1" si="10"/>
        <v>22.476736328701904</v>
      </c>
      <c r="I192">
        <f t="shared" ca="1" si="11"/>
        <v>21.380532962605404</v>
      </c>
    </row>
    <row r="193" spans="5:9" x14ac:dyDescent="0.75">
      <c r="E193">
        <v>187</v>
      </c>
      <c r="F193">
        <f t="shared" ca="1" si="8"/>
        <v>0.47028826241667115</v>
      </c>
      <c r="G193">
        <f t="shared" ca="1" si="9"/>
        <v>113.20811364066503</v>
      </c>
      <c r="H193">
        <f t="shared" ca="1" si="10"/>
        <v>13.208113640665033</v>
      </c>
      <c r="I193">
        <f t="shared" ca="1" si="11"/>
        <v>12.563946337149829</v>
      </c>
    </row>
    <row r="194" spans="5:9" x14ac:dyDescent="0.75">
      <c r="E194">
        <v>188</v>
      </c>
      <c r="F194">
        <f t="shared" ca="1" si="8"/>
        <v>0.37020313573333552</v>
      </c>
      <c r="G194">
        <f t="shared" ca="1" si="9"/>
        <v>110.96455357317525</v>
      </c>
      <c r="H194">
        <f t="shared" ca="1" si="10"/>
        <v>10.964553573175252</v>
      </c>
      <c r="I194">
        <f t="shared" ca="1" si="11"/>
        <v>10.429805985318742</v>
      </c>
    </row>
    <row r="195" spans="5:9" x14ac:dyDescent="0.75">
      <c r="E195">
        <v>189</v>
      </c>
      <c r="F195">
        <f t="shared" ca="1" si="8"/>
        <v>-0.36119149018223323</v>
      </c>
      <c r="G195">
        <f t="shared" ca="1" si="9"/>
        <v>95.864131100957138</v>
      </c>
      <c r="H195">
        <f t="shared" ca="1" si="10"/>
        <v>0</v>
      </c>
      <c r="I195">
        <f t="shared" ca="1" si="11"/>
        <v>0</v>
      </c>
    </row>
    <row r="196" spans="5:9" x14ac:dyDescent="0.75">
      <c r="E196">
        <v>190</v>
      </c>
      <c r="F196">
        <f t="shared" ca="1" si="8"/>
        <v>0.64629462013598371</v>
      </c>
      <c r="G196">
        <f t="shared" ca="1" si="9"/>
        <v>117.26415324442358</v>
      </c>
      <c r="H196">
        <f t="shared" ca="1" si="10"/>
        <v>17.264153244423582</v>
      </c>
      <c r="I196">
        <f t="shared" ca="1" si="11"/>
        <v>16.422170555185179</v>
      </c>
    </row>
    <row r="197" spans="5:9" x14ac:dyDescent="0.75">
      <c r="E197">
        <v>191</v>
      </c>
      <c r="F197">
        <f t="shared" ca="1" si="8"/>
        <v>0.65440552721067291</v>
      </c>
      <c r="G197">
        <f t="shared" ca="1" si="9"/>
        <v>117.45453134661683</v>
      </c>
      <c r="H197">
        <f t="shared" ca="1" si="10"/>
        <v>17.454531346616832</v>
      </c>
      <c r="I197">
        <f t="shared" ca="1" si="11"/>
        <v>16.603263807772002</v>
      </c>
    </row>
    <row r="198" spans="5:9" x14ac:dyDescent="0.75">
      <c r="E198">
        <v>192</v>
      </c>
      <c r="F198">
        <f t="shared" ca="1" si="8"/>
        <v>-0.34668662959697377</v>
      </c>
      <c r="G198">
        <f t="shared" ca="1" si="9"/>
        <v>96.14263404162412</v>
      </c>
      <c r="H198">
        <f t="shared" ca="1" si="10"/>
        <v>0</v>
      </c>
      <c r="I198">
        <f t="shared" ca="1" si="11"/>
        <v>0</v>
      </c>
    </row>
    <row r="199" spans="5:9" x14ac:dyDescent="0.75">
      <c r="E199">
        <v>193</v>
      </c>
      <c r="F199">
        <f t="shared" ca="1" si="8"/>
        <v>-0.65381676541835754</v>
      </c>
      <c r="G199">
        <f t="shared" ca="1" si="9"/>
        <v>90.414697116358241</v>
      </c>
      <c r="H199">
        <f t="shared" ca="1" si="10"/>
        <v>0</v>
      </c>
      <c r="I199">
        <f t="shared" ca="1" si="11"/>
        <v>0</v>
      </c>
    </row>
    <row r="200" spans="5:9" x14ac:dyDescent="0.75">
      <c r="E200">
        <v>194</v>
      </c>
      <c r="F200">
        <f t="shared" ref="F200:F263" ca="1" si="12">NORMINV(RAND(), 0,1)</f>
        <v>0.46437813784717125</v>
      </c>
      <c r="G200">
        <f t="shared" ref="G200:G263" ca="1" si="13">$C$5*EXP(($C$6-0.5*$C$7^2)*$C$8+$C$7*SQRT($C$8)*F200)</f>
        <v>113.07437788495483</v>
      </c>
      <c r="H200">
        <f t="shared" ref="H200:H263" ca="1" si="14">MAX(G200-$C$9,0)</f>
        <v>13.074377884954828</v>
      </c>
      <c r="I200">
        <f t="shared" ref="I200:I263" ca="1" si="15">EXP(-$C$6*$C$8)*H200</f>
        <v>12.436732951210443</v>
      </c>
    </row>
    <row r="201" spans="5:9" x14ac:dyDescent="0.75">
      <c r="E201">
        <v>195</v>
      </c>
      <c r="F201">
        <f t="shared" ca="1" si="12"/>
        <v>-0.42515869514248728</v>
      </c>
      <c r="G201">
        <f t="shared" ca="1" si="13"/>
        <v>94.6455107911124</v>
      </c>
      <c r="H201">
        <f t="shared" ca="1" si="14"/>
        <v>0</v>
      </c>
      <c r="I201">
        <f t="shared" ca="1" si="15"/>
        <v>0</v>
      </c>
    </row>
    <row r="202" spans="5:9" x14ac:dyDescent="0.75">
      <c r="E202">
        <v>196</v>
      </c>
      <c r="F202">
        <f t="shared" ca="1" si="12"/>
        <v>-9.8569934930656328E-2</v>
      </c>
      <c r="G202">
        <f t="shared" ca="1" si="13"/>
        <v>101.03390958933444</v>
      </c>
      <c r="H202">
        <f t="shared" ca="1" si="14"/>
        <v>1.0339095893344421</v>
      </c>
      <c r="I202">
        <f t="shared" ca="1" si="15"/>
        <v>0.98348522364837088</v>
      </c>
    </row>
    <row r="203" spans="5:9" x14ac:dyDescent="0.75">
      <c r="E203">
        <v>197</v>
      </c>
      <c r="F203">
        <f t="shared" ca="1" si="12"/>
        <v>5.0965974199416314E-2</v>
      </c>
      <c r="G203">
        <f t="shared" ca="1" si="13"/>
        <v>104.10118728882468</v>
      </c>
      <c r="H203">
        <f t="shared" ca="1" si="14"/>
        <v>4.1011872888246756</v>
      </c>
      <c r="I203">
        <f t="shared" ca="1" si="15"/>
        <v>3.9011700245183398</v>
      </c>
    </row>
    <row r="204" spans="5:9" x14ac:dyDescent="0.75">
      <c r="E204">
        <v>198</v>
      </c>
      <c r="F204">
        <f t="shared" ca="1" si="12"/>
        <v>-0.71910813459929379</v>
      </c>
      <c r="G204">
        <f t="shared" ca="1" si="13"/>
        <v>89.241712487758946</v>
      </c>
      <c r="H204">
        <f t="shared" ca="1" si="14"/>
        <v>0</v>
      </c>
      <c r="I204">
        <f t="shared" ca="1" si="15"/>
        <v>0</v>
      </c>
    </row>
    <row r="205" spans="5:9" x14ac:dyDescent="0.75">
      <c r="E205">
        <v>199</v>
      </c>
      <c r="F205">
        <f t="shared" ca="1" si="12"/>
        <v>0.48083206285128044</v>
      </c>
      <c r="G205">
        <f t="shared" ca="1" si="13"/>
        <v>113.44709428008353</v>
      </c>
      <c r="H205">
        <f t="shared" ca="1" si="14"/>
        <v>13.447094280083533</v>
      </c>
      <c r="I205">
        <f t="shared" ca="1" si="15"/>
        <v>12.791271753250703</v>
      </c>
    </row>
    <row r="206" spans="5:9" x14ac:dyDescent="0.75">
      <c r="E206">
        <v>200</v>
      </c>
      <c r="F206">
        <f t="shared" ca="1" si="12"/>
        <v>0.54402836483179984</v>
      </c>
      <c r="G206">
        <f t="shared" ca="1" si="13"/>
        <v>114.89008158217462</v>
      </c>
      <c r="H206">
        <f t="shared" ca="1" si="14"/>
        <v>14.890081582174616</v>
      </c>
      <c r="I206">
        <f t="shared" ca="1" si="15"/>
        <v>14.163883734180642</v>
      </c>
    </row>
    <row r="207" spans="5:9" x14ac:dyDescent="0.75">
      <c r="E207">
        <v>201</v>
      </c>
      <c r="F207">
        <f t="shared" ca="1" si="12"/>
        <v>-1.6895676332628471</v>
      </c>
      <c r="G207">
        <f t="shared" ca="1" si="13"/>
        <v>73.49788713444903</v>
      </c>
      <c r="H207">
        <f t="shared" ca="1" si="14"/>
        <v>0</v>
      </c>
      <c r="I207">
        <f t="shared" ca="1" si="15"/>
        <v>0</v>
      </c>
    </row>
    <row r="208" spans="5:9" x14ac:dyDescent="0.75">
      <c r="E208">
        <v>202</v>
      </c>
      <c r="F208">
        <f t="shared" ca="1" si="12"/>
        <v>0.73536903577946977</v>
      </c>
      <c r="G208">
        <f t="shared" ca="1" si="13"/>
        <v>119.37191948945396</v>
      </c>
      <c r="H208">
        <f t="shared" ca="1" si="14"/>
        <v>19.371919489453958</v>
      </c>
      <c r="I208">
        <f t="shared" ca="1" si="15"/>
        <v>18.427139827427453</v>
      </c>
    </row>
    <row r="209" spans="5:9" x14ac:dyDescent="0.75">
      <c r="E209">
        <v>203</v>
      </c>
      <c r="F209">
        <f t="shared" ca="1" si="12"/>
        <v>0.94997246341684682</v>
      </c>
      <c r="G209">
        <f t="shared" ca="1" si="13"/>
        <v>124.60698680671764</v>
      </c>
      <c r="H209">
        <f t="shared" ca="1" si="14"/>
        <v>24.606986806717643</v>
      </c>
      <c r="I209">
        <f t="shared" ca="1" si="15"/>
        <v>23.406889898850686</v>
      </c>
    </row>
    <row r="210" spans="5:9" x14ac:dyDescent="0.75">
      <c r="E210">
        <v>204</v>
      </c>
      <c r="F210">
        <f t="shared" ca="1" si="12"/>
        <v>-1.6214827540613725</v>
      </c>
      <c r="G210">
        <f t="shared" ca="1" si="13"/>
        <v>74.505551186183865</v>
      </c>
      <c r="H210">
        <f t="shared" ca="1" si="14"/>
        <v>0</v>
      </c>
      <c r="I210">
        <f t="shared" ca="1" si="15"/>
        <v>0</v>
      </c>
    </row>
    <row r="211" spans="5:9" x14ac:dyDescent="0.75">
      <c r="E211">
        <v>205</v>
      </c>
      <c r="F211">
        <f t="shared" ca="1" si="12"/>
        <v>2.1086598997113302</v>
      </c>
      <c r="G211">
        <f t="shared" ca="1" si="13"/>
        <v>157.10308243730529</v>
      </c>
      <c r="H211">
        <f t="shared" ca="1" si="14"/>
        <v>57.103082437305289</v>
      </c>
      <c r="I211">
        <f t="shared" ca="1" si="15"/>
        <v>54.318132244054738</v>
      </c>
    </row>
    <row r="212" spans="5:9" x14ac:dyDescent="0.75">
      <c r="E212">
        <v>206</v>
      </c>
      <c r="F212">
        <f t="shared" ca="1" si="12"/>
        <v>4.1199609799074763E-2</v>
      </c>
      <c r="G212">
        <f t="shared" ca="1" si="13"/>
        <v>103.89804772100095</v>
      </c>
      <c r="H212">
        <f t="shared" ca="1" si="14"/>
        <v>3.8980477210009497</v>
      </c>
      <c r="I212">
        <f t="shared" ca="1" si="15"/>
        <v>3.7079376903240533</v>
      </c>
    </row>
    <row r="213" spans="5:9" x14ac:dyDescent="0.75">
      <c r="E213">
        <v>207</v>
      </c>
      <c r="F213">
        <f t="shared" ca="1" si="12"/>
        <v>-0.43615870500071502</v>
      </c>
      <c r="G213">
        <f t="shared" ca="1" si="13"/>
        <v>94.437519355438866</v>
      </c>
      <c r="H213">
        <f t="shared" ca="1" si="14"/>
        <v>0</v>
      </c>
      <c r="I213">
        <f t="shared" ca="1" si="15"/>
        <v>0</v>
      </c>
    </row>
    <row r="214" spans="5:9" x14ac:dyDescent="0.75">
      <c r="E214">
        <v>208</v>
      </c>
      <c r="F214">
        <f t="shared" ca="1" si="12"/>
        <v>3.0805110793376604E-2</v>
      </c>
      <c r="G214">
        <f t="shared" ca="1" si="13"/>
        <v>103.6822784493127</v>
      </c>
      <c r="H214">
        <f t="shared" ca="1" si="14"/>
        <v>3.6822784493127045</v>
      </c>
      <c r="I214">
        <f t="shared" ca="1" si="15"/>
        <v>3.5026916101911056</v>
      </c>
    </row>
    <row r="215" spans="5:9" x14ac:dyDescent="0.75">
      <c r="E215">
        <v>209</v>
      </c>
      <c r="F215">
        <f t="shared" ca="1" si="12"/>
        <v>1.5621563869203414</v>
      </c>
      <c r="G215">
        <f t="shared" ca="1" si="13"/>
        <v>140.83675636332686</v>
      </c>
      <c r="H215">
        <f t="shared" ca="1" si="14"/>
        <v>40.836756363326856</v>
      </c>
      <c r="I215">
        <f t="shared" ca="1" si="15"/>
        <v>38.845124253963277</v>
      </c>
    </row>
    <row r="216" spans="5:9" x14ac:dyDescent="0.75">
      <c r="E216">
        <v>210</v>
      </c>
      <c r="F216">
        <f t="shared" ca="1" si="12"/>
        <v>-0.53194812907072575</v>
      </c>
      <c r="G216">
        <f t="shared" ca="1" si="13"/>
        <v>92.645516538038763</v>
      </c>
      <c r="H216">
        <f t="shared" ca="1" si="14"/>
        <v>0</v>
      </c>
      <c r="I216">
        <f t="shared" ca="1" si="15"/>
        <v>0</v>
      </c>
    </row>
    <row r="217" spans="5:9" x14ac:dyDescent="0.75">
      <c r="E217">
        <v>211</v>
      </c>
      <c r="F217">
        <f t="shared" ca="1" si="12"/>
        <v>-1.7717262421636994</v>
      </c>
      <c r="G217">
        <f t="shared" ca="1" si="13"/>
        <v>72.300058446666355</v>
      </c>
      <c r="H217">
        <f t="shared" ca="1" si="14"/>
        <v>0</v>
      </c>
      <c r="I217">
        <f t="shared" ca="1" si="15"/>
        <v>0</v>
      </c>
    </row>
    <row r="218" spans="5:9" x14ac:dyDescent="0.75">
      <c r="E218">
        <v>212</v>
      </c>
      <c r="F218">
        <f t="shared" ca="1" si="12"/>
        <v>-0.8642676407505373</v>
      </c>
      <c r="G218">
        <f t="shared" ca="1" si="13"/>
        <v>86.688103326548799</v>
      </c>
      <c r="H218">
        <f t="shared" ca="1" si="14"/>
        <v>0</v>
      </c>
      <c r="I218">
        <f t="shared" ca="1" si="15"/>
        <v>0</v>
      </c>
    </row>
    <row r="219" spans="5:9" x14ac:dyDescent="0.75">
      <c r="E219">
        <v>213</v>
      </c>
      <c r="F219">
        <f t="shared" ca="1" si="12"/>
        <v>-1.1099690456499254</v>
      </c>
      <c r="G219">
        <f t="shared" ca="1" si="13"/>
        <v>82.53119778750434</v>
      </c>
      <c r="H219">
        <f t="shared" ca="1" si="14"/>
        <v>0</v>
      </c>
      <c r="I219">
        <f t="shared" ca="1" si="15"/>
        <v>0</v>
      </c>
    </row>
    <row r="220" spans="5:9" x14ac:dyDescent="0.75">
      <c r="E220">
        <v>214</v>
      </c>
      <c r="F220">
        <f t="shared" ca="1" si="12"/>
        <v>0.8853426896874621</v>
      </c>
      <c r="G220">
        <f t="shared" ca="1" si="13"/>
        <v>123.00668751383303</v>
      </c>
      <c r="H220">
        <f t="shared" ca="1" si="14"/>
        <v>23.006687513833029</v>
      </c>
      <c r="I220">
        <f t="shared" ca="1" si="15"/>
        <v>21.884638123451154</v>
      </c>
    </row>
    <row r="221" spans="5:9" x14ac:dyDescent="0.75">
      <c r="E221">
        <v>215</v>
      </c>
      <c r="F221">
        <f t="shared" ca="1" si="12"/>
        <v>0.18628162097495815</v>
      </c>
      <c r="G221">
        <f t="shared" ca="1" si="13"/>
        <v>106.95695996077286</v>
      </c>
      <c r="H221">
        <f t="shared" ca="1" si="14"/>
        <v>6.9569599607728634</v>
      </c>
      <c r="I221">
        <f t="shared" ca="1" si="15"/>
        <v>6.6176650197604809</v>
      </c>
    </row>
    <row r="222" spans="5:9" x14ac:dyDescent="0.75">
      <c r="E222">
        <v>216</v>
      </c>
      <c r="F222">
        <f t="shared" ca="1" si="12"/>
        <v>1.34113314546492</v>
      </c>
      <c r="G222">
        <f t="shared" ca="1" si="13"/>
        <v>134.74671285318746</v>
      </c>
      <c r="H222">
        <f t="shared" ca="1" si="14"/>
        <v>34.746712853187461</v>
      </c>
      <c r="I222">
        <f t="shared" ca="1" si="15"/>
        <v>33.052095670629072</v>
      </c>
    </row>
    <row r="223" spans="5:9" x14ac:dyDescent="0.75">
      <c r="E223">
        <v>217</v>
      </c>
      <c r="F223">
        <f t="shared" ca="1" si="12"/>
        <v>1.0116662640920719</v>
      </c>
      <c r="G223">
        <f t="shared" ca="1" si="13"/>
        <v>126.15400705684641</v>
      </c>
      <c r="H223">
        <f t="shared" ca="1" si="14"/>
        <v>26.15400705684641</v>
      </c>
      <c r="I223">
        <f t="shared" ca="1" si="15"/>
        <v>24.878461081071624</v>
      </c>
    </row>
    <row r="224" spans="5:9" x14ac:dyDescent="0.75">
      <c r="E224">
        <v>218</v>
      </c>
      <c r="F224">
        <f t="shared" ca="1" si="12"/>
        <v>-0.28200312723124199</v>
      </c>
      <c r="G224">
        <f t="shared" ca="1" si="13"/>
        <v>97.394482435899405</v>
      </c>
      <c r="H224">
        <f t="shared" ca="1" si="14"/>
        <v>0</v>
      </c>
      <c r="I224">
        <f t="shared" ca="1" si="15"/>
        <v>0</v>
      </c>
    </row>
    <row r="225" spans="5:9" x14ac:dyDescent="0.75">
      <c r="E225">
        <v>219</v>
      </c>
      <c r="F225">
        <f t="shared" ca="1" si="12"/>
        <v>-0.17698438378696366</v>
      </c>
      <c r="G225">
        <f t="shared" ca="1" si="13"/>
        <v>99.461766021879441</v>
      </c>
      <c r="H225">
        <f t="shared" ca="1" si="14"/>
        <v>0</v>
      </c>
      <c r="I225">
        <f t="shared" ca="1" si="15"/>
        <v>0</v>
      </c>
    </row>
    <row r="226" spans="5:9" x14ac:dyDescent="0.75">
      <c r="E226">
        <v>220</v>
      </c>
      <c r="F226">
        <f t="shared" ca="1" si="12"/>
        <v>-1.2005673491389466</v>
      </c>
      <c r="G226">
        <f t="shared" ca="1" si="13"/>
        <v>81.049227433348975</v>
      </c>
      <c r="H226">
        <f t="shared" ca="1" si="14"/>
        <v>0</v>
      </c>
      <c r="I226">
        <f t="shared" ca="1" si="15"/>
        <v>0</v>
      </c>
    </row>
    <row r="227" spans="5:9" x14ac:dyDescent="0.75">
      <c r="E227">
        <v>221</v>
      </c>
      <c r="F227">
        <f t="shared" ca="1" si="12"/>
        <v>0.20929895000015658</v>
      </c>
      <c r="G227">
        <f t="shared" ca="1" si="13"/>
        <v>107.45046772008034</v>
      </c>
      <c r="H227">
        <f t="shared" ca="1" si="14"/>
        <v>7.45046772008034</v>
      </c>
      <c r="I227">
        <f t="shared" ca="1" si="15"/>
        <v>7.0871041216331685</v>
      </c>
    </row>
    <row r="228" spans="5:9" x14ac:dyDescent="0.75">
      <c r="E228">
        <v>222</v>
      </c>
      <c r="F228">
        <f t="shared" ca="1" si="12"/>
        <v>-0.79221296167511379</v>
      </c>
      <c r="G228">
        <f t="shared" ca="1" si="13"/>
        <v>87.946404894672654</v>
      </c>
      <c r="H228">
        <f t="shared" ca="1" si="14"/>
        <v>0</v>
      </c>
      <c r="I228">
        <f t="shared" ca="1" si="15"/>
        <v>0</v>
      </c>
    </row>
    <row r="229" spans="5:9" x14ac:dyDescent="0.75">
      <c r="E229">
        <v>223</v>
      </c>
      <c r="F229">
        <f t="shared" ca="1" si="12"/>
        <v>-1.6928176483627095</v>
      </c>
      <c r="G229">
        <f t="shared" ca="1" si="13"/>
        <v>73.450128809059407</v>
      </c>
      <c r="H229">
        <f t="shared" ca="1" si="14"/>
        <v>0</v>
      </c>
      <c r="I229">
        <f t="shared" ca="1" si="15"/>
        <v>0</v>
      </c>
    </row>
    <row r="230" spans="5:9" x14ac:dyDescent="0.75">
      <c r="E230">
        <v>224</v>
      </c>
      <c r="F230">
        <f t="shared" ca="1" si="12"/>
        <v>5.6469460130895488E-2</v>
      </c>
      <c r="G230">
        <f t="shared" ca="1" si="13"/>
        <v>104.21583425698628</v>
      </c>
      <c r="H230">
        <f t="shared" ca="1" si="14"/>
        <v>4.2158342569862839</v>
      </c>
      <c r="I230">
        <f t="shared" ca="1" si="15"/>
        <v>4.0102255940634581</v>
      </c>
    </row>
    <row r="231" spans="5:9" x14ac:dyDescent="0.75">
      <c r="E231">
        <v>225</v>
      </c>
      <c r="F231">
        <f t="shared" ca="1" si="12"/>
        <v>-0.34970278953545941</v>
      </c>
      <c r="G231">
        <f t="shared" ca="1" si="13"/>
        <v>96.084655218487271</v>
      </c>
      <c r="H231">
        <f t="shared" ca="1" si="14"/>
        <v>0</v>
      </c>
      <c r="I231">
        <f t="shared" ca="1" si="15"/>
        <v>0</v>
      </c>
    </row>
    <row r="232" spans="5:9" x14ac:dyDescent="0.75">
      <c r="E232">
        <v>226</v>
      </c>
      <c r="F232">
        <f t="shared" ca="1" si="12"/>
        <v>-0.5003155107413213</v>
      </c>
      <c r="G232">
        <f t="shared" ca="1" si="13"/>
        <v>93.233498570918556</v>
      </c>
      <c r="H232">
        <f t="shared" ca="1" si="14"/>
        <v>0</v>
      </c>
      <c r="I232">
        <f t="shared" ca="1" si="15"/>
        <v>0</v>
      </c>
    </row>
    <row r="233" spans="5:9" x14ac:dyDescent="0.75">
      <c r="E233">
        <v>227</v>
      </c>
      <c r="F233">
        <f t="shared" ca="1" si="12"/>
        <v>-1.4932404686287342</v>
      </c>
      <c r="G233">
        <f t="shared" ca="1" si="13"/>
        <v>76.441220977483653</v>
      </c>
      <c r="H233">
        <f t="shared" ca="1" si="14"/>
        <v>0</v>
      </c>
      <c r="I233">
        <f t="shared" ca="1" si="15"/>
        <v>0</v>
      </c>
    </row>
    <row r="234" spans="5:9" x14ac:dyDescent="0.75">
      <c r="E234">
        <v>228</v>
      </c>
      <c r="F234">
        <f t="shared" ca="1" si="12"/>
        <v>0.21142852841203774</v>
      </c>
      <c r="G234">
        <f t="shared" ca="1" si="13"/>
        <v>107.49624230672616</v>
      </c>
      <c r="H234">
        <f t="shared" ca="1" si="14"/>
        <v>7.4962423067261597</v>
      </c>
      <c r="I234">
        <f t="shared" ca="1" si="15"/>
        <v>7.13064625534503</v>
      </c>
    </row>
    <row r="235" spans="5:9" x14ac:dyDescent="0.75">
      <c r="E235">
        <v>229</v>
      </c>
      <c r="F235">
        <f t="shared" ca="1" si="12"/>
        <v>3.9299128763930491E-2</v>
      </c>
      <c r="G235">
        <f t="shared" ca="1" si="13"/>
        <v>103.85856397143158</v>
      </c>
      <c r="H235">
        <f t="shared" ca="1" si="14"/>
        <v>3.8585639714315789</v>
      </c>
      <c r="I235">
        <f t="shared" ca="1" si="15"/>
        <v>3.6703795859440502</v>
      </c>
    </row>
    <row r="236" spans="5:9" x14ac:dyDescent="0.75">
      <c r="E236">
        <v>230</v>
      </c>
      <c r="F236">
        <f t="shared" ca="1" si="12"/>
        <v>1.759953909095805</v>
      </c>
      <c r="G236">
        <f t="shared" ca="1" si="13"/>
        <v>146.51985786052447</v>
      </c>
      <c r="H236">
        <f t="shared" ca="1" si="14"/>
        <v>46.519857860524468</v>
      </c>
      <c r="I236">
        <f t="shared" ca="1" si="15"/>
        <v>44.251057620521706</v>
      </c>
    </row>
    <row r="237" spans="5:9" x14ac:dyDescent="0.75">
      <c r="E237">
        <v>231</v>
      </c>
      <c r="F237">
        <f t="shared" ca="1" si="12"/>
        <v>-0.45897831704607445</v>
      </c>
      <c r="G237">
        <f t="shared" ca="1" si="13"/>
        <v>94.007495887892262</v>
      </c>
      <c r="H237">
        <f t="shared" ca="1" si="14"/>
        <v>0</v>
      </c>
      <c r="I237">
        <f t="shared" ca="1" si="15"/>
        <v>0</v>
      </c>
    </row>
    <row r="238" spans="5:9" x14ac:dyDescent="0.75">
      <c r="E238">
        <v>232</v>
      </c>
      <c r="F238">
        <f t="shared" ca="1" si="12"/>
        <v>1.2827201532608541</v>
      </c>
      <c r="G238">
        <f t="shared" ca="1" si="13"/>
        <v>133.18168073658333</v>
      </c>
      <c r="H238">
        <f t="shared" ca="1" si="14"/>
        <v>33.181680736583331</v>
      </c>
      <c r="I238">
        <f t="shared" ca="1" si="15"/>
        <v>31.56339107102659</v>
      </c>
    </row>
    <row r="239" spans="5:9" x14ac:dyDescent="0.75">
      <c r="E239">
        <v>233</v>
      </c>
      <c r="F239">
        <f t="shared" ca="1" si="12"/>
        <v>0.34087434518781995</v>
      </c>
      <c r="G239">
        <f t="shared" ca="1" si="13"/>
        <v>110.31556760140407</v>
      </c>
      <c r="H239">
        <f t="shared" ca="1" si="14"/>
        <v>10.315567601404069</v>
      </c>
      <c r="I239">
        <f t="shared" ca="1" si="15"/>
        <v>9.8124714328818037</v>
      </c>
    </row>
    <row r="240" spans="5:9" x14ac:dyDescent="0.75">
      <c r="E240">
        <v>234</v>
      </c>
      <c r="F240">
        <f t="shared" ca="1" si="12"/>
        <v>8.5049270755649151E-2</v>
      </c>
      <c r="G240">
        <f t="shared" ca="1" si="13"/>
        <v>104.81323374832243</v>
      </c>
      <c r="H240">
        <f t="shared" ca="1" si="14"/>
        <v>4.8132337483224319</v>
      </c>
      <c r="I240">
        <f t="shared" ca="1" si="15"/>
        <v>4.5784895684041613</v>
      </c>
    </row>
    <row r="241" spans="5:9" x14ac:dyDescent="0.75">
      <c r="E241">
        <v>235</v>
      </c>
      <c r="F241">
        <f t="shared" ca="1" si="12"/>
        <v>-0.82057361444380883</v>
      </c>
      <c r="G241">
        <f t="shared" ca="1" si="13"/>
        <v>87.448973485980943</v>
      </c>
      <c r="H241">
        <f t="shared" ca="1" si="14"/>
        <v>0</v>
      </c>
      <c r="I241">
        <f t="shared" ca="1" si="15"/>
        <v>0</v>
      </c>
    </row>
    <row r="242" spans="5:9" x14ac:dyDescent="0.75">
      <c r="E242">
        <v>236</v>
      </c>
      <c r="F242">
        <f t="shared" ca="1" si="12"/>
        <v>0.37585965794169435</v>
      </c>
      <c r="G242">
        <f t="shared" ca="1" si="13"/>
        <v>111.09015930126338</v>
      </c>
      <c r="H242">
        <f t="shared" ca="1" si="14"/>
        <v>11.090159301263384</v>
      </c>
      <c r="I242">
        <f t="shared" ca="1" si="15"/>
        <v>10.549285849762009</v>
      </c>
    </row>
    <row r="243" spans="5:9" x14ac:dyDescent="0.75">
      <c r="E243">
        <v>237</v>
      </c>
      <c r="F243">
        <f t="shared" ca="1" si="12"/>
        <v>-2.0350222566388676</v>
      </c>
      <c r="G243">
        <f t="shared" ca="1" si="13"/>
        <v>68.591302066554562</v>
      </c>
      <c r="H243">
        <f t="shared" ca="1" si="14"/>
        <v>0</v>
      </c>
      <c r="I243">
        <f t="shared" ca="1" si="15"/>
        <v>0</v>
      </c>
    </row>
    <row r="244" spans="5:9" x14ac:dyDescent="0.75">
      <c r="E244">
        <v>238</v>
      </c>
      <c r="F244">
        <f t="shared" ca="1" si="12"/>
        <v>0.6489697417487581</v>
      </c>
      <c r="G244">
        <f t="shared" ca="1" si="13"/>
        <v>117.32690920505884</v>
      </c>
      <c r="H244">
        <f t="shared" ca="1" si="14"/>
        <v>17.32690920505884</v>
      </c>
      <c r="I244">
        <f t="shared" ca="1" si="15"/>
        <v>16.481865871504244</v>
      </c>
    </row>
    <row r="245" spans="5:9" x14ac:dyDescent="0.75">
      <c r="E245">
        <v>239</v>
      </c>
      <c r="F245">
        <f t="shared" ca="1" si="12"/>
        <v>-0.65039775862619387</v>
      </c>
      <c r="G245">
        <f t="shared" ca="1" si="13"/>
        <v>90.476543952133966</v>
      </c>
      <c r="H245">
        <f t="shared" ca="1" si="14"/>
        <v>0</v>
      </c>
      <c r="I245">
        <f t="shared" ca="1" si="15"/>
        <v>0</v>
      </c>
    </row>
    <row r="246" spans="5:9" x14ac:dyDescent="0.75">
      <c r="E246">
        <v>240</v>
      </c>
      <c r="F246">
        <f t="shared" ca="1" si="12"/>
        <v>-3.5534185784021885E-2</v>
      </c>
      <c r="G246">
        <f t="shared" ca="1" si="13"/>
        <v>102.31572224991446</v>
      </c>
      <c r="H246">
        <f t="shared" ca="1" si="14"/>
        <v>2.3157222499144581</v>
      </c>
      <c r="I246">
        <f t="shared" ca="1" si="15"/>
        <v>2.2027831430896287</v>
      </c>
    </row>
    <row r="247" spans="5:9" x14ac:dyDescent="0.75">
      <c r="E247">
        <v>241</v>
      </c>
      <c r="F247">
        <f t="shared" ca="1" si="12"/>
        <v>-0.79503346338587388</v>
      </c>
      <c r="G247">
        <f t="shared" ca="1" si="13"/>
        <v>87.896808287627209</v>
      </c>
      <c r="H247">
        <f t="shared" ca="1" si="14"/>
        <v>0</v>
      </c>
      <c r="I247">
        <f t="shared" ca="1" si="15"/>
        <v>0</v>
      </c>
    </row>
    <row r="248" spans="5:9" x14ac:dyDescent="0.75">
      <c r="E248">
        <v>242</v>
      </c>
      <c r="F248">
        <f t="shared" ca="1" si="12"/>
        <v>-1.3294290363882459</v>
      </c>
      <c r="G248">
        <f t="shared" ca="1" si="13"/>
        <v>78.987086628757638</v>
      </c>
      <c r="H248">
        <f t="shared" ca="1" si="14"/>
        <v>0</v>
      </c>
      <c r="I248">
        <f t="shared" ca="1" si="15"/>
        <v>0</v>
      </c>
    </row>
    <row r="249" spans="5:9" x14ac:dyDescent="0.75">
      <c r="E249">
        <v>243</v>
      </c>
      <c r="F249">
        <f t="shared" ca="1" si="12"/>
        <v>0.87929781149815245</v>
      </c>
      <c r="G249">
        <f t="shared" ca="1" si="13"/>
        <v>122.85806528376489</v>
      </c>
      <c r="H249">
        <f t="shared" ca="1" si="14"/>
        <v>22.858065283764887</v>
      </c>
      <c r="I249">
        <f t="shared" ca="1" si="15"/>
        <v>21.743264285075423</v>
      </c>
    </row>
    <row r="250" spans="5:9" x14ac:dyDescent="0.75">
      <c r="E250">
        <v>244</v>
      </c>
      <c r="F250">
        <f t="shared" ca="1" si="12"/>
        <v>0.84941104818682889</v>
      </c>
      <c r="G250">
        <f t="shared" ca="1" si="13"/>
        <v>122.12588971592497</v>
      </c>
      <c r="H250">
        <f t="shared" ca="1" si="14"/>
        <v>22.12588971592497</v>
      </c>
      <c r="I250">
        <f t="shared" ca="1" si="15"/>
        <v>21.046797341045576</v>
      </c>
    </row>
    <row r="251" spans="5:9" x14ac:dyDescent="0.75">
      <c r="E251">
        <v>245</v>
      </c>
      <c r="F251">
        <f t="shared" ca="1" si="12"/>
        <v>-0.85493179508032935</v>
      </c>
      <c r="G251">
        <f t="shared" ca="1" si="13"/>
        <v>86.85011588272188</v>
      </c>
      <c r="H251">
        <f t="shared" ca="1" si="14"/>
        <v>0</v>
      </c>
      <c r="I251">
        <f t="shared" ca="1" si="15"/>
        <v>0</v>
      </c>
    </row>
    <row r="252" spans="5:9" x14ac:dyDescent="0.75">
      <c r="E252">
        <v>246</v>
      </c>
      <c r="F252">
        <f t="shared" ca="1" si="12"/>
        <v>1.257538417928308</v>
      </c>
      <c r="G252">
        <f t="shared" ca="1" si="13"/>
        <v>132.51261780029068</v>
      </c>
      <c r="H252">
        <f t="shared" ca="1" si="14"/>
        <v>32.512617800290684</v>
      </c>
      <c r="I252">
        <f t="shared" ca="1" si="15"/>
        <v>30.926958719182178</v>
      </c>
    </row>
    <row r="253" spans="5:9" x14ac:dyDescent="0.75">
      <c r="E253">
        <v>247</v>
      </c>
      <c r="F253">
        <f t="shared" ca="1" si="12"/>
        <v>-1.3351940918006044</v>
      </c>
      <c r="G253">
        <f t="shared" ca="1" si="13"/>
        <v>78.896066126410318</v>
      </c>
      <c r="H253">
        <f t="shared" ca="1" si="14"/>
        <v>0</v>
      </c>
      <c r="I253">
        <f t="shared" ca="1" si="15"/>
        <v>0</v>
      </c>
    </row>
    <row r="254" spans="5:9" x14ac:dyDescent="0.75">
      <c r="E254">
        <v>248</v>
      </c>
      <c r="F254">
        <f t="shared" ca="1" si="12"/>
        <v>0.27056550266845786</v>
      </c>
      <c r="G254">
        <f t="shared" ca="1" si="13"/>
        <v>108.77519121737645</v>
      </c>
      <c r="H254">
        <f t="shared" ca="1" si="14"/>
        <v>8.7751912173764453</v>
      </c>
      <c r="I254">
        <f t="shared" ca="1" si="15"/>
        <v>8.3472200915887154</v>
      </c>
    </row>
    <row r="255" spans="5:9" x14ac:dyDescent="0.75">
      <c r="E255">
        <v>249</v>
      </c>
      <c r="F255">
        <f t="shared" ca="1" si="12"/>
        <v>8.1157749917681737E-2</v>
      </c>
      <c r="G255">
        <f t="shared" ca="1" si="13"/>
        <v>104.73168890913762</v>
      </c>
      <c r="H255">
        <f t="shared" ca="1" si="14"/>
        <v>4.7316889091376169</v>
      </c>
      <c r="I255">
        <f t="shared" ca="1" si="15"/>
        <v>4.5009217179553866</v>
      </c>
    </row>
    <row r="256" spans="5:9" x14ac:dyDescent="0.75">
      <c r="E256">
        <v>250</v>
      </c>
      <c r="F256">
        <f t="shared" ca="1" si="12"/>
        <v>0.23356007263770703</v>
      </c>
      <c r="G256">
        <f t="shared" ca="1" si="13"/>
        <v>107.97310847476425</v>
      </c>
      <c r="H256">
        <f t="shared" ca="1" si="14"/>
        <v>7.9731084747642456</v>
      </c>
      <c r="I256">
        <f t="shared" ca="1" si="15"/>
        <v>7.5842553859317592</v>
      </c>
    </row>
    <row r="257" spans="5:9" x14ac:dyDescent="0.75">
      <c r="E257">
        <v>251</v>
      </c>
      <c r="F257">
        <f t="shared" ca="1" si="12"/>
        <v>1.9212063277193789</v>
      </c>
      <c r="G257">
        <f t="shared" ca="1" si="13"/>
        <v>151.32221712164576</v>
      </c>
      <c r="H257">
        <f t="shared" ca="1" si="14"/>
        <v>51.322217121645764</v>
      </c>
      <c r="I257">
        <f t="shared" ca="1" si="15"/>
        <v>48.819203056723794</v>
      </c>
    </row>
    <row r="258" spans="5:9" x14ac:dyDescent="0.75">
      <c r="E258">
        <v>252</v>
      </c>
      <c r="F258">
        <f t="shared" ca="1" si="12"/>
        <v>1.5191601047533575E-2</v>
      </c>
      <c r="G258">
        <f t="shared" ca="1" si="13"/>
        <v>103.35901458733674</v>
      </c>
      <c r="H258">
        <f t="shared" ca="1" si="14"/>
        <v>3.3590145873367447</v>
      </c>
      <c r="I258">
        <f t="shared" ca="1" si="15"/>
        <v>3.1951935128018349</v>
      </c>
    </row>
    <row r="259" spans="5:9" x14ac:dyDescent="0.75">
      <c r="E259">
        <v>253</v>
      </c>
      <c r="F259">
        <f t="shared" ca="1" si="12"/>
        <v>5.8245966418012975E-2</v>
      </c>
      <c r="G259">
        <f t="shared" ca="1" si="13"/>
        <v>104.25286885277086</v>
      </c>
      <c r="H259">
        <f t="shared" ca="1" si="14"/>
        <v>4.2528688527708596</v>
      </c>
      <c r="I259">
        <f t="shared" ca="1" si="15"/>
        <v>4.0454539912982366</v>
      </c>
    </row>
    <row r="260" spans="5:9" x14ac:dyDescent="0.75">
      <c r="E260">
        <v>254</v>
      </c>
      <c r="F260">
        <f t="shared" ca="1" si="12"/>
        <v>-1.8034893648084986</v>
      </c>
      <c r="G260">
        <f t="shared" ca="1" si="13"/>
        <v>71.842219102363813</v>
      </c>
      <c r="H260">
        <f t="shared" ca="1" si="14"/>
        <v>0</v>
      </c>
      <c r="I260">
        <f t="shared" ca="1" si="15"/>
        <v>0</v>
      </c>
    </row>
    <row r="261" spans="5:9" x14ac:dyDescent="0.75">
      <c r="E261">
        <v>255</v>
      </c>
      <c r="F261">
        <f t="shared" ca="1" si="12"/>
        <v>0.1581662604228064</v>
      </c>
      <c r="G261">
        <f t="shared" ca="1" si="13"/>
        <v>106.35722103008662</v>
      </c>
      <c r="H261">
        <f t="shared" ca="1" si="14"/>
        <v>6.3572210300866203</v>
      </c>
      <c r="I261">
        <f t="shared" ca="1" si="15"/>
        <v>6.0471757018731322</v>
      </c>
    </row>
    <row r="262" spans="5:9" x14ac:dyDescent="0.75">
      <c r="E262">
        <v>256</v>
      </c>
      <c r="F262">
        <f t="shared" ca="1" si="12"/>
        <v>-0.60970978520049313</v>
      </c>
      <c r="G262">
        <f t="shared" ca="1" si="13"/>
        <v>91.215809236417527</v>
      </c>
      <c r="H262">
        <f t="shared" ca="1" si="14"/>
        <v>0</v>
      </c>
      <c r="I262">
        <f t="shared" ca="1" si="15"/>
        <v>0</v>
      </c>
    </row>
    <row r="263" spans="5:9" x14ac:dyDescent="0.75">
      <c r="E263">
        <v>257</v>
      </c>
      <c r="F263">
        <f t="shared" ca="1" si="12"/>
        <v>1.1312967169932975</v>
      </c>
      <c r="G263">
        <f t="shared" ca="1" si="13"/>
        <v>129.20877789271486</v>
      </c>
      <c r="H263">
        <f t="shared" ca="1" si="14"/>
        <v>29.208777892714863</v>
      </c>
      <c r="I263">
        <f t="shared" ca="1" si="15"/>
        <v>27.784248985256337</v>
      </c>
    </row>
    <row r="264" spans="5:9" x14ac:dyDescent="0.75">
      <c r="E264">
        <v>258</v>
      </c>
      <c r="F264">
        <f t="shared" ref="F264:F327" ca="1" si="16">NORMINV(RAND(), 0,1)</f>
        <v>-0.45263154870955058</v>
      </c>
      <c r="G264">
        <f t="shared" ref="G264:G327" ca="1" si="17">$C$5*EXP(($C$6-0.5*$C$7^2)*$C$8+$C$7*SQRT($C$8)*F264)</f>
        <v>94.12690041480613</v>
      </c>
      <c r="H264">
        <f t="shared" ref="H264:H327" ca="1" si="18">MAX(G264-$C$9,0)</f>
        <v>0</v>
      </c>
      <c r="I264">
        <f t="shared" ref="I264:I327" ca="1" si="19">EXP(-$C$6*$C$8)*H264</f>
        <v>0</v>
      </c>
    </row>
    <row r="265" spans="5:9" x14ac:dyDescent="0.75">
      <c r="E265">
        <v>259</v>
      </c>
      <c r="F265">
        <f t="shared" ca="1" si="16"/>
        <v>2.5987458530291885E-3</v>
      </c>
      <c r="G265">
        <f t="shared" ca="1" si="17"/>
        <v>103.09902510500845</v>
      </c>
      <c r="H265">
        <f t="shared" ca="1" si="18"/>
        <v>3.099025105008451</v>
      </c>
      <c r="I265">
        <f t="shared" ca="1" si="19"/>
        <v>2.9478838671504537</v>
      </c>
    </row>
    <row r="266" spans="5:9" x14ac:dyDescent="0.75">
      <c r="E266">
        <v>260</v>
      </c>
      <c r="F266">
        <f t="shared" ca="1" si="16"/>
        <v>0.90150842486242622</v>
      </c>
      <c r="G266">
        <f t="shared" ca="1" si="17"/>
        <v>123.40502982348411</v>
      </c>
      <c r="H266">
        <f t="shared" ca="1" si="18"/>
        <v>23.405029823484114</v>
      </c>
      <c r="I266">
        <f t="shared" ca="1" si="19"/>
        <v>22.263553049414842</v>
      </c>
    </row>
    <row r="267" spans="5:9" x14ac:dyDescent="0.75">
      <c r="E267">
        <v>261</v>
      </c>
      <c r="F267">
        <f t="shared" ca="1" si="16"/>
        <v>-0.24502276795720934</v>
      </c>
      <c r="G267">
        <f t="shared" ca="1" si="17"/>
        <v>98.11748943630316</v>
      </c>
      <c r="H267">
        <f t="shared" ca="1" si="18"/>
        <v>0</v>
      </c>
      <c r="I267">
        <f t="shared" ca="1" si="19"/>
        <v>0</v>
      </c>
    </row>
    <row r="268" spans="5:9" x14ac:dyDescent="0.75">
      <c r="E268">
        <v>262</v>
      </c>
      <c r="F268">
        <f t="shared" ca="1" si="16"/>
        <v>0.42233867368994094</v>
      </c>
      <c r="G268">
        <f t="shared" ca="1" si="17"/>
        <v>112.12764622014649</v>
      </c>
      <c r="H268">
        <f t="shared" ca="1" si="18"/>
        <v>12.127646220146488</v>
      </c>
      <c r="I268">
        <f t="shared" ca="1" si="19"/>
        <v>11.536173934538203</v>
      </c>
    </row>
    <row r="269" spans="5:9" x14ac:dyDescent="0.75">
      <c r="E269">
        <v>263</v>
      </c>
      <c r="F269">
        <f t="shared" ca="1" si="16"/>
        <v>-1.3910542095055121</v>
      </c>
      <c r="G269">
        <f t="shared" ca="1" si="17"/>
        <v>78.019542804801077</v>
      </c>
      <c r="H269">
        <f t="shared" ca="1" si="18"/>
        <v>0</v>
      </c>
      <c r="I269">
        <f t="shared" ca="1" si="19"/>
        <v>0</v>
      </c>
    </row>
    <row r="270" spans="5:9" x14ac:dyDescent="0.75">
      <c r="E270">
        <v>264</v>
      </c>
      <c r="F270">
        <f t="shared" ca="1" si="16"/>
        <v>0.18622615646791663</v>
      </c>
      <c r="G270">
        <f t="shared" ca="1" si="17"/>
        <v>106.95577350434171</v>
      </c>
      <c r="H270">
        <f t="shared" ca="1" si="18"/>
        <v>6.9557735043417068</v>
      </c>
      <c r="I270">
        <f t="shared" ca="1" si="19"/>
        <v>6.6165364274922762</v>
      </c>
    </row>
    <row r="271" spans="5:9" x14ac:dyDescent="0.75">
      <c r="E271">
        <v>265</v>
      </c>
      <c r="F271">
        <f t="shared" ca="1" si="16"/>
        <v>1.5243085018839808</v>
      </c>
      <c r="G271">
        <f t="shared" ca="1" si="17"/>
        <v>139.77470639623661</v>
      </c>
      <c r="H271">
        <f t="shared" ca="1" si="18"/>
        <v>39.77470639623661</v>
      </c>
      <c r="I271">
        <f t="shared" ca="1" si="19"/>
        <v>37.834871074977016</v>
      </c>
    </row>
    <row r="272" spans="5:9" x14ac:dyDescent="0.75">
      <c r="E272">
        <v>266</v>
      </c>
      <c r="F272">
        <f t="shared" ca="1" si="16"/>
        <v>-0.41008222473059835</v>
      </c>
      <c r="G272">
        <f t="shared" ca="1" si="17"/>
        <v>94.931325530919025</v>
      </c>
      <c r="H272">
        <f t="shared" ca="1" si="18"/>
        <v>0</v>
      </c>
      <c r="I272">
        <f t="shared" ca="1" si="19"/>
        <v>0</v>
      </c>
    </row>
    <row r="273" spans="5:9" x14ac:dyDescent="0.75">
      <c r="E273">
        <v>267</v>
      </c>
      <c r="F273">
        <f t="shared" ca="1" si="16"/>
        <v>0.43965768305261871</v>
      </c>
      <c r="G273">
        <f t="shared" ca="1" si="17"/>
        <v>112.51670759785719</v>
      </c>
      <c r="H273">
        <f t="shared" ca="1" si="18"/>
        <v>12.516707597857192</v>
      </c>
      <c r="I273">
        <f t="shared" ca="1" si="19"/>
        <v>11.906260564953412</v>
      </c>
    </row>
    <row r="274" spans="5:9" x14ac:dyDescent="0.75">
      <c r="E274">
        <v>268</v>
      </c>
      <c r="F274">
        <f t="shared" ca="1" si="16"/>
        <v>-1.1814782647634343</v>
      </c>
      <c r="G274">
        <f t="shared" ca="1" si="17"/>
        <v>81.359249969626489</v>
      </c>
      <c r="H274">
        <f t="shared" ca="1" si="18"/>
        <v>0</v>
      </c>
      <c r="I274">
        <f t="shared" ca="1" si="19"/>
        <v>0</v>
      </c>
    </row>
    <row r="275" spans="5:9" x14ac:dyDescent="0.75">
      <c r="E275">
        <v>269</v>
      </c>
      <c r="F275">
        <f t="shared" ca="1" si="16"/>
        <v>-1.2679310789855025</v>
      </c>
      <c r="G275">
        <f t="shared" ca="1" si="17"/>
        <v>79.96459467828609</v>
      </c>
      <c r="H275">
        <f t="shared" ca="1" si="18"/>
        <v>0</v>
      </c>
      <c r="I275">
        <f t="shared" ca="1" si="19"/>
        <v>0</v>
      </c>
    </row>
    <row r="276" spans="5:9" x14ac:dyDescent="0.75">
      <c r="E276">
        <v>270</v>
      </c>
      <c r="F276">
        <f t="shared" ca="1" si="16"/>
        <v>-0.30341419396305741</v>
      </c>
      <c r="G276">
        <f t="shared" ca="1" si="17"/>
        <v>96.978310188484258</v>
      </c>
      <c r="H276">
        <f t="shared" ca="1" si="18"/>
        <v>0</v>
      </c>
      <c r="I276">
        <f t="shared" ca="1" si="19"/>
        <v>0</v>
      </c>
    </row>
    <row r="277" spans="5:9" x14ac:dyDescent="0.75">
      <c r="E277">
        <v>271</v>
      </c>
      <c r="F277">
        <f t="shared" ca="1" si="16"/>
        <v>7.5479796291095205E-2</v>
      </c>
      <c r="G277">
        <f t="shared" ca="1" si="17"/>
        <v>104.61282407823902</v>
      </c>
      <c r="H277">
        <f t="shared" ca="1" si="18"/>
        <v>4.6128240782390151</v>
      </c>
      <c r="I277">
        <f t="shared" ca="1" si="19"/>
        <v>4.3878539932663347</v>
      </c>
    </row>
    <row r="278" spans="5:9" x14ac:dyDescent="0.75">
      <c r="E278">
        <v>272</v>
      </c>
      <c r="F278">
        <f t="shared" ca="1" si="16"/>
        <v>-0.17679124413795524</v>
      </c>
      <c r="G278">
        <f t="shared" ca="1" si="17"/>
        <v>99.465608098200548</v>
      </c>
      <c r="H278">
        <f t="shared" ca="1" si="18"/>
        <v>0</v>
      </c>
      <c r="I278">
        <f t="shared" ca="1" si="19"/>
        <v>0</v>
      </c>
    </row>
    <row r="279" spans="5:9" x14ac:dyDescent="0.75">
      <c r="E279">
        <v>273</v>
      </c>
      <c r="F279">
        <f t="shared" ca="1" si="16"/>
        <v>-1.1568049453559741</v>
      </c>
      <c r="G279">
        <f t="shared" ca="1" si="17"/>
        <v>81.761722739081804</v>
      </c>
      <c r="H279">
        <f t="shared" ca="1" si="18"/>
        <v>0</v>
      </c>
      <c r="I279">
        <f t="shared" ca="1" si="19"/>
        <v>0</v>
      </c>
    </row>
    <row r="280" spans="5:9" x14ac:dyDescent="0.75">
      <c r="E280">
        <v>274</v>
      </c>
      <c r="F280">
        <f t="shared" ca="1" si="16"/>
        <v>1.023549497263629</v>
      </c>
      <c r="G280">
        <f t="shared" ca="1" si="17"/>
        <v>126.4541871227987</v>
      </c>
      <c r="H280">
        <f t="shared" ca="1" si="18"/>
        <v>26.4541871227987</v>
      </c>
      <c r="I280">
        <f t="shared" ca="1" si="19"/>
        <v>25.164001192454005</v>
      </c>
    </row>
    <row r="281" spans="5:9" x14ac:dyDescent="0.75">
      <c r="E281">
        <v>275</v>
      </c>
      <c r="F281">
        <f t="shared" ca="1" si="16"/>
        <v>-1.2017907838410717</v>
      </c>
      <c r="G281">
        <f t="shared" ca="1" si="17"/>
        <v>81.029398171944081</v>
      </c>
      <c r="H281">
        <f t="shared" ca="1" si="18"/>
        <v>0</v>
      </c>
      <c r="I281">
        <f t="shared" ca="1" si="19"/>
        <v>0</v>
      </c>
    </row>
    <row r="282" spans="5:9" x14ac:dyDescent="0.75">
      <c r="E282">
        <v>276</v>
      </c>
      <c r="F282">
        <f t="shared" ca="1" si="16"/>
        <v>-1.3208539311420262E-3</v>
      </c>
      <c r="G282">
        <f t="shared" ca="1" si="17"/>
        <v>103.0182353921699</v>
      </c>
      <c r="H282">
        <f t="shared" ca="1" si="18"/>
        <v>3.018235392169899</v>
      </c>
      <c r="I282">
        <f t="shared" ca="1" si="19"/>
        <v>2.8710343151014599</v>
      </c>
    </row>
    <row r="283" spans="5:9" x14ac:dyDescent="0.75">
      <c r="E283">
        <v>277</v>
      </c>
      <c r="F283">
        <f t="shared" ca="1" si="16"/>
        <v>0.48914485912314282</v>
      </c>
      <c r="G283">
        <f t="shared" ca="1" si="17"/>
        <v>113.63586367322979</v>
      </c>
      <c r="H283">
        <f t="shared" ca="1" si="18"/>
        <v>13.635863673229792</v>
      </c>
      <c r="I283">
        <f t="shared" ca="1" si="19"/>
        <v>12.970834754456568</v>
      </c>
    </row>
    <row r="284" spans="5:9" x14ac:dyDescent="0.75">
      <c r="E284">
        <v>278</v>
      </c>
      <c r="F284">
        <f t="shared" ca="1" si="16"/>
        <v>0.4312892355387925</v>
      </c>
      <c r="G284">
        <f t="shared" ca="1" si="17"/>
        <v>112.32854707053816</v>
      </c>
      <c r="H284">
        <f t="shared" ca="1" si="18"/>
        <v>12.328547070538164</v>
      </c>
      <c r="I284">
        <f t="shared" ca="1" si="19"/>
        <v>11.727276734837982</v>
      </c>
    </row>
    <row r="285" spans="5:9" x14ac:dyDescent="0.75">
      <c r="E285">
        <v>279</v>
      </c>
      <c r="F285">
        <f t="shared" ca="1" si="16"/>
        <v>-0.98357617604016934</v>
      </c>
      <c r="G285">
        <f t="shared" ca="1" si="17"/>
        <v>84.64406135063102</v>
      </c>
      <c r="H285">
        <f t="shared" ca="1" si="18"/>
        <v>0</v>
      </c>
      <c r="I285">
        <f t="shared" ca="1" si="19"/>
        <v>0</v>
      </c>
    </row>
    <row r="286" spans="5:9" x14ac:dyDescent="0.75">
      <c r="E286">
        <v>280</v>
      </c>
      <c r="F286">
        <f t="shared" ca="1" si="16"/>
        <v>-8.2272478517051092E-2</v>
      </c>
      <c r="G286">
        <f t="shared" ca="1" si="17"/>
        <v>101.36376602695097</v>
      </c>
      <c r="H286">
        <f t="shared" ca="1" si="18"/>
        <v>1.3637660269509695</v>
      </c>
      <c r="I286">
        <f t="shared" ca="1" si="19"/>
        <v>1.297254372970196</v>
      </c>
    </row>
    <row r="287" spans="5:9" x14ac:dyDescent="0.75">
      <c r="E287">
        <v>281</v>
      </c>
      <c r="F287">
        <f t="shared" ca="1" si="16"/>
        <v>1.21067772407473</v>
      </c>
      <c r="G287">
        <f t="shared" ca="1" si="17"/>
        <v>131.27649277315311</v>
      </c>
      <c r="H287">
        <f t="shared" ca="1" si="18"/>
        <v>31.276492773153109</v>
      </c>
      <c r="I287">
        <f t="shared" ca="1" si="19"/>
        <v>29.751120221007174</v>
      </c>
    </row>
    <row r="288" spans="5:9" x14ac:dyDescent="0.75">
      <c r="E288">
        <v>282</v>
      </c>
      <c r="F288">
        <f t="shared" ca="1" si="16"/>
        <v>-7.688487119113703E-2</v>
      </c>
      <c r="G288">
        <f t="shared" ca="1" si="17"/>
        <v>101.47304652610518</v>
      </c>
      <c r="H288">
        <f t="shared" ca="1" si="18"/>
        <v>1.4730465261051791</v>
      </c>
      <c r="I288">
        <f t="shared" ca="1" si="19"/>
        <v>1.4012051992898056</v>
      </c>
    </row>
    <row r="289" spans="5:9" x14ac:dyDescent="0.75">
      <c r="E289">
        <v>283</v>
      </c>
      <c r="F289">
        <f t="shared" ca="1" si="16"/>
        <v>1.0638154853556538</v>
      </c>
      <c r="G289">
        <f t="shared" ca="1" si="17"/>
        <v>127.47665924044081</v>
      </c>
      <c r="H289">
        <f t="shared" ca="1" si="18"/>
        <v>27.47665924044081</v>
      </c>
      <c r="I289">
        <f t="shared" ca="1" si="19"/>
        <v>26.136606756486739</v>
      </c>
    </row>
    <row r="290" spans="5:9" x14ac:dyDescent="0.75">
      <c r="E290">
        <v>284</v>
      </c>
      <c r="F290">
        <f t="shared" ca="1" si="16"/>
        <v>-1.2557219944531</v>
      </c>
      <c r="G290">
        <f t="shared" ca="1" si="17"/>
        <v>80.16009216488807</v>
      </c>
      <c r="H290">
        <f t="shared" ca="1" si="18"/>
        <v>0</v>
      </c>
      <c r="I290">
        <f t="shared" ca="1" si="19"/>
        <v>0</v>
      </c>
    </row>
    <row r="291" spans="5:9" x14ac:dyDescent="0.75">
      <c r="E291">
        <v>285</v>
      </c>
      <c r="F291">
        <f t="shared" ca="1" si="16"/>
        <v>-0.99746537288216952</v>
      </c>
      <c r="G291">
        <f t="shared" ca="1" si="17"/>
        <v>84.409260015890567</v>
      </c>
      <c r="H291">
        <f t="shared" ca="1" si="18"/>
        <v>0</v>
      </c>
      <c r="I291">
        <f t="shared" ca="1" si="19"/>
        <v>0</v>
      </c>
    </row>
    <row r="292" spans="5:9" x14ac:dyDescent="0.75">
      <c r="E292">
        <v>286</v>
      </c>
      <c r="F292">
        <f t="shared" ca="1" si="16"/>
        <v>-8.1400649406964801E-2</v>
      </c>
      <c r="G292">
        <f t="shared" ca="1" si="17"/>
        <v>101.38144194433016</v>
      </c>
      <c r="H292">
        <f t="shared" ca="1" si="18"/>
        <v>1.3814419443301631</v>
      </c>
      <c r="I292">
        <f t="shared" ca="1" si="19"/>
        <v>1.3140682256863285</v>
      </c>
    </row>
    <row r="293" spans="5:9" x14ac:dyDescent="0.75">
      <c r="E293">
        <v>287</v>
      </c>
      <c r="F293">
        <f t="shared" ca="1" si="16"/>
        <v>-0.55529325719253142</v>
      </c>
      <c r="G293">
        <f t="shared" ca="1" si="17"/>
        <v>92.21396050441615</v>
      </c>
      <c r="H293">
        <f t="shared" ca="1" si="18"/>
        <v>0</v>
      </c>
      <c r="I293">
        <f t="shared" ca="1" si="19"/>
        <v>0</v>
      </c>
    </row>
    <row r="294" spans="5:9" x14ac:dyDescent="0.75">
      <c r="E294">
        <v>288</v>
      </c>
      <c r="F294">
        <f t="shared" ca="1" si="16"/>
        <v>2.0087165743505682</v>
      </c>
      <c r="G294">
        <f t="shared" ca="1" si="17"/>
        <v>153.99397847819088</v>
      </c>
      <c r="H294">
        <f t="shared" ca="1" si="18"/>
        <v>53.993978478190883</v>
      </c>
      <c r="I294">
        <f t="shared" ca="1" si="19"/>
        <v>51.360661074313448</v>
      </c>
    </row>
    <row r="295" spans="5:9" x14ac:dyDescent="0.75">
      <c r="E295">
        <v>289</v>
      </c>
      <c r="F295">
        <f t="shared" ca="1" si="16"/>
        <v>0.80333107379054847</v>
      </c>
      <c r="G295">
        <f t="shared" ca="1" si="17"/>
        <v>121.00554860029963</v>
      </c>
      <c r="H295">
        <f t="shared" ca="1" si="18"/>
        <v>21.005548600299633</v>
      </c>
      <c r="I295">
        <f t="shared" ca="1" si="19"/>
        <v>19.981095906384798</v>
      </c>
    </row>
    <row r="296" spans="5:9" x14ac:dyDescent="0.75">
      <c r="E296">
        <v>290</v>
      </c>
      <c r="F296">
        <f t="shared" ca="1" si="16"/>
        <v>-0.56367940945274975</v>
      </c>
      <c r="G296">
        <f t="shared" ca="1" si="17"/>
        <v>92.059426072908551</v>
      </c>
      <c r="H296">
        <f t="shared" ca="1" si="18"/>
        <v>0</v>
      </c>
      <c r="I296">
        <f t="shared" ca="1" si="19"/>
        <v>0</v>
      </c>
    </row>
    <row r="297" spans="5:9" x14ac:dyDescent="0.75">
      <c r="E297">
        <v>291</v>
      </c>
      <c r="F297">
        <f t="shared" ca="1" si="16"/>
        <v>-1.6850805850782302</v>
      </c>
      <c r="G297">
        <f t="shared" ca="1" si="17"/>
        <v>73.563874451055369</v>
      </c>
      <c r="H297">
        <f t="shared" ca="1" si="18"/>
        <v>0</v>
      </c>
      <c r="I297">
        <f t="shared" ca="1" si="19"/>
        <v>0</v>
      </c>
    </row>
    <row r="298" spans="5:9" x14ac:dyDescent="0.75">
      <c r="E298">
        <v>292</v>
      </c>
      <c r="F298">
        <f t="shared" ca="1" si="16"/>
        <v>-0.34042029848862893</v>
      </c>
      <c r="G298">
        <f t="shared" ca="1" si="17"/>
        <v>96.263201893357689</v>
      </c>
      <c r="H298">
        <f t="shared" ca="1" si="18"/>
        <v>0</v>
      </c>
      <c r="I298">
        <f t="shared" ca="1" si="19"/>
        <v>0</v>
      </c>
    </row>
    <row r="299" spans="5:9" x14ac:dyDescent="0.75">
      <c r="E299">
        <v>293</v>
      </c>
      <c r="F299">
        <f t="shared" ca="1" si="16"/>
        <v>0.16067197938872849</v>
      </c>
      <c r="G299">
        <f t="shared" ca="1" si="17"/>
        <v>106.41053464904502</v>
      </c>
      <c r="H299">
        <f t="shared" ca="1" si="18"/>
        <v>6.4105346490450188</v>
      </c>
      <c r="I299">
        <f t="shared" ca="1" si="19"/>
        <v>6.0978891849529795</v>
      </c>
    </row>
    <row r="300" spans="5:9" x14ac:dyDescent="0.75">
      <c r="E300">
        <v>294</v>
      </c>
      <c r="F300">
        <f t="shared" ca="1" si="16"/>
        <v>1.3499562783515036</v>
      </c>
      <c r="G300">
        <f t="shared" ca="1" si="17"/>
        <v>134.98470040171492</v>
      </c>
      <c r="H300">
        <f t="shared" ca="1" si="18"/>
        <v>34.984700401714917</v>
      </c>
      <c r="I300">
        <f t="shared" ca="1" si="19"/>
        <v>33.278476429453178</v>
      </c>
    </row>
    <row r="301" spans="5:9" x14ac:dyDescent="0.75">
      <c r="E301">
        <v>295</v>
      </c>
      <c r="F301">
        <f t="shared" ca="1" si="16"/>
        <v>0.31929224014754914</v>
      </c>
      <c r="G301">
        <f t="shared" ca="1" si="17"/>
        <v>109.84042536258178</v>
      </c>
      <c r="H301">
        <f t="shared" ca="1" si="18"/>
        <v>9.840425362581783</v>
      </c>
      <c r="I301">
        <f t="shared" ca="1" si="19"/>
        <v>9.3605021544909004</v>
      </c>
    </row>
    <row r="302" spans="5:9" x14ac:dyDescent="0.75">
      <c r="E302">
        <v>296</v>
      </c>
      <c r="F302">
        <f t="shared" ca="1" si="16"/>
        <v>-0.57996289616101948</v>
      </c>
      <c r="G302">
        <f t="shared" ca="1" si="17"/>
        <v>91.760104049913693</v>
      </c>
      <c r="H302">
        <f t="shared" ca="1" si="18"/>
        <v>0</v>
      </c>
      <c r="I302">
        <f t="shared" ca="1" si="19"/>
        <v>0</v>
      </c>
    </row>
    <row r="303" spans="5:9" x14ac:dyDescent="0.75">
      <c r="E303">
        <v>297</v>
      </c>
      <c r="F303">
        <f t="shared" ca="1" si="16"/>
        <v>1.4728973129878438</v>
      </c>
      <c r="G303">
        <f t="shared" ca="1" si="17"/>
        <v>138.34487316949426</v>
      </c>
      <c r="H303">
        <f t="shared" ca="1" si="18"/>
        <v>38.344873169494264</v>
      </c>
      <c r="I303">
        <f t="shared" ca="1" si="19"/>
        <v>36.474771637570896</v>
      </c>
    </row>
    <row r="304" spans="5:9" x14ac:dyDescent="0.75">
      <c r="E304">
        <v>298</v>
      </c>
      <c r="F304">
        <f t="shared" ca="1" si="16"/>
        <v>-0.19274848923188245</v>
      </c>
      <c r="G304">
        <f t="shared" ca="1" si="17"/>
        <v>99.148674688249088</v>
      </c>
      <c r="H304">
        <f t="shared" ca="1" si="18"/>
        <v>0</v>
      </c>
      <c r="I304">
        <f t="shared" ca="1" si="19"/>
        <v>0</v>
      </c>
    </row>
    <row r="305" spans="5:9" x14ac:dyDescent="0.75">
      <c r="E305">
        <v>299</v>
      </c>
      <c r="F305">
        <f t="shared" ca="1" si="16"/>
        <v>0.72225756704313671</v>
      </c>
      <c r="G305">
        <f t="shared" ca="1" si="17"/>
        <v>119.05930131885583</v>
      </c>
      <c r="H305">
        <f t="shared" ca="1" si="18"/>
        <v>19.05930131885583</v>
      </c>
      <c r="I305">
        <f t="shared" ca="1" si="19"/>
        <v>18.12976822492093</v>
      </c>
    </row>
    <row r="306" spans="5:9" x14ac:dyDescent="0.75">
      <c r="E306">
        <v>300</v>
      </c>
      <c r="F306">
        <f t="shared" ca="1" si="16"/>
        <v>-0.80615195867180656</v>
      </c>
      <c r="G306">
        <f t="shared" ca="1" si="17"/>
        <v>87.701569394631491</v>
      </c>
      <c r="H306">
        <f t="shared" ca="1" si="18"/>
        <v>0</v>
      </c>
      <c r="I306">
        <f t="shared" ca="1" si="19"/>
        <v>0</v>
      </c>
    </row>
    <row r="307" spans="5:9" x14ac:dyDescent="0.75">
      <c r="E307">
        <v>301</v>
      </c>
      <c r="F307">
        <f t="shared" ca="1" si="16"/>
        <v>0.63570616069819785</v>
      </c>
      <c r="G307">
        <f t="shared" ca="1" si="17"/>
        <v>117.01608665540519</v>
      </c>
      <c r="H307">
        <f t="shared" ca="1" si="18"/>
        <v>17.016086655405189</v>
      </c>
      <c r="I307">
        <f t="shared" ca="1" si="19"/>
        <v>16.186202316475359</v>
      </c>
    </row>
    <row r="308" spans="5:9" x14ac:dyDescent="0.75">
      <c r="E308">
        <v>302</v>
      </c>
      <c r="F308">
        <f t="shared" ca="1" si="16"/>
        <v>0.79517147899725593</v>
      </c>
      <c r="G308">
        <f t="shared" ca="1" si="17"/>
        <v>120.8082383923595</v>
      </c>
      <c r="H308">
        <f t="shared" ca="1" si="18"/>
        <v>20.808238392359499</v>
      </c>
      <c r="I308">
        <f t="shared" ca="1" si="19"/>
        <v>19.793408630837789</v>
      </c>
    </row>
    <row r="309" spans="5:9" x14ac:dyDescent="0.75">
      <c r="E309">
        <v>303</v>
      </c>
      <c r="F309">
        <f t="shared" ca="1" si="16"/>
        <v>0.72866613453919515</v>
      </c>
      <c r="G309">
        <f t="shared" ca="1" si="17"/>
        <v>119.21199906904259</v>
      </c>
      <c r="H309">
        <f t="shared" ca="1" si="18"/>
        <v>19.211999069042591</v>
      </c>
      <c r="I309">
        <f t="shared" ca="1" si="19"/>
        <v>18.275018817953637</v>
      </c>
    </row>
    <row r="310" spans="5:9" x14ac:dyDescent="0.75">
      <c r="E310">
        <v>304</v>
      </c>
      <c r="F310">
        <f t="shared" ca="1" si="16"/>
        <v>6.5687025570550214E-2</v>
      </c>
      <c r="G310">
        <f t="shared" ca="1" si="17"/>
        <v>104.40813471114897</v>
      </c>
      <c r="H310">
        <f t="shared" ca="1" si="18"/>
        <v>4.4081347111489748</v>
      </c>
      <c r="I310">
        <f t="shared" ca="1" si="19"/>
        <v>4.1931474444078605</v>
      </c>
    </row>
    <row r="311" spans="5:9" x14ac:dyDescent="0.75">
      <c r="E311">
        <v>305</v>
      </c>
      <c r="F311">
        <f t="shared" ca="1" si="16"/>
        <v>0.29624044901301361</v>
      </c>
      <c r="G311">
        <f t="shared" ca="1" si="17"/>
        <v>109.33518721321337</v>
      </c>
      <c r="H311">
        <f t="shared" ca="1" si="18"/>
        <v>9.3351872132133735</v>
      </c>
      <c r="I311">
        <f t="shared" ca="1" si="19"/>
        <v>8.8799047604313817</v>
      </c>
    </row>
    <row r="312" spans="5:9" x14ac:dyDescent="0.75">
      <c r="E312">
        <v>306</v>
      </c>
      <c r="F312">
        <f t="shared" ca="1" si="16"/>
        <v>-0.77631505058059769</v>
      </c>
      <c r="G312">
        <f t="shared" ca="1" si="17"/>
        <v>88.226482749215791</v>
      </c>
      <c r="H312">
        <f t="shared" ca="1" si="18"/>
        <v>0</v>
      </c>
      <c r="I312">
        <f t="shared" ca="1" si="19"/>
        <v>0</v>
      </c>
    </row>
    <row r="313" spans="5:9" x14ac:dyDescent="0.75">
      <c r="E313">
        <v>307</v>
      </c>
      <c r="F313">
        <f t="shared" ca="1" si="16"/>
        <v>-0.62579969319445461</v>
      </c>
      <c r="G313">
        <f t="shared" ca="1" si="17"/>
        <v>90.922750222927547</v>
      </c>
      <c r="H313">
        <f t="shared" ca="1" si="18"/>
        <v>0</v>
      </c>
      <c r="I313">
        <f t="shared" ca="1" si="19"/>
        <v>0</v>
      </c>
    </row>
    <row r="314" spans="5:9" x14ac:dyDescent="0.75">
      <c r="E314">
        <v>308</v>
      </c>
      <c r="F314">
        <f t="shared" ca="1" si="16"/>
        <v>-0.29249743741423651</v>
      </c>
      <c r="G314">
        <f t="shared" ca="1" si="17"/>
        <v>97.190279226286066</v>
      </c>
      <c r="H314">
        <f t="shared" ca="1" si="18"/>
        <v>0</v>
      </c>
      <c r="I314">
        <f t="shared" ca="1" si="19"/>
        <v>0</v>
      </c>
    </row>
    <row r="315" spans="5:9" x14ac:dyDescent="0.75">
      <c r="E315">
        <v>309</v>
      </c>
      <c r="F315">
        <f t="shared" ca="1" si="16"/>
        <v>1.1202687377032217</v>
      </c>
      <c r="G315">
        <f t="shared" ca="1" si="17"/>
        <v>128.92410959438635</v>
      </c>
      <c r="H315">
        <f t="shared" ca="1" si="18"/>
        <v>28.924109594386351</v>
      </c>
      <c r="I315">
        <f t="shared" ca="1" si="19"/>
        <v>27.513464123663709</v>
      </c>
    </row>
    <row r="316" spans="5:9" x14ac:dyDescent="0.75">
      <c r="E316">
        <v>310</v>
      </c>
      <c r="F316">
        <f t="shared" ca="1" si="16"/>
        <v>1.3364921096425746</v>
      </c>
      <c r="G316">
        <f t="shared" ca="1" si="17"/>
        <v>134.62169801773717</v>
      </c>
      <c r="H316">
        <f t="shared" ca="1" si="18"/>
        <v>34.621698017737174</v>
      </c>
      <c r="I316">
        <f t="shared" ca="1" si="19"/>
        <v>32.933177880649644</v>
      </c>
    </row>
    <row r="317" spans="5:9" x14ac:dyDescent="0.75">
      <c r="E317">
        <v>311</v>
      </c>
      <c r="F317">
        <f t="shared" ca="1" si="16"/>
        <v>-1.2278511805421948</v>
      </c>
      <c r="G317">
        <f t="shared" ca="1" si="17"/>
        <v>80.608165223148902</v>
      </c>
      <c r="H317">
        <f t="shared" ca="1" si="18"/>
        <v>0</v>
      </c>
      <c r="I317">
        <f t="shared" ca="1" si="19"/>
        <v>0</v>
      </c>
    </row>
    <row r="318" spans="5:9" x14ac:dyDescent="0.75">
      <c r="E318">
        <v>312</v>
      </c>
      <c r="F318">
        <f t="shared" ca="1" si="16"/>
        <v>-0.86331215842576847</v>
      </c>
      <c r="G318">
        <f t="shared" ca="1" si="17"/>
        <v>86.704670699580845</v>
      </c>
      <c r="H318">
        <f t="shared" ca="1" si="18"/>
        <v>0</v>
      </c>
      <c r="I318">
        <f t="shared" ca="1" si="19"/>
        <v>0</v>
      </c>
    </row>
    <row r="319" spans="5:9" x14ac:dyDescent="0.75">
      <c r="E319">
        <v>313</v>
      </c>
      <c r="F319">
        <f t="shared" ca="1" si="16"/>
        <v>0.13144990466568957</v>
      </c>
      <c r="G319">
        <f t="shared" ca="1" si="17"/>
        <v>105.79044113702591</v>
      </c>
      <c r="H319">
        <f t="shared" ca="1" si="18"/>
        <v>5.7904411370259083</v>
      </c>
      <c r="I319">
        <f t="shared" ca="1" si="19"/>
        <v>5.5080379903784147</v>
      </c>
    </row>
    <row r="320" spans="5:9" x14ac:dyDescent="0.75">
      <c r="E320">
        <v>314</v>
      </c>
      <c r="F320">
        <f t="shared" ca="1" si="16"/>
        <v>0.83060611355696601</v>
      </c>
      <c r="G320">
        <f t="shared" ca="1" si="17"/>
        <v>121.66743849630232</v>
      </c>
      <c r="H320">
        <f t="shared" ca="1" si="18"/>
        <v>21.667438496302324</v>
      </c>
      <c r="I320">
        <f t="shared" ca="1" si="19"/>
        <v>20.610705051242277</v>
      </c>
    </row>
    <row r="321" spans="5:9" x14ac:dyDescent="0.75">
      <c r="E321">
        <v>315</v>
      </c>
      <c r="F321">
        <f t="shared" ca="1" si="16"/>
        <v>-1.4819185120667997</v>
      </c>
      <c r="G321">
        <f t="shared" ca="1" si="17"/>
        <v>76.614509937136248</v>
      </c>
      <c r="H321">
        <f t="shared" ca="1" si="18"/>
        <v>0</v>
      </c>
      <c r="I321">
        <f t="shared" ca="1" si="19"/>
        <v>0</v>
      </c>
    </row>
    <row r="322" spans="5:9" x14ac:dyDescent="0.75">
      <c r="E322">
        <v>316</v>
      </c>
      <c r="F322">
        <f t="shared" ca="1" si="16"/>
        <v>-0.17159331285001242</v>
      </c>
      <c r="G322">
        <f t="shared" ca="1" si="17"/>
        <v>99.569064944322363</v>
      </c>
      <c r="H322">
        <f t="shared" ca="1" si="18"/>
        <v>0</v>
      </c>
      <c r="I322">
        <f t="shared" ca="1" si="19"/>
        <v>0</v>
      </c>
    </row>
    <row r="323" spans="5:9" x14ac:dyDescent="0.75">
      <c r="E323">
        <v>317</v>
      </c>
      <c r="F323">
        <f t="shared" ca="1" si="16"/>
        <v>-1.1638235583665082</v>
      </c>
      <c r="G323">
        <f t="shared" ca="1" si="17"/>
        <v>81.647032476375273</v>
      </c>
      <c r="H323">
        <f t="shared" ca="1" si="18"/>
        <v>0</v>
      </c>
      <c r="I323">
        <f t="shared" ca="1" si="19"/>
        <v>0</v>
      </c>
    </row>
    <row r="324" spans="5:9" x14ac:dyDescent="0.75">
      <c r="E324">
        <v>318</v>
      </c>
      <c r="F324">
        <f t="shared" ca="1" si="16"/>
        <v>1.9779117776415078</v>
      </c>
      <c r="G324">
        <f t="shared" ca="1" si="17"/>
        <v>153.04814445217511</v>
      </c>
      <c r="H324">
        <f t="shared" ca="1" si="18"/>
        <v>53.048144452175109</v>
      </c>
      <c r="I324">
        <f t="shared" ca="1" si="19"/>
        <v>50.460955918073275</v>
      </c>
    </row>
    <row r="325" spans="5:9" x14ac:dyDescent="0.75">
      <c r="E325">
        <v>319</v>
      </c>
      <c r="F325">
        <f t="shared" ca="1" si="16"/>
        <v>-2.5921612595797034</v>
      </c>
      <c r="G325">
        <f t="shared" ca="1" si="17"/>
        <v>61.35875913007397</v>
      </c>
      <c r="H325">
        <f t="shared" ca="1" si="18"/>
        <v>0</v>
      </c>
      <c r="I325">
        <f t="shared" ca="1" si="19"/>
        <v>0</v>
      </c>
    </row>
    <row r="326" spans="5:9" x14ac:dyDescent="0.75">
      <c r="E326">
        <v>320</v>
      </c>
      <c r="F326">
        <f t="shared" ca="1" si="16"/>
        <v>0.43200719633138396</v>
      </c>
      <c r="G326">
        <f t="shared" ca="1" si="17"/>
        <v>112.34467772716543</v>
      </c>
      <c r="H326">
        <f t="shared" ca="1" si="18"/>
        <v>12.344677727165433</v>
      </c>
      <c r="I326">
        <f t="shared" ca="1" si="19"/>
        <v>11.742620690058358</v>
      </c>
    </row>
    <row r="327" spans="5:9" x14ac:dyDescent="0.75">
      <c r="E327">
        <v>321</v>
      </c>
      <c r="F327">
        <f t="shared" ca="1" si="16"/>
        <v>-5.5648914747782356E-3</v>
      </c>
      <c r="G327">
        <f t="shared" ca="1" si="17"/>
        <v>102.9308298409251</v>
      </c>
      <c r="H327">
        <f t="shared" ca="1" si="18"/>
        <v>2.9308298409250995</v>
      </c>
      <c r="I327">
        <f t="shared" ca="1" si="19"/>
        <v>2.7878915828927018</v>
      </c>
    </row>
    <row r="328" spans="5:9" x14ac:dyDescent="0.75">
      <c r="E328">
        <v>322</v>
      </c>
      <c r="F328">
        <f t="shared" ref="F328:F391" ca="1" si="20">NORMINV(RAND(), 0,1)</f>
        <v>-1.2711138689119863</v>
      </c>
      <c r="G328">
        <f t="shared" ref="G328:G391" ca="1" si="21">$C$5*EXP(($C$6-0.5*$C$7^2)*$C$8+$C$7*SQRT($C$8)*F328)</f>
        <v>79.91370877463504</v>
      </c>
      <c r="H328">
        <f t="shared" ref="H328:H391" ca="1" si="22">MAX(G328-$C$9,0)</f>
        <v>0</v>
      </c>
      <c r="I328">
        <f t="shared" ref="I328:I391" ca="1" si="23">EXP(-$C$6*$C$8)*H328</f>
        <v>0</v>
      </c>
    </row>
    <row r="329" spans="5:9" x14ac:dyDescent="0.75">
      <c r="E329">
        <v>323</v>
      </c>
      <c r="F329">
        <f t="shared" ca="1" si="20"/>
        <v>-0.34210886952835501</v>
      </c>
      <c r="G329">
        <f t="shared" ca="1" si="21"/>
        <v>96.230697931209846</v>
      </c>
      <c r="H329">
        <f t="shared" ca="1" si="22"/>
        <v>0</v>
      </c>
      <c r="I329">
        <f t="shared" ca="1" si="23"/>
        <v>0</v>
      </c>
    </row>
    <row r="330" spans="5:9" x14ac:dyDescent="0.75">
      <c r="E330">
        <v>324</v>
      </c>
      <c r="F330">
        <f t="shared" ca="1" si="20"/>
        <v>-1.7167708289113102</v>
      </c>
      <c r="G330">
        <f t="shared" ca="1" si="21"/>
        <v>73.099097472773607</v>
      </c>
      <c r="H330">
        <f t="shared" ca="1" si="22"/>
        <v>0</v>
      </c>
      <c r="I330">
        <f t="shared" ca="1" si="23"/>
        <v>0</v>
      </c>
    </row>
    <row r="331" spans="5:9" x14ac:dyDescent="0.75">
      <c r="E331">
        <v>325</v>
      </c>
      <c r="F331">
        <f t="shared" ca="1" si="20"/>
        <v>-1.6438995411301132</v>
      </c>
      <c r="G331">
        <f t="shared" ca="1" si="21"/>
        <v>74.172263852297348</v>
      </c>
      <c r="H331">
        <f t="shared" ca="1" si="22"/>
        <v>0</v>
      </c>
      <c r="I331">
        <f t="shared" ca="1" si="23"/>
        <v>0</v>
      </c>
    </row>
    <row r="332" spans="5:9" x14ac:dyDescent="0.75">
      <c r="E332">
        <v>326</v>
      </c>
      <c r="F332">
        <f t="shared" ca="1" si="20"/>
        <v>-0.13189262717644012</v>
      </c>
      <c r="G332">
        <f t="shared" ca="1" si="21"/>
        <v>100.36280400268825</v>
      </c>
      <c r="H332">
        <f t="shared" ca="1" si="22"/>
        <v>0.36280400268825019</v>
      </c>
      <c r="I332">
        <f t="shared" ca="1" si="23"/>
        <v>0.34510984268369971</v>
      </c>
    </row>
    <row r="333" spans="5:9" x14ac:dyDescent="0.75">
      <c r="E333">
        <v>327</v>
      </c>
      <c r="F333">
        <f t="shared" ca="1" si="20"/>
        <v>-0.54411755495720315</v>
      </c>
      <c r="G333">
        <f t="shared" ca="1" si="21"/>
        <v>92.420302172723694</v>
      </c>
      <c r="H333">
        <f t="shared" ca="1" si="22"/>
        <v>0</v>
      </c>
      <c r="I333">
        <f t="shared" ca="1" si="23"/>
        <v>0</v>
      </c>
    </row>
    <row r="334" spans="5:9" x14ac:dyDescent="0.75">
      <c r="E334">
        <v>328</v>
      </c>
      <c r="F334">
        <f t="shared" ca="1" si="20"/>
        <v>-0.67256886610903355</v>
      </c>
      <c r="G334">
        <f t="shared" ca="1" si="21"/>
        <v>90.076239092123942</v>
      </c>
      <c r="H334">
        <f t="shared" ca="1" si="22"/>
        <v>0</v>
      </c>
      <c r="I334">
        <f t="shared" ca="1" si="23"/>
        <v>0</v>
      </c>
    </row>
    <row r="335" spans="5:9" x14ac:dyDescent="0.75">
      <c r="E335">
        <v>329</v>
      </c>
      <c r="F335">
        <f t="shared" ca="1" si="20"/>
        <v>-1.0249362208489259</v>
      </c>
      <c r="G335">
        <f t="shared" ca="1" si="21"/>
        <v>83.946772880873183</v>
      </c>
      <c r="H335">
        <f t="shared" ca="1" si="22"/>
        <v>0</v>
      </c>
      <c r="I335">
        <f t="shared" ca="1" si="23"/>
        <v>0</v>
      </c>
    </row>
    <row r="336" spans="5:9" x14ac:dyDescent="0.75">
      <c r="E336">
        <v>330</v>
      </c>
      <c r="F336">
        <f t="shared" ca="1" si="20"/>
        <v>-0.99047777549798588</v>
      </c>
      <c r="G336">
        <f t="shared" ca="1" si="21"/>
        <v>84.527306067403629</v>
      </c>
      <c r="H336">
        <f t="shared" ca="1" si="22"/>
        <v>0</v>
      </c>
      <c r="I336">
        <f t="shared" ca="1" si="23"/>
        <v>0</v>
      </c>
    </row>
    <row r="337" spans="5:9" x14ac:dyDescent="0.75">
      <c r="E337">
        <v>331</v>
      </c>
      <c r="F337">
        <f t="shared" ca="1" si="20"/>
        <v>0.15055706170205169</v>
      </c>
      <c r="G337">
        <f t="shared" ca="1" si="21"/>
        <v>106.19548548305227</v>
      </c>
      <c r="H337">
        <f t="shared" ca="1" si="22"/>
        <v>6.1954854830522663</v>
      </c>
      <c r="I337">
        <f t="shared" ca="1" si="23"/>
        <v>5.8933280905463352</v>
      </c>
    </row>
    <row r="338" spans="5:9" x14ac:dyDescent="0.75">
      <c r="E338">
        <v>332</v>
      </c>
      <c r="F338">
        <f t="shared" ca="1" si="20"/>
        <v>0.47361574202663137</v>
      </c>
      <c r="G338">
        <f t="shared" ca="1" si="21"/>
        <v>113.28347825326898</v>
      </c>
      <c r="H338">
        <f t="shared" ca="1" si="22"/>
        <v>13.283478253268981</v>
      </c>
      <c r="I338">
        <f t="shared" ca="1" si="23"/>
        <v>12.635635374224803</v>
      </c>
    </row>
    <row r="339" spans="5:9" x14ac:dyDescent="0.75">
      <c r="E339">
        <v>333</v>
      </c>
      <c r="F339">
        <f t="shared" ca="1" si="20"/>
        <v>1.2060772242067312</v>
      </c>
      <c r="G339">
        <f t="shared" ca="1" si="21"/>
        <v>131.15576082686601</v>
      </c>
      <c r="H339">
        <f t="shared" ca="1" si="22"/>
        <v>31.155760826866015</v>
      </c>
      <c r="I339">
        <f t="shared" ca="1" si="23"/>
        <v>29.63627644122165</v>
      </c>
    </row>
    <row r="340" spans="5:9" x14ac:dyDescent="0.75">
      <c r="E340">
        <v>334</v>
      </c>
      <c r="F340">
        <f t="shared" ca="1" si="20"/>
        <v>-1.0300468218895882</v>
      </c>
      <c r="G340">
        <f t="shared" ca="1" si="21"/>
        <v>83.861013023811921</v>
      </c>
      <c r="H340">
        <f t="shared" ca="1" si="22"/>
        <v>0</v>
      </c>
      <c r="I340">
        <f t="shared" ca="1" si="23"/>
        <v>0</v>
      </c>
    </row>
    <row r="341" spans="5:9" x14ac:dyDescent="0.75">
      <c r="E341">
        <v>335</v>
      </c>
      <c r="F341">
        <f t="shared" ca="1" si="20"/>
        <v>-9.0305187155175687E-2</v>
      </c>
      <c r="G341">
        <f t="shared" ca="1" si="21"/>
        <v>101.20105164587771</v>
      </c>
      <c r="H341">
        <f t="shared" ca="1" si="22"/>
        <v>1.2010516458777118</v>
      </c>
      <c r="I341">
        <f t="shared" ca="1" si="23"/>
        <v>1.1424756659038913</v>
      </c>
    </row>
    <row r="342" spans="5:9" x14ac:dyDescent="0.75">
      <c r="E342">
        <v>336</v>
      </c>
      <c r="F342">
        <f t="shared" ca="1" si="20"/>
        <v>0.28955493223427442</v>
      </c>
      <c r="G342">
        <f t="shared" ca="1" si="21"/>
        <v>109.18909246114714</v>
      </c>
      <c r="H342">
        <f t="shared" ca="1" si="22"/>
        <v>9.1890924611471405</v>
      </c>
      <c r="I342">
        <f t="shared" ca="1" si="23"/>
        <v>8.7409351335008445</v>
      </c>
    </row>
    <row r="343" spans="5:9" x14ac:dyDescent="0.75">
      <c r="E343">
        <v>337</v>
      </c>
      <c r="F343">
        <f t="shared" ca="1" si="20"/>
        <v>-0.11066527957310361</v>
      </c>
      <c r="G343">
        <f t="shared" ca="1" si="21"/>
        <v>100.78979697958117</v>
      </c>
      <c r="H343">
        <f t="shared" ca="1" si="22"/>
        <v>0.78979697958116901</v>
      </c>
      <c r="I343">
        <f t="shared" ca="1" si="23"/>
        <v>0.75127812635939761</v>
      </c>
    </row>
    <row r="344" spans="5:9" x14ac:dyDescent="0.75">
      <c r="E344">
        <v>338</v>
      </c>
      <c r="F344">
        <f t="shared" ca="1" si="20"/>
        <v>-0.46303111411605824</v>
      </c>
      <c r="G344">
        <f t="shared" ca="1" si="21"/>
        <v>93.931328100542828</v>
      </c>
      <c r="H344">
        <f t="shared" ca="1" si="22"/>
        <v>0</v>
      </c>
      <c r="I344">
        <f t="shared" ca="1" si="23"/>
        <v>0</v>
      </c>
    </row>
    <row r="345" spans="5:9" x14ac:dyDescent="0.75">
      <c r="E345">
        <v>339</v>
      </c>
      <c r="F345">
        <f t="shared" ca="1" si="20"/>
        <v>-0.95511854364149507</v>
      </c>
      <c r="G345">
        <f t="shared" ca="1" si="21"/>
        <v>85.127188829398946</v>
      </c>
      <c r="H345">
        <f t="shared" ca="1" si="22"/>
        <v>0</v>
      </c>
      <c r="I345">
        <f t="shared" ca="1" si="23"/>
        <v>0</v>
      </c>
    </row>
    <row r="346" spans="5:9" x14ac:dyDescent="0.75">
      <c r="E346">
        <v>340</v>
      </c>
      <c r="F346">
        <f t="shared" ca="1" si="20"/>
        <v>-0.67235024847552949</v>
      </c>
      <c r="G346">
        <f t="shared" ca="1" si="21"/>
        <v>90.080177629071727</v>
      </c>
      <c r="H346">
        <f t="shared" ca="1" si="22"/>
        <v>0</v>
      </c>
      <c r="I346">
        <f t="shared" ca="1" si="23"/>
        <v>0</v>
      </c>
    </row>
    <row r="347" spans="5:9" x14ac:dyDescent="0.75">
      <c r="E347">
        <v>341</v>
      </c>
      <c r="F347">
        <f t="shared" ca="1" si="20"/>
        <v>-1.0360847876936301</v>
      </c>
      <c r="G347">
        <f t="shared" ca="1" si="21"/>
        <v>83.75980415989109</v>
      </c>
      <c r="H347">
        <f t="shared" ca="1" si="22"/>
        <v>0</v>
      </c>
      <c r="I347">
        <f t="shared" ca="1" si="23"/>
        <v>0</v>
      </c>
    </row>
    <row r="348" spans="5:9" x14ac:dyDescent="0.75">
      <c r="E348">
        <v>342</v>
      </c>
      <c r="F348">
        <f t="shared" ca="1" si="20"/>
        <v>-0.51512817288717261</v>
      </c>
      <c r="G348">
        <f t="shared" ca="1" si="21"/>
        <v>92.957700040676457</v>
      </c>
      <c r="H348">
        <f t="shared" ca="1" si="22"/>
        <v>0</v>
      </c>
      <c r="I348">
        <f t="shared" ca="1" si="23"/>
        <v>0</v>
      </c>
    </row>
    <row r="349" spans="5:9" x14ac:dyDescent="0.75">
      <c r="E349">
        <v>343</v>
      </c>
      <c r="F349">
        <f t="shared" ca="1" si="20"/>
        <v>0.52248204101780293</v>
      </c>
      <c r="G349">
        <f t="shared" ca="1" si="21"/>
        <v>114.39605501215854</v>
      </c>
      <c r="H349">
        <f t="shared" ca="1" si="22"/>
        <v>14.396055012158541</v>
      </c>
      <c r="I349">
        <f t="shared" ca="1" si="23"/>
        <v>13.69395112429619</v>
      </c>
    </row>
    <row r="350" spans="5:9" x14ac:dyDescent="0.75">
      <c r="E350">
        <v>344</v>
      </c>
      <c r="F350">
        <f t="shared" ca="1" si="20"/>
        <v>0.10242902001064365</v>
      </c>
      <c r="G350">
        <f t="shared" ca="1" si="21"/>
        <v>105.1781932154952</v>
      </c>
      <c r="H350">
        <f t="shared" ca="1" si="22"/>
        <v>5.1781932154951988</v>
      </c>
      <c r="I350">
        <f t="shared" ca="1" si="23"/>
        <v>4.9256497523289999</v>
      </c>
    </row>
    <row r="351" spans="5:9" x14ac:dyDescent="0.75">
      <c r="E351">
        <v>345</v>
      </c>
      <c r="F351">
        <f t="shared" ca="1" si="20"/>
        <v>2.5093314336391113</v>
      </c>
      <c r="G351">
        <f t="shared" ca="1" si="21"/>
        <v>170.21059639918846</v>
      </c>
      <c r="H351">
        <f t="shared" ca="1" si="22"/>
        <v>70.210596399188461</v>
      </c>
      <c r="I351">
        <f t="shared" ca="1" si="23"/>
        <v>66.786385206651943</v>
      </c>
    </row>
    <row r="352" spans="5:9" x14ac:dyDescent="0.75">
      <c r="E352">
        <v>346</v>
      </c>
      <c r="F352">
        <f t="shared" ca="1" si="20"/>
        <v>-1.4866627748305035E-2</v>
      </c>
      <c r="G352">
        <f t="shared" ca="1" si="21"/>
        <v>102.73952076004269</v>
      </c>
      <c r="H352">
        <f t="shared" ca="1" si="22"/>
        <v>2.7395207600426943</v>
      </c>
      <c r="I352">
        <f t="shared" ca="1" si="23"/>
        <v>2.6059127559831707</v>
      </c>
    </row>
    <row r="353" spans="5:9" x14ac:dyDescent="0.75">
      <c r="E353">
        <v>347</v>
      </c>
      <c r="F353">
        <f t="shared" ca="1" si="20"/>
        <v>2.2026397035798575</v>
      </c>
      <c r="G353">
        <f t="shared" ca="1" si="21"/>
        <v>160.08391183128327</v>
      </c>
      <c r="H353">
        <f t="shared" ca="1" si="22"/>
        <v>60.083911831283274</v>
      </c>
      <c r="I353">
        <f t="shared" ca="1" si="23"/>
        <v>57.153584873023227</v>
      </c>
    </row>
    <row r="354" spans="5:9" x14ac:dyDescent="0.75">
      <c r="E354">
        <v>348</v>
      </c>
      <c r="F354">
        <f t="shared" ca="1" si="20"/>
        <v>-1.9050251445750237</v>
      </c>
      <c r="G354">
        <f t="shared" ca="1" si="21"/>
        <v>70.398021359005995</v>
      </c>
      <c r="H354">
        <f t="shared" ca="1" si="22"/>
        <v>0</v>
      </c>
      <c r="I354">
        <f t="shared" ca="1" si="23"/>
        <v>0</v>
      </c>
    </row>
    <row r="355" spans="5:9" x14ac:dyDescent="0.75">
      <c r="E355">
        <v>349</v>
      </c>
      <c r="F355">
        <f t="shared" ca="1" si="20"/>
        <v>-0.32058986939279782</v>
      </c>
      <c r="G355">
        <f t="shared" ca="1" si="21"/>
        <v>96.645748117422684</v>
      </c>
      <c r="H355">
        <f t="shared" ca="1" si="22"/>
        <v>0</v>
      </c>
      <c r="I355">
        <f t="shared" ca="1" si="23"/>
        <v>0</v>
      </c>
    </row>
    <row r="356" spans="5:9" x14ac:dyDescent="0.75">
      <c r="E356">
        <v>350</v>
      </c>
      <c r="F356">
        <f t="shared" ca="1" si="20"/>
        <v>-6.3613379635820561E-2</v>
      </c>
      <c r="G356">
        <f t="shared" ca="1" si="21"/>
        <v>101.74274403259422</v>
      </c>
      <c r="H356">
        <f t="shared" ca="1" si="22"/>
        <v>1.7427440325942172</v>
      </c>
      <c r="I356">
        <f t="shared" ca="1" si="23"/>
        <v>1.6577494031766509</v>
      </c>
    </row>
    <row r="357" spans="5:9" x14ac:dyDescent="0.75">
      <c r="E357">
        <v>351</v>
      </c>
      <c r="F357">
        <f t="shared" ca="1" si="20"/>
        <v>0.63660313184538841</v>
      </c>
      <c r="G357">
        <f t="shared" ca="1" si="21"/>
        <v>117.037080549138</v>
      </c>
      <c r="H357">
        <f t="shared" ca="1" si="22"/>
        <v>17.037080549137997</v>
      </c>
      <c r="I357">
        <f t="shared" ca="1" si="23"/>
        <v>16.206172325928847</v>
      </c>
    </row>
    <row r="358" spans="5:9" x14ac:dyDescent="0.75">
      <c r="E358">
        <v>352</v>
      </c>
      <c r="F358">
        <f t="shared" ca="1" si="20"/>
        <v>0.21757085502246504</v>
      </c>
      <c r="G358">
        <f t="shared" ca="1" si="21"/>
        <v>107.6283788586228</v>
      </c>
      <c r="H358">
        <f t="shared" ca="1" si="22"/>
        <v>7.6283788586227956</v>
      </c>
      <c r="I358">
        <f t="shared" ca="1" si="23"/>
        <v>7.2563384315611756</v>
      </c>
    </row>
    <row r="359" spans="5:9" x14ac:dyDescent="0.75">
      <c r="E359">
        <v>353</v>
      </c>
      <c r="F359">
        <f t="shared" ca="1" si="20"/>
        <v>-0.93389358282276236</v>
      </c>
      <c r="G359">
        <f t="shared" ca="1" si="21"/>
        <v>85.489321159552773</v>
      </c>
      <c r="H359">
        <f t="shared" ca="1" si="22"/>
        <v>0</v>
      </c>
      <c r="I359">
        <f t="shared" ca="1" si="23"/>
        <v>0</v>
      </c>
    </row>
    <row r="360" spans="5:9" x14ac:dyDescent="0.75">
      <c r="E360">
        <v>354</v>
      </c>
      <c r="F360">
        <f t="shared" ca="1" si="20"/>
        <v>-0.372400418336225</v>
      </c>
      <c r="G360">
        <f t="shared" ca="1" si="21"/>
        <v>95.649464976964353</v>
      </c>
      <c r="H360">
        <f t="shared" ca="1" si="22"/>
        <v>0</v>
      </c>
      <c r="I360">
        <f t="shared" ca="1" si="23"/>
        <v>0</v>
      </c>
    </row>
    <row r="361" spans="5:9" x14ac:dyDescent="0.75">
      <c r="E361">
        <v>355</v>
      </c>
      <c r="F361">
        <f t="shared" ca="1" si="20"/>
        <v>0.66820228617419741</v>
      </c>
      <c r="G361">
        <f t="shared" ca="1" si="21"/>
        <v>117.77907728052672</v>
      </c>
      <c r="H361">
        <f t="shared" ca="1" si="22"/>
        <v>17.779077280526721</v>
      </c>
      <c r="I361">
        <f t="shared" ca="1" si="23"/>
        <v>16.911981449709153</v>
      </c>
    </row>
    <row r="362" spans="5:9" x14ac:dyDescent="0.75">
      <c r="E362">
        <v>356</v>
      </c>
      <c r="F362">
        <f t="shared" ca="1" si="20"/>
        <v>1.0953605839541907</v>
      </c>
      <c r="G362">
        <f t="shared" ca="1" si="21"/>
        <v>128.28345436444525</v>
      </c>
      <c r="H362">
        <f t="shared" ca="1" si="22"/>
        <v>28.283454364445248</v>
      </c>
      <c r="I362">
        <f t="shared" ca="1" si="23"/>
        <v>26.904054017983462</v>
      </c>
    </row>
    <row r="363" spans="5:9" x14ac:dyDescent="0.75">
      <c r="E363">
        <v>357</v>
      </c>
      <c r="F363">
        <f t="shared" ca="1" si="20"/>
        <v>-0.46608585143616632</v>
      </c>
      <c r="G363">
        <f t="shared" ca="1" si="21"/>
        <v>93.873958520531801</v>
      </c>
      <c r="H363">
        <f t="shared" ca="1" si="22"/>
        <v>0</v>
      </c>
      <c r="I363">
        <f t="shared" ca="1" si="23"/>
        <v>0</v>
      </c>
    </row>
    <row r="364" spans="5:9" x14ac:dyDescent="0.75">
      <c r="E364">
        <v>358</v>
      </c>
      <c r="F364">
        <f t="shared" ca="1" si="20"/>
        <v>0.90928423385165857</v>
      </c>
      <c r="G364">
        <f t="shared" ca="1" si="21"/>
        <v>123.59709391818974</v>
      </c>
      <c r="H364">
        <f t="shared" ca="1" si="22"/>
        <v>23.597093918189742</v>
      </c>
      <c r="I364">
        <f t="shared" ca="1" si="23"/>
        <v>22.446250067688926</v>
      </c>
    </row>
    <row r="365" spans="5:9" x14ac:dyDescent="0.75">
      <c r="E365">
        <v>359</v>
      </c>
      <c r="F365">
        <f t="shared" ca="1" si="20"/>
        <v>0.51120124929495803</v>
      </c>
      <c r="G365">
        <f t="shared" ca="1" si="21"/>
        <v>114.13825033150538</v>
      </c>
      <c r="H365">
        <f t="shared" ca="1" si="22"/>
        <v>14.138250331505375</v>
      </c>
      <c r="I365">
        <f t="shared" ca="1" si="23"/>
        <v>13.448719726284887</v>
      </c>
    </row>
    <row r="366" spans="5:9" x14ac:dyDescent="0.75">
      <c r="E366">
        <v>360</v>
      </c>
      <c r="F366">
        <f t="shared" ca="1" si="20"/>
        <v>1.0839205958517419</v>
      </c>
      <c r="G366">
        <f t="shared" ca="1" si="21"/>
        <v>127.99027764782289</v>
      </c>
      <c r="H366">
        <f t="shared" ca="1" si="22"/>
        <v>27.990277647822893</v>
      </c>
      <c r="I366">
        <f t="shared" ca="1" si="23"/>
        <v>26.625175698553768</v>
      </c>
    </row>
    <row r="367" spans="5:9" x14ac:dyDescent="0.75">
      <c r="E367">
        <v>361</v>
      </c>
      <c r="F367">
        <f t="shared" ca="1" si="20"/>
        <v>-1.2077499512747361</v>
      </c>
      <c r="G367">
        <f t="shared" ca="1" si="21"/>
        <v>80.932882148732006</v>
      </c>
      <c r="H367">
        <f t="shared" ca="1" si="22"/>
        <v>0</v>
      </c>
      <c r="I367">
        <f t="shared" ca="1" si="23"/>
        <v>0</v>
      </c>
    </row>
    <row r="368" spans="5:9" x14ac:dyDescent="0.75">
      <c r="E368">
        <v>362</v>
      </c>
      <c r="F368">
        <f t="shared" ca="1" si="20"/>
        <v>-1.6887952556514703</v>
      </c>
      <c r="G368">
        <f t="shared" ca="1" si="21"/>
        <v>73.509241635923942</v>
      </c>
      <c r="H368">
        <f t="shared" ca="1" si="22"/>
        <v>0</v>
      </c>
      <c r="I368">
        <f t="shared" ca="1" si="23"/>
        <v>0</v>
      </c>
    </row>
    <row r="369" spans="5:9" x14ac:dyDescent="0.75">
      <c r="E369">
        <v>363</v>
      </c>
      <c r="F369">
        <f t="shared" ca="1" si="20"/>
        <v>1.1095730576486076</v>
      </c>
      <c r="G369">
        <f t="shared" ca="1" si="21"/>
        <v>128.64861815076256</v>
      </c>
      <c r="H369">
        <f t="shared" ca="1" si="22"/>
        <v>28.648618150762559</v>
      </c>
      <c r="I369">
        <f t="shared" ca="1" si="23"/>
        <v>27.251408556290578</v>
      </c>
    </row>
    <row r="370" spans="5:9" x14ac:dyDescent="0.75">
      <c r="E370">
        <v>364</v>
      </c>
      <c r="F370">
        <f t="shared" ca="1" si="20"/>
        <v>-1.5305829243115001</v>
      </c>
      <c r="G370">
        <f t="shared" ca="1" si="21"/>
        <v>75.872446981690075</v>
      </c>
      <c r="H370">
        <f t="shared" ca="1" si="22"/>
        <v>0</v>
      </c>
      <c r="I370">
        <f t="shared" ca="1" si="23"/>
        <v>0</v>
      </c>
    </row>
    <row r="371" spans="5:9" x14ac:dyDescent="0.75">
      <c r="E371">
        <v>365</v>
      </c>
      <c r="F371">
        <f t="shared" ca="1" si="20"/>
        <v>1.1469113061030662</v>
      </c>
      <c r="G371">
        <f t="shared" ca="1" si="21"/>
        <v>129.6129170061177</v>
      </c>
      <c r="H371">
        <f t="shared" ca="1" si="22"/>
        <v>29.612917006117698</v>
      </c>
      <c r="I371">
        <f t="shared" ca="1" si="23"/>
        <v>28.168678001516746</v>
      </c>
    </row>
    <row r="372" spans="5:9" x14ac:dyDescent="0.75">
      <c r="E372">
        <v>366</v>
      </c>
      <c r="F372">
        <f t="shared" ca="1" si="20"/>
        <v>-1.4578857787033102</v>
      </c>
      <c r="G372">
        <f t="shared" ca="1" si="21"/>
        <v>76.983647582937934</v>
      </c>
      <c r="H372">
        <f t="shared" ca="1" si="22"/>
        <v>0</v>
      </c>
      <c r="I372">
        <f t="shared" ca="1" si="23"/>
        <v>0</v>
      </c>
    </row>
    <row r="373" spans="5:9" x14ac:dyDescent="0.75">
      <c r="E373">
        <v>367</v>
      </c>
      <c r="F373">
        <f t="shared" ca="1" si="20"/>
        <v>-0.6654193976749192</v>
      </c>
      <c r="G373">
        <f t="shared" ca="1" si="21"/>
        <v>90.205130666397764</v>
      </c>
      <c r="H373">
        <f t="shared" ca="1" si="22"/>
        <v>0</v>
      </c>
      <c r="I373">
        <f t="shared" ca="1" si="23"/>
        <v>0</v>
      </c>
    </row>
    <row r="374" spans="5:9" x14ac:dyDescent="0.75">
      <c r="E374">
        <v>368</v>
      </c>
      <c r="F374">
        <f t="shared" ca="1" si="20"/>
        <v>0.44231673517869602</v>
      </c>
      <c r="G374">
        <f t="shared" ca="1" si="21"/>
        <v>112.57656106990821</v>
      </c>
      <c r="H374">
        <f t="shared" ca="1" si="22"/>
        <v>12.576561069908209</v>
      </c>
      <c r="I374">
        <f t="shared" ca="1" si="23"/>
        <v>11.963194948726869</v>
      </c>
    </row>
    <row r="375" spans="5:9" x14ac:dyDescent="0.75">
      <c r="E375">
        <v>369</v>
      </c>
      <c r="F375">
        <f t="shared" ca="1" si="20"/>
        <v>-0.11450499634921164</v>
      </c>
      <c r="G375">
        <f t="shared" ca="1" si="21"/>
        <v>100.71242583684641</v>
      </c>
      <c r="H375">
        <f t="shared" ca="1" si="22"/>
        <v>0.71242583684640692</v>
      </c>
      <c r="I375">
        <f t="shared" ca="1" si="23"/>
        <v>0.67768041878284724</v>
      </c>
    </row>
    <row r="376" spans="5:9" x14ac:dyDescent="0.75">
      <c r="E376">
        <v>370</v>
      </c>
      <c r="F376">
        <f t="shared" ca="1" si="20"/>
        <v>0.435830784360344</v>
      </c>
      <c r="G376">
        <f t="shared" ca="1" si="21"/>
        <v>112.43062253770697</v>
      </c>
      <c r="H376">
        <f t="shared" ca="1" si="22"/>
        <v>12.430622537706967</v>
      </c>
      <c r="I376">
        <f t="shared" ca="1" si="23"/>
        <v>11.824373922728602</v>
      </c>
    </row>
    <row r="377" spans="5:9" x14ac:dyDescent="0.75">
      <c r="E377">
        <v>371</v>
      </c>
      <c r="F377">
        <f t="shared" ca="1" si="20"/>
        <v>-0.33695338462166674</v>
      </c>
      <c r="G377">
        <f t="shared" ca="1" si="21"/>
        <v>96.329972285306752</v>
      </c>
      <c r="H377">
        <f t="shared" ca="1" si="22"/>
        <v>0</v>
      </c>
      <c r="I377">
        <f t="shared" ca="1" si="23"/>
        <v>0</v>
      </c>
    </row>
    <row r="378" spans="5:9" x14ac:dyDescent="0.75">
      <c r="E378">
        <v>372</v>
      </c>
      <c r="F378">
        <f t="shared" ca="1" si="20"/>
        <v>-0.74312300889202654</v>
      </c>
      <c r="G378">
        <f t="shared" ca="1" si="21"/>
        <v>88.814114479593812</v>
      </c>
      <c r="H378">
        <f t="shared" ca="1" si="22"/>
        <v>0</v>
      </c>
      <c r="I378">
        <f t="shared" ca="1" si="23"/>
        <v>0</v>
      </c>
    </row>
    <row r="379" spans="5:9" x14ac:dyDescent="0.75">
      <c r="E379">
        <v>373</v>
      </c>
      <c r="F379">
        <f t="shared" ca="1" si="20"/>
        <v>-0.36541135368038258</v>
      </c>
      <c r="G379">
        <f t="shared" ca="1" si="21"/>
        <v>95.783258523358398</v>
      </c>
      <c r="H379">
        <f t="shared" ca="1" si="22"/>
        <v>0</v>
      </c>
      <c r="I379">
        <f t="shared" ca="1" si="23"/>
        <v>0</v>
      </c>
    </row>
    <row r="380" spans="5:9" x14ac:dyDescent="0.75">
      <c r="E380">
        <v>374</v>
      </c>
      <c r="F380">
        <f t="shared" ca="1" si="20"/>
        <v>-0.51995902986372611</v>
      </c>
      <c r="G380">
        <f t="shared" ca="1" si="21"/>
        <v>92.867930343363383</v>
      </c>
      <c r="H380">
        <f t="shared" ca="1" si="22"/>
        <v>0</v>
      </c>
      <c r="I380">
        <f t="shared" ca="1" si="23"/>
        <v>0</v>
      </c>
    </row>
    <row r="381" spans="5:9" x14ac:dyDescent="0.75">
      <c r="E381">
        <v>375</v>
      </c>
      <c r="F381">
        <f t="shared" ca="1" si="20"/>
        <v>0.58373923153061547</v>
      </c>
      <c r="G381">
        <f t="shared" ca="1" si="21"/>
        <v>115.80619166210981</v>
      </c>
      <c r="H381">
        <f t="shared" ca="1" si="22"/>
        <v>15.806191662109811</v>
      </c>
      <c r="I381">
        <f t="shared" ca="1" si="23"/>
        <v>15.035314598296699</v>
      </c>
    </row>
    <row r="382" spans="5:9" x14ac:dyDescent="0.75">
      <c r="E382">
        <v>376</v>
      </c>
      <c r="F382">
        <f t="shared" ca="1" si="20"/>
        <v>1.3515229353804921</v>
      </c>
      <c r="G382">
        <f t="shared" ca="1" si="21"/>
        <v>135.02700197451253</v>
      </c>
      <c r="H382">
        <f t="shared" ca="1" si="22"/>
        <v>35.02700197451253</v>
      </c>
      <c r="I382">
        <f t="shared" ca="1" si="23"/>
        <v>33.318714930200926</v>
      </c>
    </row>
    <row r="383" spans="5:9" x14ac:dyDescent="0.75">
      <c r="E383">
        <v>377</v>
      </c>
      <c r="F383">
        <f t="shared" ca="1" si="20"/>
        <v>-1.0096700866364874</v>
      </c>
      <c r="G383">
        <f t="shared" ca="1" si="21"/>
        <v>84.203473103761368</v>
      </c>
      <c r="H383">
        <f t="shared" ca="1" si="22"/>
        <v>0</v>
      </c>
      <c r="I383">
        <f t="shared" ca="1" si="23"/>
        <v>0</v>
      </c>
    </row>
    <row r="384" spans="5:9" x14ac:dyDescent="0.75">
      <c r="E384">
        <v>378</v>
      </c>
      <c r="F384">
        <f t="shared" ca="1" si="20"/>
        <v>-0.99136009127701619</v>
      </c>
      <c r="G384">
        <f t="shared" ca="1" si="21"/>
        <v>84.512391428204054</v>
      </c>
      <c r="H384">
        <f t="shared" ca="1" si="22"/>
        <v>0</v>
      </c>
      <c r="I384">
        <f t="shared" ca="1" si="23"/>
        <v>0</v>
      </c>
    </row>
    <row r="385" spans="5:9" x14ac:dyDescent="0.75">
      <c r="E385">
        <v>379</v>
      </c>
      <c r="F385">
        <f t="shared" ca="1" si="20"/>
        <v>-0.44244871581184753</v>
      </c>
      <c r="G385">
        <f t="shared" ca="1" si="21"/>
        <v>94.318791447534764</v>
      </c>
      <c r="H385">
        <f t="shared" ca="1" si="22"/>
        <v>0</v>
      </c>
      <c r="I385">
        <f t="shared" ca="1" si="23"/>
        <v>0</v>
      </c>
    </row>
    <row r="386" spans="5:9" x14ac:dyDescent="0.75">
      <c r="E386">
        <v>380</v>
      </c>
      <c r="F386">
        <f t="shared" ca="1" si="20"/>
        <v>0.5631776152863448</v>
      </c>
      <c r="G386">
        <f t="shared" ca="1" si="21"/>
        <v>115.33093703785708</v>
      </c>
      <c r="H386">
        <f t="shared" ca="1" si="22"/>
        <v>15.330937037857083</v>
      </c>
      <c r="I386">
        <f t="shared" ca="1" si="23"/>
        <v>14.583238415577474</v>
      </c>
    </row>
    <row r="387" spans="5:9" x14ac:dyDescent="0.75">
      <c r="E387">
        <v>381</v>
      </c>
      <c r="F387">
        <f t="shared" ca="1" si="20"/>
        <v>-0.5529471449589578</v>
      </c>
      <c r="G387">
        <f t="shared" ca="1" si="21"/>
        <v>92.257239517533435</v>
      </c>
      <c r="H387">
        <f t="shared" ca="1" si="22"/>
        <v>0</v>
      </c>
      <c r="I387">
        <f t="shared" ca="1" si="23"/>
        <v>0</v>
      </c>
    </row>
    <row r="388" spans="5:9" x14ac:dyDescent="0.75">
      <c r="E388">
        <v>382</v>
      </c>
      <c r="F388">
        <f t="shared" ca="1" si="20"/>
        <v>-0.60753129605954326</v>
      </c>
      <c r="G388">
        <f t="shared" ca="1" si="21"/>
        <v>91.255560425522972</v>
      </c>
      <c r="H388">
        <f t="shared" ca="1" si="22"/>
        <v>0</v>
      </c>
      <c r="I388">
        <f t="shared" ca="1" si="23"/>
        <v>0</v>
      </c>
    </row>
    <row r="389" spans="5:9" x14ac:dyDescent="0.75">
      <c r="E389">
        <v>383</v>
      </c>
      <c r="F389">
        <f t="shared" ca="1" si="20"/>
        <v>-0.71447734054516143</v>
      </c>
      <c r="G389">
        <f t="shared" ca="1" si="21"/>
        <v>89.324402772329776</v>
      </c>
      <c r="H389">
        <f t="shared" ca="1" si="22"/>
        <v>0</v>
      </c>
      <c r="I389">
        <f t="shared" ca="1" si="23"/>
        <v>0</v>
      </c>
    </row>
    <row r="390" spans="5:9" x14ac:dyDescent="0.75">
      <c r="E390">
        <v>384</v>
      </c>
      <c r="F390">
        <f t="shared" ca="1" si="20"/>
        <v>0.12525139932183782</v>
      </c>
      <c r="G390">
        <f t="shared" ca="1" si="21"/>
        <v>105.6593738729823</v>
      </c>
      <c r="H390">
        <f t="shared" ca="1" si="22"/>
        <v>5.6593738729823002</v>
      </c>
      <c r="I390">
        <f t="shared" ca="1" si="23"/>
        <v>5.3833629522313302</v>
      </c>
    </row>
    <row r="391" spans="5:9" x14ac:dyDescent="0.75">
      <c r="E391">
        <v>385</v>
      </c>
      <c r="F391">
        <f t="shared" ca="1" si="20"/>
        <v>-0.30098978838346413</v>
      </c>
      <c r="G391">
        <f t="shared" ca="1" si="21"/>
        <v>97.025344541861728</v>
      </c>
      <c r="H391">
        <f t="shared" ca="1" si="22"/>
        <v>0</v>
      </c>
      <c r="I391">
        <f t="shared" ca="1" si="23"/>
        <v>0</v>
      </c>
    </row>
    <row r="392" spans="5:9" x14ac:dyDescent="0.75">
      <c r="E392">
        <v>386</v>
      </c>
      <c r="F392">
        <f t="shared" ref="F392:F455" ca="1" si="24">NORMINV(RAND(), 0,1)</f>
        <v>0.50991629636730373</v>
      </c>
      <c r="G392">
        <f t="shared" ref="G392:G455" ca="1" si="25">$C$5*EXP(($C$6-0.5*$C$7^2)*$C$8+$C$7*SQRT($C$8)*F392)</f>
        <v>114.10892164448086</v>
      </c>
      <c r="H392">
        <f t="shared" ref="H392:H455" ca="1" si="26">MAX(G392-$C$9,0)</f>
        <v>14.108921644480859</v>
      </c>
      <c r="I392">
        <f t="shared" ref="I392:I455" ca="1" si="27">EXP(-$C$6*$C$8)*H392</f>
        <v>13.420821416205195</v>
      </c>
    </row>
    <row r="393" spans="5:9" x14ac:dyDescent="0.75">
      <c r="E393">
        <v>387</v>
      </c>
      <c r="F393">
        <f t="shared" ca="1" si="24"/>
        <v>0.97344817271766848</v>
      </c>
      <c r="G393">
        <f t="shared" ca="1" si="25"/>
        <v>125.19340987902385</v>
      </c>
      <c r="H393">
        <f t="shared" ca="1" si="26"/>
        <v>25.193409879023847</v>
      </c>
      <c r="I393">
        <f t="shared" ca="1" si="27"/>
        <v>23.964712780434457</v>
      </c>
    </row>
    <row r="394" spans="5:9" x14ac:dyDescent="0.75">
      <c r="E394">
        <v>388</v>
      </c>
      <c r="F394">
        <f t="shared" ca="1" si="24"/>
        <v>0.29817068178471684</v>
      </c>
      <c r="G394">
        <f t="shared" ca="1" si="25"/>
        <v>109.3774038337714</v>
      </c>
      <c r="H394">
        <f t="shared" ca="1" si="26"/>
        <v>9.3774038337713961</v>
      </c>
      <c r="I394">
        <f t="shared" ca="1" si="27"/>
        <v>8.9200624521091552</v>
      </c>
    </row>
    <row r="395" spans="5:9" x14ac:dyDescent="0.75">
      <c r="E395">
        <v>389</v>
      </c>
      <c r="F395">
        <f t="shared" ca="1" si="24"/>
        <v>0.7581548980529218</v>
      </c>
      <c r="G395">
        <f t="shared" ca="1" si="25"/>
        <v>119.9171593452208</v>
      </c>
      <c r="H395">
        <f t="shared" ca="1" si="26"/>
        <v>19.917159345220796</v>
      </c>
      <c r="I395">
        <f t="shared" ca="1" si="27"/>
        <v>18.945788021643395</v>
      </c>
    </row>
    <row r="396" spans="5:9" x14ac:dyDescent="0.75">
      <c r="E396">
        <v>390</v>
      </c>
      <c r="F396">
        <f t="shared" ca="1" si="24"/>
        <v>-1.1859473391440971</v>
      </c>
      <c r="G396">
        <f t="shared" ca="1" si="25"/>
        <v>81.286562351169209</v>
      </c>
      <c r="H396">
        <f t="shared" ca="1" si="26"/>
        <v>0</v>
      </c>
      <c r="I396">
        <f t="shared" ca="1" si="27"/>
        <v>0</v>
      </c>
    </row>
    <row r="397" spans="5:9" x14ac:dyDescent="0.75">
      <c r="E397">
        <v>391</v>
      </c>
      <c r="F397">
        <f t="shared" ca="1" si="24"/>
        <v>-1.0087698380249344</v>
      </c>
      <c r="G397">
        <f t="shared" ca="1" si="25"/>
        <v>84.218635280643198</v>
      </c>
      <c r="H397">
        <f t="shared" ca="1" si="26"/>
        <v>0</v>
      </c>
      <c r="I397">
        <f t="shared" ca="1" si="27"/>
        <v>0</v>
      </c>
    </row>
    <row r="398" spans="5:9" x14ac:dyDescent="0.75">
      <c r="E398">
        <v>392</v>
      </c>
      <c r="F398">
        <f t="shared" ca="1" si="24"/>
        <v>-0.70255107082122292</v>
      </c>
      <c r="G398">
        <f t="shared" ca="1" si="25"/>
        <v>89.537718461315436</v>
      </c>
      <c r="H398">
        <f t="shared" ca="1" si="26"/>
        <v>0</v>
      </c>
      <c r="I398">
        <f t="shared" ca="1" si="27"/>
        <v>0</v>
      </c>
    </row>
    <row r="399" spans="5:9" x14ac:dyDescent="0.75">
      <c r="E399">
        <v>393</v>
      </c>
      <c r="F399">
        <f t="shared" ca="1" si="24"/>
        <v>-0.60195023349335752</v>
      </c>
      <c r="G399">
        <f t="shared" ca="1" si="25"/>
        <v>91.357477894167488</v>
      </c>
      <c r="H399">
        <f t="shared" ca="1" si="26"/>
        <v>0</v>
      </c>
      <c r="I399">
        <f t="shared" ca="1" si="27"/>
        <v>0</v>
      </c>
    </row>
    <row r="400" spans="5:9" x14ac:dyDescent="0.75">
      <c r="E400">
        <v>394</v>
      </c>
      <c r="F400">
        <f t="shared" ca="1" si="24"/>
        <v>-1.2413033390473749</v>
      </c>
      <c r="G400">
        <f t="shared" ca="1" si="25"/>
        <v>80.391585936600364</v>
      </c>
      <c r="H400">
        <f t="shared" ca="1" si="26"/>
        <v>0</v>
      </c>
      <c r="I400">
        <f t="shared" ca="1" si="27"/>
        <v>0</v>
      </c>
    </row>
    <row r="401" spans="5:9" x14ac:dyDescent="0.75">
      <c r="E401">
        <v>395</v>
      </c>
      <c r="F401">
        <f t="shared" ca="1" si="24"/>
        <v>-0.52689591328790475</v>
      </c>
      <c r="G401">
        <f t="shared" ca="1" si="25"/>
        <v>92.739176877466605</v>
      </c>
      <c r="H401">
        <f t="shared" ca="1" si="26"/>
        <v>0</v>
      </c>
      <c r="I401">
        <f t="shared" ca="1" si="27"/>
        <v>0</v>
      </c>
    </row>
    <row r="402" spans="5:9" x14ac:dyDescent="0.75">
      <c r="E402">
        <v>396</v>
      </c>
      <c r="F402">
        <f t="shared" ca="1" si="24"/>
        <v>0.93167789402773793</v>
      </c>
      <c r="G402">
        <f t="shared" ca="1" si="25"/>
        <v>124.15189365446113</v>
      </c>
      <c r="H402">
        <f t="shared" ca="1" si="26"/>
        <v>24.151893654461134</v>
      </c>
      <c r="I402">
        <f t="shared" ca="1" si="27"/>
        <v>22.973991901535509</v>
      </c>
    </row>
    <row r="403" spans="5:9" x14ac:dyDescent="0.75">
      <c r="E403">
        <v>397</v>
      </c>
      <c r="F403">
        <f t="shared" ca="1" si="24"/>
        <v>0.13555428668777975</v>
      </c>
      <c r="G403">
        <f t="shared" ca="1" si="25"/>
        <v>105.87731766653646</v>
      </c>
      <c r="H403">
        <f t="shared" ca="1" si="26"/>
        <v>5.8773176665364559</v>
      </c>
      <c r="I403">
        <f t="shared" ca="1" si="27"/>
        <v>5.5906775015473524</v>
      </c>
    </row>
    <row r="404" spans="5:9" x14ac:dyDescent="0.75">
      <c r="E404">
        <v>398</v>
      </c>
      <c r="F404">
        <f t="shared" ca="1" si="24"/>
        <v>5.9000791210772507E-2</v>
      </c>
      <c r="G404">
        <f t="shared" ca="1" si="25"/>
        <v>104.26860857083918</v>
      </c>
      <c r="H404">
        <f t="shared" ca="1" si="26"/>
        <v>4.2686085708391772</v>
      </c>
      <c r="I404">
        <f t="shared" ca="1" si="27"/>
        <v>4.0604260742581655</v>
      </c>
    </row>
    <row r="405" spans="5:9" x14ac:dyDescent="0.75">
      <c r="E405">
        <v>399</v>
      </c>
      <c r="F405">
        <f t="shared" ca="1" si="24"/>
        <v>-0.85517270341249563</v>
      </c>
      <c r="G405">
        <f t="shared" ca="1" si="25"/>
        <v>86.845931400217196</v>
      </c>
      <c r="H405">
        <f t="shared" ca="1" si="26"/>
        <v>0</v>
      </c>
      <c r="I405">
        <f t="shared" ca="1" si="27"/>
        <v>0</v>
      </c>
    </row>
    <row r="406" spans="5:9" x14ac:dyDescent="0.75">
      <c r="E406">
        <v>400</v>
      </c>
      <c r="F406">
        <f t="shared" ca="1" si="24"/>
        <v>0.23589890297972518</v>
      </c>
      <c r="G406">
        <f t="shared" ca="1" si="25"/>
        <v>108.02362644558397</v>
      </c>
      <c r="H406">
        <f t="shared" ca="1" si="26"/>
        <v>8.0236264455839716</v>
      </c>
      <c r="I406">
        <f t="shared" ca="1" si="27"/>
        <v>7.6323095662415508</v>
      </c>
    </row>
    <row r="407" spans="5:9" x14ac:dyDescent="0.75">
      <c r="E407">
        <v>401</v>
      </c>
      <c r="F407">
        <f t="shared" ca="1" si="24"/>
        <v>1.2183891829270845</v>
      </c>
      <c r="G407">
        <f t="shared" ca="1" si="25"/>
        <v>131.47911563923853</v>
      </c>
      <c r="H407">
        <f t="shared" ca="1" si="26"/>
        <v>31.479115639238529</v>
      </c>
      <c r="I407">
        <f t="shared" ca="1" si="27"/>
        <v>29.943861053304293</v>
      </c>
    </row>
    <row r="408" spans="5:9" x14ac:dyDescent="0.75">
      <c r="E408">
        <v>402</v>
      </c>
      <c r="F408">
        <f t="shared" ca="1" si="24"/>
        <v>-0.30483042706084301</v>
      </c>
      <c r="G408">
        <f t="shared" ca="1" si="25"/>
        <v>96.950845299805081</v>
      </c>
      <c r="H408">
        <f t="shared" ca="1" si="26"/>
        <v>0</v>
      </c>
      <c r="I408">
        <f t="shared" ca="1" si="27"/>
        <v>0</v>
      </c>
    </row>
    <row r="409" spans="5:9" x14ac:dyDescent="0.75">
      <c r="E409">
        <v>403</v>
      </c>
      <c r="F409">
        <f t="shared" ca="1" si="24"/>
        <v>-0.58941327016113032</v>
      </c>
      <c r="G409">
        <f t="shared" ca="1" si="25"/>
        <v>91.586834387494946</v>
      </c>
      <c r="H409">
        <f t="shared" ca="1" si="26"/>
        <v>0</v>
      </c>
      <c r="I409">
        <f t="shared" ca="1" si="27"/>
        <v>0</v>
      </c>
    </row>
    <row r="410" spans="5:9" x14ac:dyDescent="0.75">
      <c r="E410">
        <v>404</v>
      </c>
      <c r="F410">
        <f t="shared" ca="1" si="24"/>
        <v>-1.2966188746400005</v>
      </c>
      <c r="G410">
        <f t="shared" ca="1" si="25"/>
        <v>79.507106774914931</v>
      </c>
      <c r="H410">
        <f t="shared" ca="1" si="26"/>
        <v>0</v>
      </c>
      <c r="I410">
        <f t="shared" ca="1" si="27"/>
        <v>0</v>
      </c>
    </row>
    <row r="411" spans="5:9" x14ac:dyDescent="0.75">
      <c r="E411">
        <v>405</v>
      </c>
      <c r="F411">
        <f t="shared" ca="1" si="24"/>
        <v>0.57908402658488622</v>
      </c>
      <c r="G411">
        <f t="shared" ca="1" si="25"/>
        <v>115.69842152786663</v>
      </c>
      <c r="H411">
        <f t="shared" ca="1" si="26"/>
        <v>15.698421527866628</v>
      </c>
      <c r="I411">
        <f t="shared" ca="1" si="27"/>
        <v>14.932800475522193</v>
      </c>
    </row>
    <row r="412" spans="5:9" x14ac:dyDescent="0.75">
      <c r="E412">
        <v>406</v>
      </c>
      <c r="F412">
        <f t="shared" ca="1" si="24"/>
        <v>2.0787857663900193</v>
      </c>
      <c r="G412">
        <f t="shared" ca="1" si="25"/>
        <v>156.16721735124045</v>
      </c>
      <c r="H412">
        <f t="shared" ca="1" si="26"/>
        <v>56.167217351240453</v>
      </c>
      <c r="I412">
        <f t="shared" ca="1" si="27"/>
        <v>53.427909836826977</v>
      </c>
    </row>
    <row r="413" spans="5:9" x14ac:dyDescent="0.75">
      <c r="E413">
        <v>407</v>
      </c>
      <c r="F413">
        <f t="shared" ca="1" si="24"/>
        <v>0.29140186059619433</v>
      </c>
      <c r="G413">
        <f t="shared" ca="1" si="25"/>
        <v>109.22943279759536</v>
      </c>
      <c r="H413">
        <f t="shared" ca="1" si="26"/>
        <v>9.2294327975953649</v>
      </c>
      <c r="I413">
        <f t="shared" ca="1" si="27"/>
        <v>8.7793080485246531</v>
      </c>
    </row>
    <row r="414" spans="5:9" x14ac:dyDescent="0.75">
      <c r="E414">
        <v>408</v>
      </c>
      <c r="F414">
        <f t="shared" ca="1" si="24"/>
        <v>-1.5256150746141048</v>
      </c>
      <c r="G414">
        <f t="shared" ca="1" si="25"/>
        <v>75.947869026579497</v>
      </c>
      <c r="H414">
        <f t="shared" ca="1" si="26"/>
        <v>0</v>
      </c>
      <c r="I414">
        <f t="shared" ca="1" si="27"/>
        <v>0</v>
      </c>
    </row>
    <row r="415" spans="5:9" x14ac:dyDescent="0.75">
      <c r="E415">
        <v>409</v>
      </c>
      <c r="F415">
        <f t="shared" ca="1" si="24"/>
        <v>-1.1124491600949578</v>
      </c>
      <c r="G415">
        <f t="shared" ca="1" si="25"/>
        <v>82.490270575600704</v>
      </c>
      <c r="H415">
        <f t="shared" ca="1" si="26"/>
        <v>0</v>
      </c>
      <c r="I415">
        <f t="shared" ca="1" si="27"/>
        <v>0</v>
      </c>
    </row>
    <row r="416" spans="5:9" x14ac:dyDescent="0.75">
      <c r="E416">
        <v>410</v>
      </c>
      <c r="F416">
        <f t="shared" ca="1" si="24"/>
        <v>-0.82825890208031883</v>
      </c>
      <c r="G416">
        <f t="shared" ca="1" si="25"/>
        <v>87.314662631227591</v>
      </c>
      <c r="H416">
        <f t="shared" ca="1" si="26"/>
        <v>0</v>
      </c>
      <c r="I416">
        <f t="shared" ca="1" si="27"/>
        <v>0</v>
      </c>
    </row>
    <row r="417" spans="5:9" x14ac:dyDescent="0.75">
      <c r="E417">
        <v>411</v>
      </c>
      <c r="F417">
        <f t="shared" ca="1" si="24"/>
        <v>-0.22333625555136685</v>
      </c>
      <c r="G417">
        <f t="shared" ca="1" si="25"/>
        <v>98.543978904996678</v>
      </c>
      <c r="H417">
        <f t="shared" ca="1" si="26"/>
        <v>0</v>
      </c>
      <c r="I417">
        <f t="shared" ca="1" si="27"/>
        <v>0</v>
      </c>
    </row>
    <row r="418" spans="5:9" x14ac:dyDescent="0.75">
      <c r="E418">
        <v>412</v>
      </c>
      <c r="F418">
        <f t="shared" ca="1" si="24"/>
        <v>-1.3276364263842007</v>
      </c>
      <c r="G418">
        <f t="shared" ca="1" si="25"/>
        <v>79.015410314122647</v>
      </c>
      <c r="H418">
        <f t="shared" ca="1" si="26"/>
        <v>0</v>
      </c>
      <c r="I418">
        <f t="shared" ca="1" si="27"/>
        <v>0</v>
      </c>
    </row>
    <row r="419" spans="5:9" x14ac:dyDescent="0.75">
      <c r="E419">
        <v>413</v>
      </c>
      <c r="F419">
        <f t="shared" ca="1" si="24"/>
        <v>-1.4507704099213141</v>
      </c>
      <c r="G419">
        <f t="shared" ca="1" si="25"/>
        <v>77.093278979765387</v>
      </c>
      <c r="H419">
        <f t="shared" ca="1" si="26"/>
        <v>0</v>
      </c>
      <c r="I419">
        <f t="shared" ca="1" si="27"/>
        <v>0</v>
      </c>
    </row>
    <row r="420" spans="5:9" x14ac:dyDescent="0.75">
      <c r="E420">
        <v>414</v>
      </c>
      <c r="F420">
        <f t="shared" ca="1" si="24"/>
        <v>-0.81576516959415957</v>
      </c>
      <c r="G420">
        <f t="shared" ca="1" si="25"/>
        <v>87.533112650582723</v>
      </c>
      <c r="H420">
        <f t="shared" ca="1" si="26"/>
        <v>0</v>
      </c>
      <c r="I420">
        <f t="shared" ca="1" si="27"/>
        <v>0</v>
      </c>
    </row>
    <row r="421" spans="5:9" x14ac:dyDescent="0.75">
      <c r="E421">
        <v>415</v>
      </c>
      <c r="F421">
        <f t="shared" ca="1" si="24"/>
        <v>-0.87301743486884376</v>
      </c>
      <c r="G421">
        <f t="shared" ca="1" si="25"/>
        <v>86.536535372744709</v>
      </c>
      <c r="H421">
        <f t="shared" ca="1" si="26"/>
        <v>0</v>
      </c>
      <c r="I421">
        <f t="shared" ca="1" si="27"/>
        <v>0</v>
      </c>
    </row>
    <row r="422" spans="5:9" x14ac:dyDescent="0.75">
      <c r="E422">
        <v>416</v>
      </c>
      <c r="F422">
        <f t="shared" ca="1" si="24"/>
        <v>-1.0565127775985483</v>
      </c>
      <c r="G422">
        <f t="shared" ca="1" si="25"/>
        <v>83.418293386036453</v>
      </c>
      <c r="H422">
        <f t="shared" ca="1" si="26"/>
        <v>0</v>
      </c>
      <c r="I422">
        <f t="shared" ca="1" si="27"/>
        <v>0</v>
      </c>
    </row>
    <row r="423" spans="5:9" x14ac:dyDescent="0.75">
      <c r="E423">
        <v>417</v>
      </c>
      <c r="F423">
        <f t="shared" ca="1" si="24"/>
        <v>0.19679726369436323</v>
      </c>
      <c r="G423">
        <f t="shared" ca="1" si="25"/>
        <v>107.18214090546851</v>
      </c>
      <c r="H423">
        <f t="shared" ca="1" si="26"/>
        <v>7.1821409054685148</v>
      </c>
      <c r="I423">
        <f t="shared" ca="1" si="27"/>
        <v>6.8318637601918528</v>
      </c>
    </row>
    <row r="424" spans="5:9" x14ac:dyDescent="0.75">
      <c r="E424">
        <v>418</v>
      </c>
      <c r="F424">
        <f t="shared" ca="1" si="24"/>
        <v>0.24494286921239589</v>
      </c>
      <c r="G424">
        <f t="shared" ca="1" si="25"/>
        <v>108.21919567039056</v>
      </c>
      <c r="H424">
        <f t="shared" ca="1" si="26"/>
        <v>8.2191956703905618</v>
      </c>
      <c r="I424">
        <f t="shared" ca="1" si="27"/>
        <v>7.8183407674043748</v>
      </c>
    </row>
    <row r="425" spans="5:9" x14ac:dyDescent="0.75">
      <c r="E425">
        <v>419</v>
      </c>
      <c r="F425">
        <f t="shared" ca="1" si="24"/>
        <v>0.26592295871264054</v>
      </c>
      <c r="G425">
        <f t="shared" ca="1" si="25"/>
        <v>108.67423937066201</v>
      </c>
      <c r="H425">
        <f t="shared" ca="1" si="26"/>
        <v>8.6742393706620078</v>
      </c>
      <c r="I425">
        <f t="shared" ca="1" si="27"/>
        <v>8.2511917245362572</v>
      </c>
    </row>
    <row r="426" spans="5:9" x14ac:dyDescent="0.75">
      <c r="E426">
        <v>420</v>
      </c>
      <c r="F426">
        <f t="shared" ca="1" si="24"/>
        <v>-0.71910772323985628</v>
      </c>
      <c r="G426">
        <f t="shared" ca="1" si="25"/>
        <v>89.24171982984339</v>
      </c>
      <c r="H426">
        <f t="shared" ca="1" si="26"/>
        <v>0</v>
      </c>
      <c r="I426">
        <f t="shared" ca="1" si="27"/>
        <v>0</v>
      </c>
    </row>
    <row r="427" spans="5:9" x14ac:dyDescent="0.75">
      <c r="E427">
        <v>421</v>
      </c>
      <c r="F427">
        <f t="shared" ca="1" si="24"/>
        <v>-0.45560978257193863</v>
      </c>
      <c r="G427">
        <f t="shared" ca="1" si="25"/>
        <v>94.070850724936335</v>
      </c>
      <c r="H427">
        <f t="shared" ca="1" si="26"/>
        <v>0</v>
      </c>
      <c r="I427">
        <f t="shared" ca="1" si="27"/>
        <v>0</v>
      </c>
    </row>
    <row r="428" spans="5:9" x14ac:dyDescent="0.75">
      <c r="E428">
        <v>422</v>
      </c>
      <c r="F428">
        <f t="shared" ca="1" si="24"/>
        <v>8.267095644387619E-2</v>
      </c>
      <c r="G428">
        <f t="shared" ca="1" si="25"/>
        <v>104.76338984093267</v>
      </c>
      <c r="H428">
        <f t="shared" ca="1" si="26"/>
        <v>4.7633898409326747</v>
      </c>
      <c r="I428">
        <f t="shared" ca="1" si="27"/>
        <v>4.5310765770629358</v>
      </c>
    </row>
    <row r="429" spans="5:9" x14ac:dyDescent="0.75">
      <c r="E429">
        <v>423</v>
      </c>
      <c r="F429">
        <f t="shared" ca="1" si="24"/>
        <v>0.12011949338310127</v>
      </c>
      <c r="G429">
        <f t="shared" ca="1" si="25"/>
        <v>105.55098271416854</v>
      </c>
      <c r="H429">
        <f t="shared" ca="1" si="26"/>
        <v>5.5509827141685406</v>
      </c>
      <c r="I429">
        <f t="shared" ca="1" si="27"/>
        <v>5.2802580926119527</v>
      </c>
    </row>
    <row r="430" spans="5:9" x14ac:dyDescent="0.75">
      <c r="E430">
        <v>424</v>
      </c>
      <c r="F430">
        <f t="shared" ca="1" si="24"/>
        <v>-0.20688800183701517</v>
      </c>
      <c r="G430">
        <f t="shared" ca="1" si="25"/>
        <v>98.868687975296012</v>
      </c>
      <c r="H430">
        <f t="shared" ca="1" si="26"/>
        <v>0</v>
      </c>
      <c r="I430">
        <f t="shared" ca="1" si="27"/>
        <v>0</v>
      </c>
    </row>
    <row r="431" spans="5:9" x14ac:dyDescent="0.75">
      <c r="E431">
        <v>425</v>
      </c>
      <c r="F431">
        <f t="shared" ca="1" si="24"/>
        <v>-1.648954681181048</v>
      </c>
      <c r="G431">
        <f t="shared" ca="1" si="25"/>
        <v>74.097311511806069</v>
      </c>
      <c r="H431">
        <f t="shared" ca="1" si="26"/>
        <v>0</v>
      </c>
      <c r="I431">
        <f t="shared" ca="1" si="27"/>
        <v>0</v>
      </c>
    </row>
    <row r="432" spans="5:9" x14ac:dyDescent="0.75">
      <c r="E432">
        <v>426</v>
      </c>
      <c r="F432">
        <f t="shared" ca="1" si="24"/>
        <v>1.4763324606325394</v>
      </c>
      <c r="G432">
        <f t="shared" ca="1" si="25"/>
        <v>138.43995284006982</v>
      </c>
      <c r="H432">
        <f t="shared" ca="1" si="26"/>
        <v>38.439952840069822</v>
      </c>
      <c r="I432">
        <f t="shared" ca="1" si="27"/>
        <v>36.565214217894201</v>
      </c>
    </row>
    <row r="433" spans="5:9" x14ac:dyDescent="0.75">
      <c r="E433">
        <v>427</v>
      </c>
      <c r="F433">
        <f t="shared" ca="1" si="24"/>
        <v>-0.25380914115333097</v>
      </c>
      <c r="G433">
        <f t="shared" ca="1" si="25"/>
        <v>97.945221465850693</v>
      </c>
      <c r="H433">
        <f t="shared" ca="1" si="26"/>
        <v>0</v>
      </c>
      <c r="I433">
        <f t="shared" ca="1" si="27"/>
        <v>0</v>
      </c>
    </row>
    <row r="434" spans="5:9" x14ac:dyDescent="0.75">
      <c r="E434">
        <v>428</v>
      </c>
      <c r="F434">
        <f t="shared" ca="1" si="24"/>
        <v>1.2162728421801865</v>
      </c>
      <c r="G434">
        <f t="shared" ca="1" si="25"/>
        <v>131.42347649324969</v>
      </c>
      <c r="H434">
        <f t="shared" ca="1" si="26"/>
        <v>31.423476493249694</v>
      </c>
      <c r="I434">
        <f t="shared" ca="1" si="27"/>
        <v>29.890935460485622</v>
      </c>
    </row>
    <row r="435" spans="5:9" x14ac:dyDescent="0.75">
      <c r="E435">
        <v>429</v>
      </c>
      <c r="F435">
        <f t="shared" ca="1" si="24"/>
        <v>-0.40044939505380578</v>
      </c>
      <c r="G435">
        <f t="shared" ca="1" si="25"/>
        <v>95.114393278304604</v>
      </c>
      <c r="H435">
        <f t="shared" ca="1" si="26"/>
        <v>0</v>
      </c>
      <c r="I435">
        <f t="shared" ca="1" si="27"/>
        <v>0</v>
      </c>
    </row>
    <row r="436" spans="5:9" x14ac:dyDescent="0.75">
      <c r="E436">
        <v>430</v>
      </c>
      <c r="F436">
        <f t="shared" ca="1" si="24"/>
        <v>-1.0442358544053811</v>
      </c>
      <c r="G436">
        <f t="shared" ca="1" si="25"/>
        <v>83.623369048981871</v>
      </c>
      <c r="H436">
        <f t="shared" ca="1" si="26"/>
        <v>0</v>
      </c>
      <c r="I436">
        <f t="shared" ca="1" si="27"/>
        <v>0</v>
      </c>
    </row>
    <row r="437" spans="5:9" x14ac:dyDescent="0.75">
      <c r="E437">
        <v>431</v>
      </c>
      <c r="F437">
        <f t="shared" ca="1" si="24"/>
        <v>-3.2498465025136416</v>
      </c>
      <c r="G437">
        <f t="shared" ca="1" si="25"/>
        <v>53.796095247196661</v>
      </c>
      <c r="H437">
        <f t="shared" ca="1" si="26"/>
        <v>0</v>
      </c>
      <c r="I437">
        <f t="shared" ca="1" si="27"/>
        <v>0</v>
      </c>
    </row>
    <row r="438" spans="5:9" x14ac:dyDescent="0.75">
      <c r="E438">
        <v>432</v>
      </c>
      <c r="F438">
        <f t="shared" ca="1" si="24"/>
        <v>-0.38096343971113611</v>
      </c>
      <c r="G438">
        <f t="shared" ca="1" si="25"/>
        <v>95.48579548488469</v>
      </c>
      <c r="H438">
        <f t="shared" ca="1" si="26"/>
        <v>0</v>
      </c>
      <c r="I438">
        <f t="shared" ca="1" si="27"/>
        <v>0</v>
      </c>
    </row>
    <row r="439" spans="5:9" x14ac:dyDescent="0.75">
      <c r="E439">
        <v>433</v>
      </c>
      <c r="F439">
        <f t="shared" ca="1" si="24"/>
        <v>-0.67874329947678658</v>
      </c>
      <c r="G439">
        <f t="shared" ca="1" si="25"/>
        <v>89.96507379726286</v>
      </c>
      <c r="H439">
        <f t="shared" ca="1" si="26"/>
        <v>0</v>
      </c>
      <c r="I439">
        <f t="shared" ca="1" si="27"/>
        <v>0</v>
      </c>
    </row>
    <row r="440" spans="5:9" x14ac:dyDescent="0.75">
      <c r="E440">
        <v>434</v>
      </c>
      <c r="F440">
        <f t="shared" ca="1" si="24"/>
        <v>-0.17809744151449641</v>
      </c>
      <c r="G440">
        <f t="shared" ca="1" si="25"/>
        <v>99.439627148702314</v>
      </c>
      <c r="H440">
        <f t="shared" ca="1" si="26"/>
        <v>0</v>
      </c>
      <c r="I440">
        <f t="shared" ca="1" si="27"/>
        <v>0</v>
      </c>
    </row>
    <row r="441" spans="5:9" x14ac:dyDescent="0.75">
      <c r="E441">
        <v>435</v>
      </c>
      <c r="F441">
        <f t="shared" ca="1" si="24"/>
        <v>0.18192559367909139</v>
      </c>
      <c r="G441">
        <f t="shared" ca="1" si="25"/>
        <v>106.86381905168383</v>
      </c>
      <c r="H441">
        <f t="shared" ca="1" si="26"/>
        <v>6.8638190516838335</v>
      </c>
      <c r="I441">
        <f t="shared" ca="1" si="27"/>
        <v>6.52906664641025</v>
      </c>
    </row>
    <row r="442" spans="5:9" x14ac:dyDescent="0.75">
      <c r="E442">
        <v>436</v>
      </c>
      <c r="F442">
        <f t="shared" ca="1" si="24"/>
        <v>-0.43366582778660845</v>
      </c>
      <c r="G442">
        <f t="shared" ca="1" si="25"/>
        <v>94.484615322941281</v>
      </c>
      <c r="H442">
        <f t="shared" ca="1" si="26"/>
        <v>0</v>
      </c>
      <c r="I442">
        <f t="shared" ca="1" si="27"/>
        <v>0</v>
      </c>
    </row>
    <row r="443" spans="5:9" x14ac:dyDescent="0.75">
      <c r="E443">
        <v>437</v>
      </c>
      <c r="F443">
        <f t="shared" ca="1" si="24"/>
        <v>0.29586828893709588</v>
      </c>
      <c r="G443">
        <f t="shared" ca="1" si="25"/>
        <v>109.32704947775642</v>
      </c>
      <c r="H443">
        <f t="shared" ca="1" si="26"/>
        <v>9.3270494777564181</v>
      </c>
      <c r="I443">
        <f t="shared" ca="1" si="27"/>
        <v>8.8721639070159224</v>
      </c>
    </row>
    <row r="444" spans="5:9" x14ac:dyDescent="0.75">
      <c r="E444">
        <v>438</v>
      </c>
      <c r="F444">
        <f t="shared" ca="1" si="24"/>
        <v>0.22274999580753418</v>
      </c>
      <c r="G444">
        <f t="shared" ca="1" si="25"/>
        <v>107.73992112327433</v>
      </c>
      <c r="H444">
        <f t="shared" ca="1" si="26"/>
        <v>7.7399211232743284</v>
      </c>
      <c r="I444">
        <f t="shared" ca="1" si="27"/>
        <v>7.3624407157731593</v>
      </c>
    </row>
    <row r="445" spans="5:9" x14ac:dyDescent="0.75">
      <c r="E445">
        <v>439</v>
      </c>
      <c r="F445">
        <f t="shared" ca="1" si="24"/>
        <v>1.1368564212226862</v>
      </c>
      <c r="G445">
        <f t="shared" ca="1" si="25"/>
        <v>129.35253031778484</v>
      </c>
      <c r="H445">
        <f t="shared" ca="1" si="26"/>
        <v>29.35253031778484</v>
      </c>
      <c r="I445">
        <f t="shared" ca="1" si="27"/>
        <v>27.920990521826234</v>
      </c>
    </row>
    <row r="446" spans="5:9" x14ac:dyDescent="0.75">
      <c r="E446">
        <v>440</v>
      </c>
      <c r="F446">
        <f t="shared" ca="1" si="24"/>
        <v>-9.7587180294193124E-2</v>
      </c>
      <c r="G446">
        <f t="shared" ca="1" si="25"/>
        <v>101.05376984966459</v>
      </c>
      <c r="H446">
        <f t="shared" ca="1" si="26"/>
        <v>1.0537698496645902</v>
      </c>
      <c r="I446">
        <f t="shared" ca="1" si="27"/>
        <v>1.002376887652652</v>
      </c>
    </row>
    <row r="447" spans="5:9" x14ac:dyDescent="0.75">
      <c r="E447">
        <v>441</v>
      </c>
      <c r="F447">
        <f t="shared" ca="1" si="24"/>
        <v>0.22935693412748914</v>
      </c>
      <c r="G447">
        <f t="shared" ca="1" si="25"/>
        <v>107.8823814278818</v>
      </c>
      <c r="H447">
        <f t="shared" ca="1" si="26"/>
        <v>7.8823814278817963</v>
      </c>
      <c r="I447">
        <f t="shared" ca="1" si="27"/>
        <v>7.4979531493391178</v>
      </c>
    </row>
    <row r="448" spans="5:9" x14ac:dyDescent="0.75">
      <c r="E448">
        <v>442</v>
      </c>
      <c r="F448">
        <f t="shared" ca="1" si="24"/>
        <v>1.5319212239092235</v>
      </c>
      <c r="G448">
        <f t="shared" ca="1" si="25"/>
        <v>139.98768168445201</v>
      </c>
      <c r="H448">
        <f t="shared" ca="1" si="26"/>
        <v>39.987681684452014</v>
      </c>
      <c r="I448">
        <f t="shared" ca="1" si="27"/>
        <v>38.037459435819031</v>
      </c>
    </row>
    <row r="449" spans="5:9" x14ac:dyDescent="0.75">
      <c r="E449">
        <v>443</v>
      </c>
      <c r="F449">
        <f t="shared" ca="1" si="24"/>
        <v>-0.12107336233534395</v>
      </c>
      <c r="G449">
        <f t="shared" ca="1" si="25"/>
        <v>100.58020948594933</v>
      </c>
      <c r="H449">
        <f t="shared" ca="1" si="26"/>
        <v>0.5802094859493252</v>
      </c>
      <c r="I449">
        <f t="shared" ca="1" si="27"/>
        <v>0.55191233540943174</v>
      </c>
    </row>
    <row r="450" spans="5:9" x14ac:dyDescent="0.75">
      <c r="E450">
        <v>444</v>
      </c>
      <c r="F450">
        <f t="shared" ca="1" si="24"/>
        <v>0.98195826923046103</v>
      </c>
      <c r="G450">
        <f t="shared" ca="1" si="25"/>
        <v>125.40667291661138</v>
      </c>
      <c r="H450">
        <f t="shared" ca="1" si="26"/>
        <v>25.406672916611384</v>
      </c>
      <c r="I450">
        <f t="shared" ca="1" si="27"/>
        <v>24.167574856946125</v>
      </c>
    </row>
    <row r="451" spans="5:9" x14ac:dyDescent="0.75">
      <c r="E451">
        <v>445</v>
      </c>
      <c r="F451">
        <f t="shared" ca="1" si="24"/>
        <v>-0.89584745193653537</v>
      </c>
      <c r="G451">
        <f t="shared" ca="1" si="25"/>
        <v>86.142309959042734</v>
      </c>
      <c r="H451">
        <f t="shared" ca="1" si="26"/>
        <v>0</v>
      </c>
      <c r="I451">
        <f t="shared" ca="1" si="27"/>
        <v>0</v>
      </c>
    </row>
    <row r="452" spans="5:9" x14ac:dyDescent="0.75">
      <c r="E452">
        <v>446</v>
      </c>
      <c r="F452">
        <f t="shared" ca="1" si="24"/>
        <v>-0.79500247322727047</v>
      </c>
      <c r="G452">
        <f t="shared" ca="1" si="25"/>
        <v>87.897353076521441</v>
      </c>
      <c r="H452">
        <f t="shared" ca="1" si="26"/>
        <v>0</v>
      </c>
      <c r="I452">
        <f t="shared" ca="1" si="27"/>
        <v>0</v>
      </c>
    </row>
    <row r="453" spans="5:9" x14ac:dyDescent="0.75">
      <c r="E453">
        <v>447</v>
      </c>
      <c r="F453">
        <f t="shared" ca="1" si="24"/>
        <v>-0.50473020037431482</v>
      </c>
      <c r="G453">
        <f t="shared" ca="1" si="25"/>
        <v>93.151215509764015</v>
      </c>
      <c r="H453">
        <f t="shared" ca="1" si="26"/>
        <v>0</v>
      </c>
      <c r="I453">
        <f t="shared" ca="1" si="27"/>
        <v>0</v>
      </c>
    </row>
    <row r="454" spans="5:9" x14ac:dyDescent="0.75">
      <c r="E454">
        <v>448</v>
      </c>
      <c r="F454">
        <f t="shared" ca="1" si="24"/>
        <v>0.75479727497440463</v>
      </c>
      <c r="G454">
        <f t="shared" ca="1" si="25"/>
        <v>119.83665905286429</v>
      </c>
      <c r="H454">
        <f t="shared" ca="1" si="26"/>
        <v>19.836659052864292</v>
      </c>
      <c r="I454">
        <f t="shared" ca="1" si="27"/>
        <v>18.869213774872978</v>
      </c>
    </row>
    <row r="455" spans="5:9" x14ac:dyDescent="0.75">
      <c r="E455">
        <v>449</v>
      </c>
      <c r="F455">
        <f t="shared" ca="1" si="24"/>
        <v>-6.4275946464953174E-2</v>
      </c>
      <c r="G455">
        <f t="shared" ca="1" si="25"/>
        <v>101.72926265238532</v>
      </c>
      <c r="H455">
        <f t="shared" ca="1" si="26"/>
        <v>1.7292626523853158</v>
      </c>
      <c r="I455">
        <f t="shared" ca="1" si="27"/>
        <v>1.6449255176390623</v>
      </c>
    </row>
    <row r="456" spans="5:9" x14ac:dyDescent="0.75">
      <c r="E456">
        <v>450</v>
      </c>
      <c r="F456">
        <f t="shared" ref="F456:F519" ca="1" si="28">NORMINV(RAND(), 0,1)</f>
        <v>-2.4563954751203743</v>
      </c>
      <c r="G456">
        <f t="shared" ref="G456:G519" ca="1" si="29">$C$5*EXP(($C$6-0.5*$C$7^2)*$C$8+$C$7*SQRT($C$8)*F456)</f>
        <v>63.047668993362805</v>
      </c>
      <c r="H456">
        <f t="shared" ref="H456:H519" ca="1" si="30">MAX(G456-$C$9,0)</f>
        <v>0</v>
      </c>
      <c r="I456">
        <f t="shared" ref="I456:I519" ca="1" si="31">EXP(-$C$6*$C$8)*H456</f>
        <v>0</v>
      </c>
    </row>
    <row r="457" spans="5:9" x14ac:dyDescent="0.75">
      <c r="E457">
        <v>451</v>
      </c>
      <c r="F457">
        <f t="shared" ca="1" si="28"/>
        <v>0.15821275613989519</v>
      </c>
      <c r="G457">
        <f t="shared" ca="1" si="29"/>
        <v>106.35821006573707</v>
      </c>
      <c r="H457">
        <f t="shared" ca="1" si="30"/>
        <v>6.3582100657370688</v>
      </c>
      <c r="I457">
        <f t="shared" ca="1" si="31"/>
        <v>6.048116501685719</v>
      </c>
    </row>
    <row r="458" spans="5:9" x14ac:dyDescent="0.75">
      <c r="E458">
        <v>452</v>
      </c>
      <c r="F458">
        <f t="shared" ca="1" si="28"/>
        <v>-1.908157373251202</v>
      </c>
      <c r="G458">
        <f t="shared" ca="1" si="29"/>
        <v>70.353934629170311</v>
      </c>
      <c r="H458">
        <f t="shared" ca="1" si="30"/>
        <v>0</v>
      </c>
      <c r="I458">
        <f t="shared" ca="1" si="31"/>
        <v>0</v>
      </c>
    </row>
    <row r="459" spans="5:9" x14ac:dyDescent="0.75">
      <c r="E459">
        <v>453</v>
      </c>
      <c r="F459">
        <f t="shared" ca="1" si="28"/>
        <v>-0.13826805330095945</v>
      </c>
      <c r="G459">
        <f t="shared" ca="1" si="29"/>
        <v>100.23491442655632</v>
      </c>
      <c r="H459">
        <f t="shared" ca="1" si="30"/>
        <v>0.23491442655631545</v>
      </c>
      <c r="I459">
        <f t="shared" ca="1" si="31"/>
        <v>0.22345751478007919</v>
      </c>
    </row>
    <row r="460" spans="5:9" x14ac:dyDescent="0.75">
      <c r="E460">
        <v>454</v>
      </c>
      <c r="F460">
        <f t="shared" ca="1" si="28"/>
        <v>-0.86377523309448756</v>
      </c>
      <c r="G460">
        <f t="shared" ca="1" si="29"/>
        <v>86.696640924093032</v>
      </c>
      <c r="H460">
        <f t="shared" ca="1" si="30"/>
        <v>0</v>
      </c>
      <c r="I460">
        <f t="shared" ca="1" si="31"/>
        <v>0</v>
      </c>
    </row>
    <row r="461" spans="5:9" x14ac:dyDescent="0.75">
      <c r="E461">
        <v>455</v>
      </c>
      <c r="F461">
        <f t="shared" ca="1" si="28"/>
        <v>0.21004558848951507</v>
      </c>
      <c r="G461">
        <f t="shared" ca="1" si="29"/>
        <v>107.46651424912601</v>
      </c>
      <c r="H461">
        <f t="shared" ca="1" si="30"/>
        <v>7.466514249126007</v>
      </c>
      <c r="I461">
        <f t="shared" ca="1" si="31"/>
        <v>7.1023680522225128</v>
      </c>
    </row>
    <row r="462" spans="5:9" x14ac:dyDescent="0.75">
      <c r="E462">
        <v>456</v>
      </c>
      <c r="F462">
        <f t="shared" ca="1" si="28"/>
        <v>-0.96202105145230077</v>
      </c>
      <c r="G462">
        <f t="shared" ca="1" si="29"/>
        <v>85.00975169196424</v>
      </c>
      <c r="H462">
        <f t="shared" ca="1" si="30"/>
        <v>0</v>
      </c>
      <c r="I462">
        <f t="shared" ca="1" si="31"/>
        <v>0</v>
      </c>
    </row>
    <row r="463" spans="5:9" x14ac:dyDescent="0.75">
      <c r="E463">
        <v>457</v>
      </c>
      <c r="F463">
        <f t="shared" ca="1" si="28"/>
        <v>-0.13823594251863505</v>
      </c>
      <c r="G463">
        <f t="shared" ca="1" si="29"/>
        <v>100.23555815292707</v>
      </c>
      <c r="H463">
        <f t="shared" ca="1" si="30"/>
        <v>0.23555815292706939</v>
      </c>
      <c r="I463">
        <f t="shared" ca="1" si="31"/>
        <v>0.22406984624526741</v>
      </c>
    </row>
    <row r="464" spans="5:9" x14ac:dyDescent="0.75">
      <c r="E464">
        <v>458</v>
      </c>
      <c r="F464">
        <f t="shared" ca="1" si="28"/>
        <v>-0.54480872107574529</v>
      </c>
      <c r="G464">
        <f t="shared" ca="1" si="29"/>
        <v>92.40752749938072</v>
      </c>
      <c r="H464">
        <f t="shared" ca="1" si="30"/>
        <v>0</v>
      </c>
      <c r="I464">
        <f t="shared" ca="1" si="31"/>
        <v>0</v>
      </c>
    </row>
    <row r="465" spans="5:9" x14ac:dyDescent="0.75">
      <c r="E465">
        <v>459</v>
      </c>
      <c r="F465">
        <f t="shared" ca="1" si="28"/>
        <v>-0.70551294146925658</v>
      </c>
      <c r="G465">
        <f t="shared" ca="1" si="29"/>
        <v>89.484694339884371</v>
      </c>
      <c r="H465">
        <f t="shared" ca="1" si="30"/>
        <v>0</v>
      </c>
      <c r="I465">
        <f t="shared" ca="1" si="31"/>
        <v>0</v>
      </c>
    </row>
    <row r="466" spans="5:9" x14ac:dyDescent="0.75">
      <c r="E466">
        <v>460</v>
      </c>
      <c r="F466">
        <f t="shared" ca="1" si="28"/>
        <v>-2.4225199246072027</v>
      </c>
      <c r="G466">
        <f t="shared" ca="1" si="29"/>
        <v>63.476274176671843</v>
      </c>
      <c r="H466">
        <f t="shared" ca="1" si="30"/>
        <v>0</v>
      </c>
      <c r="I466">
        <f t="shared" ca="1" si="31"/>
        <v>0</v>
      </c>
    </row>
    <row r="467" spans="5:9" x14ac:dyDescent="0.75">
      <c r="E467">
        <v>461</v>
      </c>
      <c r="F467">
        <f t="shared" ca="1" si="28"/>
        <v>-0.5685469072645889</v>
      </c>
      <c r="G467">
        <f t="shared" ca="1" si="29"/>
        <v>91.96984987018611</v>
      </c>
      <c r="H467">
        <f t="shared" ca="1" si="30"/>
        <v>0</v>
      </c>
      <c r="I467">
        <f t="shared" ca="1" si="31"/>
        <v>0</v>
      </c>
    </row>
    <row r="468" spans="5:9" x14ac:dyDescent="0.75">
      <c r="E468">
        <v>462</v>
      </c>
      <c r="F468">
        <f t="shared" ca="1" si="28"/>
        <v>0.56913716721230501</v>
      </c>
      <c r="G468">
        <f t="shared" ca="1" si="29"/>
        <v>115.4684831344732</v>
      </c>
      <c r="H468">
        <f t="shared" ca="1" si="30"/>
        <v>15.468483134473203</v>
      </c>
      <c r="I468">
        <f t="shared" ca="1" si="31"/>
        <v>14.714076309903946</v>
      </c>
    </row>
    <row r="469" spans="5:9" x14ac:dyDescent="0.75">
      <c r="E469">
        <v>463</v>
      </c>
      <c r="F469">
        <f t="shared" ca="1" si="28"/>
        <v>-9.3863515055995189E-2</v>
      </c>
      <c r="G469">
        <f t="shared" ca="1" si="29"/>
        <v>101.12905596220858</v>
      </c>
      <c r="H469">
        <f t="shared" ca="1" si="30"/>
        <v>1.1290559622085823</v>
      </c>
      <c r="I469">
        <f t="shared" ca="1" si="31"/>
        <v>1.0739912531607696</v>
      </c>
    </row>
    <row r="470" spans="5:9" x14ac:dyDescent="0.75">
      <c r="E470">
        <v>464</v>
      </c>
      <c r="F470">
        <f t="shared" ca="1" si="28"/>
        <v>-0.91295173289072362</v>
      </c>
      <c r="G470">
        <f t="shared" ca="1" si="29"/>
        <v>85.848132960207963</v>
      </c>
      <c r="H470">
        <f t="shared" ca="1" si="30"/>
        <v>0</v>
      </c>
      <c r="I470">
        <f t="shared" ca="1" si="31"/>
        <v>0</v>
      </c>
    </row>
    <row r="471" spans="5:9" x14ac:dyDescent="0.75">
      <c r="E471">
        <v>465</v>
      </c>
      <c r="F471">
        <f t="shared" ca="1" si="28"/>
        <v>-0.19986973612620854</v>
      </c>
      <c r="G471">
        <f t="shared" ca="1" si="29"/>
        <v>99.007562763048583</v>
      </c>
      <c r="H471">
        <f t="shared" ca="1" si="30"/>
        <v>0</v>
      </c>
      <c r="I471">
        <f t="shared" ca="1" si="31"/>
        <v>0</v>
      </c>
    </row>
    <row r="472" spans="5:9" x14ac:dyDescent="0.75">
      <c r="E472">
        <v>466</v>
      </c>
      <c r="F472">
        <f t="shared" ca="1" si="28"/>
        <v>-0.72593722442046116</v>
      </c>
      <c r="G472">
        <f t="shared" ca="1" si="29"/>
        <v>89.119907754165993</v>
      </c>
      <c r="H472">
        <f t="shared" ca="1" si="30"/>
        <v>0</v>
      </c>
      <c r="I472">
        <f t="shared" ca="1" si="31"/>
        <v>0</v>
      </c>
    </row>
    <row r="473" spans="5:9" x14ac:dyDescent="0.75">
      <c r="E473">
        <v>467</v>
      </c>
      <c r="F473">
        <f t="shared" ca="1" si="28"/>
        <v>0.5762894569024346</v>
      </c>
      <c r="G473">
        <f t="shared" ca="1" si="29"/>
        <v>115.63377413549196</v>
      </c>
      <c r="H473">
        <f t="shared" ca="1" si="30"/>
        <v>15.633774135491961</v>
      </c>
      <c r="I473">
        <f t="shared" ca="1" si="31"/>
        <v>14.871305973678167</v>
      </c>
    </row>
    <row r="474" spans="5:9" x14ac:dyDescent="0.75">
      <c r="E474">
        <v>468</v>
      </c>
      <c r="F474">
        <f t="shared" ca="1" si="28"/>
        <v>-0.7814576087653734</v>
      </c>
      <c r="G474">
        <f t="shared" ca="1" si="29"/>
        <v>88.135787433609408</v>
      </c>
      <c r="H474">
        <f t="shared" ca="1" si="30"/>
        <v>0</v>
      </c>
      <c r="I474">
        <f t="shared" ca="1" si="31"/>
        <v>0</v>
      </c>
    </row>
    <row r="475" spans="5:9" x14ac:dyDescent="0.75">
      <c r="E475">
        <v>469</v>
      </c>
      <c r="F475">
        <f t="shared" ca="1" si="28"/>
        <v>0.23341855741789302</v>
      </c>
      <c r="G475">
        <f t="shared" ca="1" si="29"/>
        <v>107.97005255037446</v>
      </c>
      <c r="H475">
        <f t="shared" ca="1" si="30"/>
        <v>7.9700525503744615</v>
      </c>
      <c r="I475">
        <f t="shared" ca="1" si="31"/>
        <v>7.5813485007331467</v>
      </c>
    </row>
    <row r="476" spans="5:9" x14ac:dyDescent="0.75">
      <c r="E476">
        <v>470</v>
      </c>
      <c r="F476">
        <f t="shared" ca="1" si="28"/>
        <v>-1.6745814804723917</v>
      </c>
      <c r="G476">
        <f t="shared" ca="1" si="29"/>
        <v>73.718507707925752</v>
      </c>
      <c r="H476">
        <f t="shared" ca="1" si="30"/>
        <v>0</v>
      </c>
      <c r="I476">
        <f t="shared" ca="1" si="31"/>
        <v>0</v>
      </c>
    </row>
    <row r="477" spans="5:9" x14ac:dyDescent="0.75">
      <c r="E477">
        <v>471</v>
      </c>
      <c r="F477">
        <f t="shared" ca="1" si="28"/>
        <v>-2.1434738202333334</v>
      </c>
      <c r="G477">
        <f t="shared" ca="1" si="29"/>
        <v>67.119554310079394</v>
      </c>
      <c r="H477">
        <f t="shared" ca="1" si="30"/>
        <v>0</v>
      </c>
      <c r="I477">
        <f t="shared" ca="1" si="31"/>
        <v>0</v>
      </c>
    </row>
    <row r="478" spans="5:9" x14ac:dyDescent="0.75">
      <c r="E478">
        <v>472</v>
      </c>
      <c r="F478">
        <f t="shared" ca="1" si="28"/>
        <v>6.4867381359528048E-2</v>
      </c>
      <c r="G478">
        <f t="shared" ca="1" si="29"/>
        <v>104.39102060929484</v>
      </c>
      <c r="H478">
        <f t="shared" ca="1" si="30"/>
        <v>4.3910206092948414</v>
      </c>
      <c r="I478">
        <f t="shared" ca="1" si="31"/>
        <v>4.1768680071503068</v>
      </c>
    </row>
    <row r="479" spans="5:9" x14ac:dyDescent="0.75">
      <c r="E479">
        <v>473</v>
      </c>
      <c r="F479">
        <f t="shared" ca="1" si="28"/>
        <v>0.94165507439438656</v>
      </c>
      <c r="G479">
        <f t="shared" ca="1" si="29"/>
        <v>124.39987815795874</v>
      </c>
      <c r="H479">
        <f t="shared" ca="1" si="30"/>
        <v>24.399878157958739</v>
      </c>
      <c r="I479">
        <f t="shared" ca="1" si="31"/>
        <v>23.209882058082634</v>
      </c>
    </row>
    <row r="480" spans="5:9" x14ac:dyDescent="0.75">
      <c r="E480">
        <v>474</v>
      </c>
      <c r="F480">
        <f t="shared" ca="1" si="28"/>
        <v>-0.94082132383348926</v>
      </c>
      <c r="G480">
        <f t="shared" ca="1" si="29"/>
        <v>85.370953605229843</v>
      </c>
      <c r="H480">
        <f t="shared" ca="1" si="30"/>
        <v>0</v>
      </c>
      <c r="I480">
        <f t="shared" ca="1" si="31"/>
        <v>0</v>
      </c>
    </row>
    <row r="481" spans="5:9" x14ac:dyDescent="0.75">
      <c r="E481">
        <v>475</v>
      </c>
      <c r="F481">
        <f t="shared" ca="1" si="28"/>
        <v>-0.7418830554375071</v>
      </c>
      <c r="G481">
        <f t="shared" ca="1" si="29"/>
        <v>88.836142284437997</v>
      </c>
      <c r="H481">
        <f t="shared" ca="1" si="30"/>
        <v>0</v>
      </c>
      <c r="I481">
        <f t="shared" ca="1" si="31"/>
        <v>0</v>
      </c>
    </row>
    <row r="482" spans="5:9" x14ac:dyDescent="0.75">
      <c r="E482">
        <v>476</v>
      </c>
      <c r="F482">
        <f t="shared" ca="1" si="28"/>
        <v>0.7817574289287782</v>
      </c>
      <c r="G482">
        <f t="shared" ca="1" si="29"/>
        <v>120.484567208944</v>
      </c>
      <c r="H482">
        <f t="shared" ca="1" si="30"/>
        <v>20.484567208944</v>
      </c>
      <c r="I482">
        <f t="shared" ca="1" si="31"/>
        <v>19.485523077309999</v>
      </c>
    </row>
    <row r="483" spans="5:9" x14ac:dyDescent="0.75">
      <c r="E483">
        <v>477</v>
      </c>
      <c r="F483">
        <f t="shared" ca="1" si="28"/>
        <v>0.29687229694648104</v>
      </c>
      <c r="G483">
        <f t="shared" ca="1" si="29"/>
        <v>109.34900472867103</v>
      </c>
      <c r="H483">
        <f t="shared" ca="1" si="30"/>
        <v>9.3490047286710336</v>
      </c>
      <c r="I483">
        <f t="shared" ca="1" si="31"/>
        <v>8.8930483877082018</v>
      </c>
    </row>
    <row r="484" spans="5:9" x14ac:dyDescent="0.75">
      <c r="E484">
        <v>478</v>
      </c>
      <c r="F484">
        <f t="shared" ca="1" si="28"/>
        <v>2.4991580473140362</v>
      </c>
      <c r="G484">
        <f t="shared" ca="1" si="29"/>
        <v>169.8646248580026</v>
      </c>
      <c r="H484">
        <f t="shared" ca="1" si="30"/>
        <v>69.8646248580026</v>
      </c>
      <c r="I484">
        <f t="shared" ca="1" si="31"/>
        <v>66.457286896636091</v>
      </c>
    </row>
    <row r="485" spans="5:9" x14ac:dyDescent="0.75">
      <c r="E485">
        <v>479</v>
      </c>
      <c r="F485">
        <f t="shared" ca="1" si="28"/>
        <v>-0.39148321531764751</v>
      </c>
      <c r="G485">
        <f t="shared" ca="1" si="29"/>
        <v>95.285108848331419</v>
      </c>
      <c r="H485">
        <f t="shared" ca="1" si="30"/>
        <v>0</v>
      </c>
      <c r="I485">
        <f t="shared" ca="1" si="31"/>
        <v>0</v>
      </c>
    </row>
    <row r="486" spans="5:9" x14ac:dyDescent="0.75">
      <c r="E486">
        <v>480</v>
      </c>
      <c r="F486">
        <f t="shared" ca="1" si="28"/>
        <v>0.95436870637032056</v>
      </c>
      <c r="G486">
        <f t="shared" ca="1" si="29"/>
        <v>124.71659550384307</v>
      </c>
      <c r="H486">
        <f t="shared" ca="1" si="30"/>
        <v>24.716595503843067</v>
      </c>
      <c r="I486">
        <f t="shared" ca="1" si="31"/>
        <v>23.511152916737576</v>
      </c>
    </row>
    <row r="487" spans="5:9" x14ac:dyDescent="0.75">
      <c r="E487">
        <v>481</v>
      </c>
      <c r="F487">
        <f t="shared" ca="1" si="28"/>
        <v>-0.24698760318055402</v>
      </c>
      <c r="G487">
        <f t="shared" ca="1" si="29"/>
        <v>98.078940071260149</v>
      </c>
      <c r="H487">
        <f t="shared" ca="1" si="30"/>
        <v>0</v>
      </c>
      <c r="I487">
        <f t="shared" ca="1" si="31"/>
        <v>0</v>
      </c>
    </row>
    <row r="488" spans="5:9" x14ac:dyDescent="0.75">
      <c r="E488">
        <v>482</v>
      </c>
      <c r="F488">
        <f t="shared" ca="1" si="28"/>
        <v>0.32889108486598206</v>
      </c>
      <c r="G488">
        <f t="shared" ca="1" si="29"/>
        <v>110.0514961386893</v>
      </c>
      <c r="H488">
        <f t="shared" ca="1" si="30"/>
        <v>10.051496138689302</v>
      </c>
      <c r="I488">
        <f t="shared" ca="1" si="31"/>
        <v>9.5612788873765737</v>
      </c>
    </row>
    <row r="489" spans="5:9" x14ac:dyDescent="0.75">
      <c r="E489">
        <v>483</v>
      </c>
      <c r="F489">
        <f t="shared" ca="1" si="28"/>
        <v>-0.24694330111143203</v>
      </c>
      <c r="G489">
        <f t="shared" ca="1" si="29"/>
        <v>98.079809095106583</v>
      </c>
      <c r="H489">
        <f t="shared" ca="1" si="30"/>
        <v>0</v>
      </c>
      <c r="I489">
        <f t="shared" ca="1" si="31"/>
        <v>0</v>
      </c>
    </row>
    <row r="490" spans="5:9" x14ac:dyDescent="0.75">
      <c r="E490">
        <v>484</v>
      </c>
      <c r="F490">
        <f t="shared" ca="1" si="28"/>
        <v>-1.3560978792927902</v>
      </c>
      <c r="G490">
        <f t="shared" ca="1" si="29"/>
        <v>78.566909348126444</v>
      </c>
      <c r="H490">
        <f t="shared" ca="1" si="30"/>
        <v>0</v>
      </c>
      <c r="I490">
        <f t="shared" ca="1" si="31"/>
        <v>0</v>
      </c>
    </row>
    <row r="491" spans="5:9" x14ac:dyDescent="0.75">
      <c r="E491">
        <v>485</v>
      </c>
      <c r="F491">
        <f t="shared" ca="1" si="28"/>
        <v>1.383723069403324</v>
      </c>
      <c r="G491">
        <f t="shared" ca="1" si="29"/>
        <v>135.89938555830338</v>
      </c>
      <c r="H491">
        <f t="shared" ca="1" si="30"/>
        <v>35.899385558303379</v>
      </c>
      <c r="I491">
        <f t="shared" ca="1" si="31"/>
        <v>34.148551864554165</v>
      </c>
    </row>
    <row r="492" spans="5:9" x14ac:dyDescent="0.75">
      <c r="E492">
        <v>486</v>
      </c>
      <c r="F492">
        <f t="shared" ca="1" si="28"/>
        <v>0.6868528030362433</v>
      </c>
      <c r="G492">
        <f t="shared" ca="1" si="29"/>
        <v>118.21922580329461</v>
      </c>
      <c r="H492">
        <f t="shared" ca="1" si="30"/>
        <v>18.219225803294606</v>
      </c>
      <c r="I492">
        <f t="shared" ca="1" si="31"/>
        <v>17.330663675716487</v>
      </c>
    </row>
    <row r="493" spans="5:9" x14ac:dyDescent="0.75">
      <c r="E493">
        <v>487</v>
      </c>
      <c r="F493">
        <f t="shared" ca="1" si="28"/>
        <v>2.6890615884746167</v>
      </c>
      <c r="G493">
        <f t="shared" ca="1" si="29"/>
        <v>176.44028732329485</v>
      </c>
      <c r="H493">
        <f t="shared" ca="1" si="30"/>
        <v>76.440287323294854</v>
      </c>
      <c r="I493">
        <f t="shared" ca="1" si="31"/>
        <v>72.712250519206989</v>
      </c>
    </row>
    <row r="494" spans="5:9" x14ac:dyDescent="0.75">
      <c r="E494">
        <v>488</v>
      </c>
      <c r="F494">
        <f t="shared" ca="1" si="28"/>
        <v>-0.32699165762498084</v>
      </c>
      <c r="G494">
        <f t="shared" ca="1" si="29"/>
        <v>96.522086177473554</v>
      </c>
      <c r="H494">
        <f t="shared" ca="1" si="30"/>
        <v>0</v>
      </c>
      <c r="I494">
        <f t="shared" ca="1" si="31"/>
        <v>0</v>
      </c>
    </row>
    <row r="495" spans="5:9" x14ac:dyDescent="0.75">
      <c r="E495">
        <v>489</v>
      </c>
      <c r="F495">
        <f t="shared" ca="1" si="28"/>
        <v>1.3381712725791743</v>
      </c>
      <c r="G495">
        <f t="shared" ca="1" si="29"/>
        <v>134.66691596329673</v>
      </c>
      <c r="H495">
        <f t="shared" ca="1" si="30"/>
        <v>34.666915963296731</v>
      </c>
      <c r="I495">
        <f t="shared" ca="1" si="31"/>
        <v>32.976190520981362</v>
      </c>
    </row>
    <row r="496" spans="5:9" x14ac:dyDescent="0.75">
      <c r="E496">
        <v>490</v>
      </c>
      <c r="F496">
        <f t="shared" ca="1" si="28"/>
        <v>-1.5357080408463062</v>
      </c>
      <c r="G496">
        <f t="shared" ca="1" si="29"/>
        <v>75.794715800119903</v>
      </c>
      <c r="H496">
        <f t="shared" ca="1" si="30"/>
        <v>0</v>
      </c>
      <c r="I496">
        <f t="shared" ca="1" si="31"/>
        <v>0</v>
      </c>
    </row>
    <row r="497" spans="5:9" x14ac:dyDescent="0.75">
      <c r="E497">
        <v>491</v>
      </c>
      <c r="F497">
        <f t="shared" ca="1" si="28"/>
        <v>-0.31886721273317759</v>
      </c>
      <c r="G497">
        <f t="shared" ca="1" si="29"/>
        <v>96.679051342419172</v>
      </c>
      <c r="H497">
        <f t="shared" ca="1" si="30"/>
        <v>0</v>
      </c>
      <c r="I497">
        <f t="shared" ca="1" si="31"/>
        <v>0</v>
      </c>
    </row>
    <row r="498" spans="5:9" x14ac:dyDescent="0.75">
      <c r="E498">
        <v>492</v>
      </c>
      <c r="F498">
        <f t="shared" ca="1" si="28"/>
        <v>-0.45167170172410598</v>
      </c>
      <c r="G498">
        <f t="shared" ca="1" si="29"/>
        <v>94.144971633633602</v>
      </c>
      <c r="H498">
        <f t="shared" ca="1" si="30"/>
        <v>0</v>
      </c>
      <c r="I498">
        <f t="shared" ca="1" si="31"/>
        <v>0</v>
      </c>
    </row>
    <row r="499" spans="5:9" x14ac:dyDescent="0.75">
      <c r="E499">
        <v>493</v>
      </c>
      <c r="F499">
        <f t="shared" ca="1" si="28"/>
        <v>2.1092137227388199</v>
      </c>
      <c r="G499">
        <f t="shared" ca="1" si="29"/>
        <v>157.12048486202252</v>
      </c>
      <c r="H499">
        <f t="shared" ca="1" si="30"/>
        <v>57.120484862022522</v>
      </c>
      <c r="I499">
        <f t="shared" ca="1" si="31"/>
        <v>54.334685942503434</v>
      </c>
    </row>
    <row r="500" spans="5:9" x14ac:dyDescent="0.75">
      <c r="E500">
        <v>494</v>
      </c>
      <c r="F500">
        <f t="shared" ca="1" si="28"/>
        <v>7.6104609507884988E-2</v>
      </c>
      <c r="G500">
        <f t="shared" ca="1" si="29"/>
        <v>104.62589759009828</v>
      </c>
      <c r="H500">
        <f t="shared" ca="1" si="30"/>
        <v>4.6258975900982762</v>
      </c>
      <c r="I500">
        <f t="shared" ca="1" si="31"/>
        <v>4.4002899024284234</v>
      </c>
    </row>
    <row r="501" spans="5:9" x14ac:dyDescent="0.75">
      <c r="E501">
        <v>495</v>
      </c>
      <c r="F501">
        <f t="shared" ca="1" si="28"/>
        <v>0.65621171744524998</v>
      </c>
      <c r="G501">
        <f t="shared" ca="1" si="29"/>
        <v>117.49696805653747</v>
      </c>
      <c r="H501">
        <f t="shared" ca="1" si="30"/>
        <v>17.496968056537469</v>
      </c>
      <c r="I501">
        <f t="shared" ca="1" si="31"/>
        <v>16.643630854927512</v>
      </c>
    </row>
    <row r="502" spans="5:9" x14ac:dyDescent="0.75">
      <c r="E502">
        <v>496</v>
      </c>
      <c r="F502">
        <f t="shared" ca="1" si="28"/>
        <v>-0.6550379103605054</v>
      </c>
      <c r="G502">
        <f t="shared" ca="1" si="29"/>
        <v>90.392617922641676</v>
      </c>
      <c r="H502">
        <f t="shared" ca="1" si="30"/>
        <v>0</v>
      </c>
      <c r="I502">
        <f t="shared" ca="1" si="31"/>
        <v>0</v>
      </c>
    </row>
    <row r="503" spans="5:9" x14ac:dyDescent="0.75">
      <c r="E503">
        <v>497</v>
      </c>
      <c r="F503">
        <f t="shared" ca="1" si="28"/>
        <v>-0.71371289440511665</v>
      </c>
      <c r="G503">
        <f t="shared" ca="1" si="29"/>
        <v>89.338060555349344</v>
      </c>
      <c r="H503">
        <f t="shared" ca="1" si="30"/>
        <v>0</v>
      </c>
      <c r="I503">
        <f t="shared" ca="1" si="31"/>
        <v>0</v>
      </c>
    </row>
    <row r="504" spans="5:9" x14ac:dyDescent="0.75">
      <c r="E504">
        <v>498</v>
      </c>
      <c r="F504">
        <f t="shared" ca="1" si="28"/>
        <v>-0.22322520489948425</v>
      </c>
      <c r="G504">
        <f t="shared" ca="1" si="29"/>
        <v>98.546167603921532</v>
      </c>
      <c r="H504">
        <f t="shared" ca="1" si="30"/>
        <v>0</v>
      </c>
      <c r="I504">
        <f t="shared" ca="1" si="31"/>
        <v>0</v>
      </c>
    </row>
    <row r="505" spans="5:9" x14ac:dyDescent="0.75">
      <c r="E505">
        <v>499</v>
      </c>
      <c r="F505">
        <f t="shared" ca="1" si="28"/>
        <v>0.35180916863162903</v>
      </c>
      <c r="G505">
        <f t="shared" ca="1" si="29"/>
        <v>110.55708785423913</v>
      </c>
      <c r="H505">
        <f t="shared" ca="1" si="30"/>
        <v>10.557087854239128</v>
      </c>
      <c r="I505">
        <f t="shared" ca="1" si="31"/>
        <v>10.042212603991365</v>
      </c>
    </row>
    <row r="506" spans="5:9" x14ac:dyDescent="0.75">
      <c r="E506">
        <v>500</v>
      </c>
      <c r="F506">
        <f t="shared" ca="1" si="28"/>
        <v>1.044881418291169</v>
      </c>
      <c r="G506">
        <f t="shared" ca="1" si="29"/>
        <v>126.99484176959834</v>
      </c>
      <c r="H506">
        <f t="shared" ca="1" si="30"/>
        <v>26.994841769598338</v>
      </c>
      <c r="I506">
        <f t="shared" ca="1" si="31"/>
        <v>25.678287800982865</v>
      </c>
    </row>
    <row r="507" spans="5:9" x14ac:dyDescent="0.75">
      <c r="E507">
        <v>501</v>
      </c>
      <c r="F507">
        <f t="shared" ca="1" si="28"/>
        <v>-1.0921868498950928</v>
      </c>
      <c r="G507">
        <f t="shared" ca="1" si="29"/>
        <v>82.825237527789952</v>
      </c>
      <c r="H507">
        <f t="shared" ca="1" si="30"/>
        <v>0</v>
      </c>
      <c r="I507">
        <f t="shared" ca="1" si="31"/>
        <v>0</v>
      </c>
    </row>
    <row r="508" spans="5:9" x14ac:dyDescent="0.75">
      <c r="E508">
        <v>502</v>
      </c>
      <c r="F508">
        <f t="shared" ca="1" si="28"/>
        <v>-0.53791755927830132</v>
      </c>
      <c r="G508">
        <f t="shared" ca="1" si="29"/>
        <v>92.534974349553195</v>
      </c>
      <c r="H508">
        <f t="shared" ca="1" si="30"/>
        <v>0</v>
      </c>
      <c r="I508">
        <f t="shared" ca="1" si="31"/>
        <v>0</v>
      </c>
    </row>
    <row r="509" spans="5:9" x14ac:dyDescent="0.75">
      <c r="E509">
        <v>503</v>
      </c>
      <c r="F509">
        <f t="shared" ca="1" si="28"/>
        <v>0.1854490087409337</v>
      </c>
      <c r="G509">
        <f t="shared" ca="1" si="29"/>
        <v>106.93915070895861</v>
      </c>
      <c r="H509">
        <f t="shared" ca="1" si="30"/>
        <v>6.9391507089586071</v>
      </c>
      <c r="I509">
        <f t="shared" ca="1" si="31"/>
        <v>6.6007243354064178</v>
      </c>
    </row>
    <row r="510" spans="5:9" x14ac:dyDescent="0.75">
      <c r="E510">
        <v>504</v>
      </c>
      <c r="F510">
        <f t="shared" ca="1" si="28"/>
        <v>-0.94783206135804832</v>
      </c>
      <c r="G510">
        <f t="shared" ca="1" si="29"/>
        <v>85.251334816830891</v>
      </c>
      <c r="H510">
        <f t="shared" ca="1" si="30"/>
        <v>0</v>
      </c>
      <c r="I510">
        <f t="shared" ca="1" si="31"/>
        <v>0</v>
      </c>
    </row>
    <row r="511" spans="5:9" x14ac:dyDescent="0.75">
      <c r="E511">
        <v>505</v>
      </c>
      <c r="F511">
        <f t="shared" ca="1" si="28"/>
        <v>0.12543471834976483</v>
      </c>
      <c r="G511">
        <f t="shared" ca="1" si="29"/>
        <v>105.66324781874062</v>
      </c>
      <c r="H511">
        <f t="shared" ca="1" si="30"/>
        <v>5.663247818740615</v>
      </c>
      <c r="I511">
        <f t="shared" ca="1" si="31"/>
        <v>5.3870479634255588</v>
      </c>
    </row>
    <row r="512" spans="5:9" x14ac:dyDescent="0.75">
      <c r="E512">
        <v>506</v>
      </c>
      <c r="F512">
        <f t="shared" ca="1" si="28"/>
        <v>-1.2627909410151328</v>
      </c>
      <c r="G512">
        <f t="shared" ca="1" si="29"/>
        <v>80.046842757568243</v>
      </c>
      <c r="H512">
        <f t="shared" ca="1" si="30"/>
        <v>0</v>
      </c>
      <c r="I512">
        <f t="shared" ca="1" si="31"/>
        <v>0</v>
      </c>
    </row>
    <row r="513" spans="5:9" x14ac:dyDescent="0.75">
      <c r="E513">
        <v>507</v>
      </c>
      <c r="F513">
        <f t="shared" ca="1" si="28"/>
        <v>0.17962936834900273</v>
      </c>
      <c r="G513">
        <f t="shared" ca="1" si="29"/>
        <v>106.81475363743557</v>
      </c>
      <c r="H513">
        <f t="shared" ca="1" si="30"/>
        <v>6.8147536374355724</v>
      </c>
      <c r="I513">
        <f t="shared" ca="1" si="31"/>
        <v>6.4823941806519869</v>
      </c>
    </row>
    <row r="514" spans="5:9" x14ac:dyDescent="0.75">
      <c r="E514">
        <v>508</v>
      </c>
      <c r="F514">
        <f t="shared" ca="1" si="28"/>
        <v>0.5071757838123051</v>
      </c>
      <c r="G514">
        <f t="shared" ca="1" si="29"/>
        <v>114.04639539496256</v>
      </c>
      <c r="H514">
        <f t="shared" ca="1" si="30"/>
        <v>14.046395394962559</v>
      </c>
      <c r="I514">
        <f t="shared" ca="1" si="31"/>
        <v>13.361344607859715</v>
      </c>
    </row>
    <row r="515" spans="5:9" x14ac:dyDescent="0.75">
      <c r="E515">
        <v>509</v>
      </c>
      <c r="F515">
        <f t="shared" ca="1" si="28"/>
        <v>1.7640317061954576</v>
      </c>
      <c r="G515">
        <f t="shared" ca="1" si="29"/>
        <v>146.63940225196063</v>
      </c>
      <c r="H515">
        <f t="shared" ca="1" si="30"/>
        <v>46.639402251960632</v>
      </c>
      <c r="I515">
        <f t="shared" ca="1" si="31"/>
        <v>44.364771763189815</v>
      </c>
    </row>
    <row r="516" spans="5:9" x14ac:dyDescent="0.75">
      <c r="E516">
        <v>510</v>
      </c>
      <c r="F516">
        <f t="shared" ca="1" si="28"/>
        <v>-0.48531476641445437</v>
      </c>
      <c r="G516">
        <f t="shared" ca="1" si="29"/>
        <v>93.513632958181319</v>
      </c>
      <c r="H516">
        <f t="shared" ca="1" si="30"/>
        <v>0</v>
      </c>
      <c r="I516">
        <f t="shared" ca="1" si="31"/>
        <v>0</v>
      </c>
    </row>
    <row r="517" spans="5:9" x14ac:dyDescent="0.75">
      <c r="E517">
        <v>511</v>
      </c>
      <c r="F517">
        <f t="shared" ca="1" si="28"/>
        <v>6.1523534711523616E-2</v>
      </c>
      <c r="G517">
        <f t="shared" ca="1" si="29"/>
        <v>104.32123043579054</v>
      </c>
      <c r="H517">
        <f t="shared" ca="1" si="30"/>
        <v>4.3212304357905396</v>
      </c>
      <c r="I517">
        <f t="shared" ca="1" si="31"/>
        <v>4.110481540572005</v>
      </c>
    </row>
    <row r="518" spans="5:9" x14ac:dyDescent="0.75">
      <c r="E518">
        <v>512</v>
      </c>
      <c r="F518">
        <f t="shared" ca="1" si="28"/>
        <v>-0.21235858688465192</v>
      </c>
      <c r="G518">
        <f t="shared" ca="1" si="29"/>
        <v>98.760573217955354</v>
      </c>
      <c r="H518">
        <f t="shared" ca="1" si="30"/>
        <v>0</v>
      </c>
      <c r="I518">
        <f t="shared" ca="1" si="31"/>
        <v>0</v>
      </c>
    </row>
    <row r="519" spans="5:9" x14ac:dyDescent="0.75">
      <c r="E519">
        <v>513</v>
      </c>
      <c r="F519">
        <f t="shared" ca="1" si="28"/>
        <v>-0.21947546548032551</v>
      </c>
      <c r="G519">
        <f t="shared" ca="1" si="29"/>
        <v>98.620099812962593</v>
      </c>
      <c r="H519">
        <f t="shared" ca="1" si="30"/>
        <v>0</v>
      </c>
      <c r="I519">
        <f t="shared" ca="1" si="31"/>
        <v>0</v>
      </c>
    </row>
    <row r="520" spans="5:9" x14ac:dyDescent="0.75">
      <c r="E520">
        <v>514</v>
      </c>
      <c r="F520">
        <f t="shared" ref="F520:F583" ca="1" si="32">NORMINV(RAND(), 0,1)</f>
        <v>0.41580740595679033</v>
      </c>
      <c r="G520">
        <f t="shared" ref="G520:G583" ca="1" si="33">$C$5*EXP(($C$6-0.5*$C$7^2)*$C$8+$C$7*SQRT($C$8)*F520)</f>
        <v>111.9812747045646</v>
      </c>
      <c r="H520">
        <f t="shared" ref="H520:H583" ca="1" si="34">MAX(G520-$C$9,0)</f>
        <v>11.981274704564598</v>
      </c>
      <c r="I520">
        <f t="shared" ref="I520:I583" ca="1" si="35">EXP(-$C$6*$C$8)*H520</f>
        <v>11.396941042007944</v>
      </c>
    </row>
    <row r="521" spans="5:9" x14ac:dyDescent="0.75">
      <c r="E521">
        <v>515</v>
      </c>
      <c r="F521">
        <f t="shared" ca="1" si="32"/>
        <v>0.87869349373480266</v>
      </c>
      <c r="G521">
        <f t="shared" ca="1" si="33"/>
        <v>122.84321711883959</v>
      </c>
      <c r="H521">
        <f t="shared" ca="1" si="34"/>
        <v>22.84321711883959</v>
      </c>
      <c r="I521">
        <f t="shared" ca="1" si="35"/>
        <v>21.72914027369864</v>
      </c>
    </row>
    <row r="522" spans="5:9" x14ac:dyDescent="0.75">
      <c r="E522">
        <v>516</v>
      </c>
      <c r="F522">
        <f t="shared" ca="1" si="32"/>
        <v>0.28280305420450702</v>
      </c>
      <c r="G522">
        <f t="shared" ca="1" si="33"/>
        <v>109.04174568338929</v>
      </c>
      <c r="H522">
        <f t="shared" ca="1" si="34"/>
        <v>9.0417456833892942</v>
      </c>
      <c r="I522">
        <f t="shared" ca="1" si="35"/>
        <v>8.6007745428922142</v>
      </c>
    </row>
    <row r="523" spans="5:9" x14ac:dyDescent="0.75">
      <c r="E523">
        <v>517</v>
      </c>
      <c r="F523">
        <f t="shared" ca="1" si="32"/>
        <v>-1.6730329818462579</v>
      </c>
      <c r="G523">
        <f t="shared" ca="1" si="33"/>
        <v>73.741341845187534</v>
      </c>
      <c r="H523">
        <f t="shared" ca="1" si="34"/>
        <v>0</v>
      </c>
      <c r="I523">
        <f t="shared" ca="1" si="35"/>
        <v>0</v>
      </c>
    </row>
    <row r="524" spans="5:9" x14ac:dyDescent="0.75">
      <c r="E524">
        <v>518</v>
      </c>
      <c r="F524">
        <f t="shared" ca="1" si="32"/>
        <v>8.0658227417070863E-2</v>
      </c>
      <c r="G524">
        <f t="shared" ca="1" si="33"/>
        <v>104.72122626475154</v>
      </c>
      <c r="H524">
        <f t="shared" ca="1" si="34"/>
        <v>4.721226264751536</v>
      </c>
      <c r="I524">
        <f t="shared" ca="1" si="35"/>
        <v>4.4909693427572588</v>
      </c>
    </row>
    <row r="525" spans="5:9" x14ac:dyDescent="0.75">
      <c r="E525">
        <v>519</v>
      </c>
      <c r="F525">
        <f t="shared" ca="1" si="32"/>
        <v>-1.0262637942724417</v>
      </c>
      <c r="G525">
        <f t="shared" ca="1" si="33"/>
        <v>83.924486738719793</v>
      </c>
      <c r="H525">
        <f t="shared" ca="1" si="34"/>
        <v>0</v>
      </c>
      <c r="I525">
        <f t="shared" ca="1" si="35"/>
        <v>0</v>
      </c>
    </row>
    <row r="526" spans="5:9" x14ac:dyDescent="0.75">
      <c r="E526">
        <v>520</v>
      </c>
      <c r="F526">
        <f t="shared" ca="1" si="32"/>
        <v>-0.6273998880693733</v>
      </c>
      <c r="G526">
        <f t="shared" ca="1" si="33"/>
        <v>90.893656055025673</v>
      </c>
      <c r="H526">
        <f t="shared" ca="1" si="34"/>
        <v>0</v>
      </c>
      <c r="I526">
        <f t="shared" ca="1" si="35"/>
        <v>0</v>
      </c>
    </row>
    <row r="527" spans="5:9" x14ac:dyDescent="0.75">
      <c r="E527">
        <v>521</v>
      </c>
      <c r="F527">
        <f t="shared" ca="1" si="32"/>
        <v>0.23626493698214296</v>
      </c>
      <c r="G527">
        <f t="shared" ca="1" si="33"/>
        <v>108.03153479912177</v>
      </c>
      <c r="H527">
        <f t="shared" ca="1" si="34"/>
        <v>8.031534799121772</v>
      </c>
      <c r="I527">
        <f t="shared" ca="1" si="35"/>
        <v>7.6398322248260611</v>
      </c>
    </row>
    <row r="528" spans="5:9" x14ac:dyDescent="0.75">
      <c r="E528">
        <v>522</v>
      </c>
      <c r="F528">
        <f t="shared" ca="1" si="32"/>
        <v>4.0238102686894303E-2</v>
      </c>
      <c r="G528">
        <f t="shared" ca="1" si="33"/>
        <v>103.87806989957917</v>
      </c>
      <c r="H528">
        <f t="shared" ca="1" si="34"/>
        <v>3.8780698995791738</v>
      </c>
      <c r="I528">
        <f t="shared" ca="1" si="35"/>
        <v>3.6889341987502391</v>
      </c>
    </row>
    <row r="529" spans="5:9" x14ac:dyDescent="0.75">
      <c r="E529">
        <v>523</v>
      </c>
      <c r="F529">
        <f t="shared" ca="1" si="32"/>
        <v>-1.5901120059000662</v>
      </c>
      <c r="G529">
        <f t="shared" ca="1" si="33"/>
        <v>74.974479688276517</v>
      </c>
      <c r="H529">
        <f t="shared" ca="1" si="34"/>
        <v>0</v>
      </c>
      <c r="I529">
        <f t="shared" ca="1" si="35"/>
        <v>0</v>
      </c>
    </row>
    <row r="530" spans="5:9" x14ac:dyDescent="0.75">
      <c r="E530">
        <v>524</v>
      </c>
      <c r="F530">
        <f t="shared" ca="1" si="32"/>
        <v>-1.6134615982203162</v>
      </c>
      <c r="G530">
        <f t="shared" ca="1" si="33"/>
        <v>74.625171237054388</v>
      </c>
      <c r="H530">
        <f t="shared" ca="1" si="34"/>
        <v>0</v>
      </c>
      <c r="I530">
        <f t="shared" ca="1" si="35"/>
        <v>0</v>
      </c>
    </row>
    <row r="531" spans="5:9" x14ac:dyDescent="0.75">
      <c r="E531">
        <v>525</v>
      </c>
      <c r="F531">
        <f t="shared" ca="1" si="32"/>
        <v>1.464671813950976</v>
      </c>
      <c r="G531">
        <f t="shared" ca="1" si="33"/>
        <v>138.11746914773451</v>
      </c>
      <c r="H531">
        <f t="shared" ca="1" si="34"/>
        <v>38.117469147734511</v>
      </c>
      <c r="I531">
        <f t="shared" ca="1" si="35"/>
        <v>36.258458240823224</v>
      </c>
    </row>
    <row r="532" spans="5:9" x14ac:dyDescent="0.75">
      <c r="E532">
        <v>526</v>
      </c>
      <c r="F532">
        <f t="shared" ca="1" si="32"/>
        <v>-0.10074140363659338</v>
      </c>
      <c r="G532">
        <f t="shared" ca="1" si="33"/>
        <v>100.99004072142901</v>
      </c>
      <c r="H532">
        <f t="shared" ca="1" si="34"/>
        <v>0.99004072142901123</v>
      </c>
      <c r="I532">
        <f t="shared" ca="1" si="35"/>
        <v>0.94175586567719005</v>
      </c>
    </row>
    <row r="533" spans="5:9" x14ac:dyDescent="0.75">
      <c r="E533">
        <v>527</v>
      </c>
      <c r="F533">
        <f t="shared" ca="1" si="32"/>
        <v>-4.2320759290756634E-2</v>
      </c>
      <c r="G533">
        <f t="shared" ca="1" si="33"/>
        <v>102.17694182158982</v>
      </c>
      <c r="H533">
        <f t="shared" ca="1" si="34"/>
        <v>2.1769418215898213</v>
      </c>
      <c r="I533">
        <f t="shared" ca="1" si="35"/>
        <v>2.0707711161224216</v>
      </c>
    </row>
    <row r="534" spans="5:9" x14ac:dyDescent="0.75">
      <c r="E534">
        <v>528</v>
      </c>
      <c r="F534">
        <f t="shared" ca="1" si="32"/>
        <v>1.7721539776645707</v>
      </c>
      <c r="G534">
        <f t="shared" ca="1" si="33"/>
        <v>146.87780484322317</v>
      </c>
      <c r="H534">
        <f t="shared" ca="1" si="34"/>
        <v>46.877804843223174</v>
      </c>
      <c r="I534">
        <f t="shared" ca="1" si="35"/>
        <v>44.591547322875961</v>
      </c>
    </row>
    <row r="535" spans="5:9" x14ac:dyDescent="0.75">
      <c r="E535">
        <v>529</v>
      </c>
      <c r="F535">
        <f t="shared" ca="1" si="32"/>
        <v>0.88614273170646074</v>
      </c>
      <c r="G535">
        <f t="shared" ca="1" si="33"/>
        <v>123.02637119229381</v>
      </c>
      <c r="H535">
        <f t="shared" ca="1" si="34"/>
        <v>23.026371192293809</v>
      </c>
      <c r="I535">
        <f t="shared" ca="1" si="35"/>
        <v>21.903361817585459</v>
      </c>
    </row>
    <row r="536" spans="5:9" x14ac:dyDescent="0.75">
      <c r="E536">
        <v>530</v>
      </c>
      <c r="F536">
        <f t="shared" ca="1" si="32"/>
        <v>-0.15947099722466426</v>
      </c>
      <c r="G536">
        <f t="shared" ca="1" si="33"/>
        <v>99.810759341864326</v>
      </c>
      <c r="H536">
        <f t="shared" ca="1" si="34"/>
        <v>0</v>
      </c>
      <c r="I536">
        <f t="shared" ca="1" si="35"/>
        <v>0</v>
      </c>
    </row>
    <row r="537" spans="5:9" x14ac:dyDescent="0.75">
      <c r="E537">
        <v>531</v>
      </c>
      <c r="F537">
        <f t="shared" ca="1" si="32"/>
        <v>1.7111831398522033</v>
      </c>
      <c r="G537">
        <f t="shared" ca="1" si="33"/>
        <v>145.09762822470788</v>
      </c>
      <c r="H537">
        <f t="shared" ca="1" si="34"/>
        <v>45.097628224707876</v>
      </c>
      <c r="I537">
        <f t="shared" ca="1" si="35"/>
        <v>42.898190942536033</v>
      </c>
    </row>
    <row r="538" spans="5:9" x14ac:dyDescent="0.75">
      <c r="E538">
        <v>532</v>
      </c>
      <c r="F538">
        <f t="shared" ca="1" si="32"/>
        <v>-0.54714740498297731</v>
      </c>
      <c r="G538">
        <f t="shared" ca="1" si="33"/>
        <v>92.364315206663932</v>
      </c>
      <c r="H538">
        <f t="shared" ca="1" si="34"/>
        <v>0</v>
      </c>
      <c r="I538">
        <f t="shared" ca="1" si="35"/>
        <v>0</v>
      </c>
    </row>
    <row r="539" spans="5:9" x14ac:dyDescent="0.75">
      <c r="E539">
        <v>533</v>
      </c>
      <c r="F539">
        <f t="shared" ca="1" si="32"/>
        <v>2.5022544866887273</v>
      </c>
      <c r="G539">
        <f t="shared" ca="1" si="33"/>
        <v>169.96985254030892</v>
      </c>
      <c r="H539">
        <f t="shared" ca="1" si="34"/>
        <v>69.969852540308921</v>
      </c>
      <c r="I539">
        <f t="shared" ca="1" si="35"/>
        <v>66.557382564317876</v>
      </c>
    </row>
    <row r="540" spans="5:9" x14ac:dyDescent="0.75">
      <c r="E540">
        <v>534</v>
      </c>
      <c r="F540">
        <f t="shared" ca="1" si="32"/>
        <v>0.34497504719296163</v>
      </c>
      <c r="G540">
        <f t="shared" ca="1" si="33"/>
        <v>110.40607896619645</v>
      </c>
      <c r="H540">
        <f t="shared" ca="1" si="34"/>
        <v>10.406078966196446</v>
      </c>
      <c r="I540">
        <f t="shared" ca="1" si="35"/>
        <v>9.8985685063240307</v>
      </c>
    </row>
    <row r="541" spans="5:9" x14ac:dyDescent="0.75">
      <c r="E541">
        <v>535</v>
      </c>
      <c r="F541">
        <f t="shared" ca="1" si="32"/>
        <v>-1.6645692745132379</v>
      </c>
      <c r="G541">
        <f t="shared" ca="1" si="33"/>
        <v>73.866272580218634</v>
      </c>
      <c r="H541">
        <f t="shared" ca="1" si="34"/>
        <v>0</v>
      </c>
      <c r="I541">
        <f t="shared" ca="1" si="35"/>
        <v>0</v>
      </c>
    </row>
    <row r="542" spans="5:9" x14ac:dyDescent="0.75">
      <c r="E542">
        <v>536</v>
      </c>
      <c r="F542">
        <f t="shared" ca="1" si="32"/>
        <v>-1.093684921652641</v>
      </c>
      <c r="G542">
        <f t="shared" ca="1" si="33"/>
        <v>82.800425615147603</v>
      </c>
      <c r="H542">
        <f t="shared" ca="1" si="34"/>
        <v>0</v>
      </c>
      <c r="I542">
        <f t="shared" ca="1" si="35"/>
        <v>0</v>
      </c>
    </row>
    <row r="543" spans="5:9" x14ac:dyDescent="0.75">
      <c r="E543">
        <v>537</v>
      </c>
      <c r="F543">
        <f t="shared" ca="1" si="32"/>
        <v>0.22081747068734797</v>
      </c>
      <c r="G543">
        <f t="shared" ca="1" si="33"/>
        <v>107.69828714885925</v>
      </c>
      <c r="H543">
        <f t="shared" ca="1" si="34"/>
        <v>7.6982871488592508</v>
      </c>
      <c r="I543">
        <f t="shared" ca="1" si="35"/>
        <v>7.3228372542506275</v>
      </c>
    </row>
    <row r="544" spans="5:9" x14ac:dyDescent="0.75">
      <c r="E544">
        <v>538</v>
      </c>
      <c r="F544">
        <f t="shared" ca="1" si="32"/>
        <v>-0.33073414269975804</v>
      </c>
      <c r="G544">
        <f t="shared" ca="1" si="33"/>
        <v>96.449866715490032</v>
      </c>
      <c r="H544">
        <f t="shared" ca="1" si="34"/>
        <v>0</v>
      </c>
      <c r="I544">
        <f t="shared" ca="1" si="35"/>
        <v>0</v>
      </c>
    </row>
    <row r="545" spans="5:9" x14ac:dyDescent="0.75">
      <c r="E545">
        <v>539</v>
      </c>
      <c r="F545">
        <f t="shared" ca="1" si="32"/>
        <v>-2.0647605929425055</v>
      </c>
      <c r="G545">
        <f t="shared" ca="1" si="33"/>
        <v>68.184554623157126</v>
      </c>
      <c r="H545">
        <f t="shared" ca="1" si="34"/>
        <v>0</v>
      </c>
      <c r="I545">
        <f t="shared" ca="1" si="35"/>
        <v>0</v>
      </c>
    </row>
    <row r="546" spans="5:9" x14ac:dyDescent="0.75">
      <c r="E546">
        <v>540</v>
      </c>
      <c r="F546">
        <f t="shared" ca="1" si="32"/>
        <v>0.73030887058974092</v>
      </c>
      <c r="G546">
        <f t="shared" ca="1" si="33"/>
        <v>119.2511722735194</v>
      </c>
      <c r="H546">
        <f t="shared" ca="1" si="34"/>
        <v>19.251172273519401</v>
      </c>
      <c r="I546">
        <f t="shared" ca="1" si="35"/>
        <v>18.312281522703962</v>
      </c>
    </row>
    <row r="547" spans="5:9" x14ac:dyDescent="0.75">
      <c r="E547">
        <v>541</v>
      </c>
      <c r="F547">
        <f t="shared" ca="1" si="32"/>
        <v>0.14803734903612534</v>
      </c>
      <c r="G547">
        <f t="shared" ca="1" si="33"/>
        <v>106.14198254342084</v>
      </c>
      <c r="H547">
        <f t="shared" ca="1" si="34"/>
        <v>6.1419825434208377</v>
      </c>
      <c r="I547">
        <f t="shared" ca="1" si="35"/>
        <v>5.8424345200716354</v>
      </c>
    </row>
    <row r="548" spans="5:9" x14ac:dyDescent="0.75">
      <c r="E548">
        <v>542</v>
      </c>
      <c r="F548">
        <f t="shared" ca="1" si="32"/>
        <v>-0.29355832797146963</v>
      </c>
      <c r="G548">
        <f t="shared" ca="1" si="33"/>
        <v>97.169659763965512</v>
      </c>
      <c r="H548">
        <f t="shared" ca="1" si="34"/>
        <v>0</v>
      </c>
      <c r="I548">
        <f t="shared" ca="1" si="35"/>
        <v>0</v>
      </c>
    </row>
    <row r="549" spans="5:9" x14ac:dyDescent="0.75">
      <c r="E549">
        <v>543</v>
      </c>
      <c r="F549">
        <f t="shared" ca="1" si="32"/>
        <v>0.11881906895292604</v>
      </c>
      <c r="G549">
        <f t="shared" ca="1" si="33"/>
        <v>105.5235340685021</v>
      </c>
      <c r="H549">
        <f t="shared" ca="1" si="34"/>
        <v>5.5235340685021015</v>
      </c>
      <c r="I549">
        <f t="shared" ca="1" si="35"/>
        <v>5.2541481331913413</v>
      </c>
    </row>
    <row r="550" spans="5:9" x14ac:dyDescent="0.75">
      <c r="E550">
        <v>544</v>
      </c>
      <c r="F550">
        <f t="shared" ca="1" si="32"/>
        <v>-0.34098577362046251</v>
      </c>
      <c r="G550">
        <f t="shared" ca="1" si="33"/>
        <v>96.25231561960473</v>
      </c>
      <c r="H550">
        <f t="shared" ca="1" si="34"/>
        <v>0</v>
      </c>
      <c r="I550">
        <f t="shared" ca="1" si="35"/>
        <v>0</v>
      </c>
    </row>
    <row r="551" spans="5:9" x14ac:dyDescent="0.75">
      <c r="E551">
        <v>545</v>
      </c>
      <c r="F551">
        <f t="shared" ca="1" si="32"/>
        <v>-4.0835806919275616E-2</v>
      </c>
      <c r="G551">
        <f t="shared" ca="1" si="33"/>
        <v>102.20729190662354</v>
      </c>
      <c r="H551">
        <f t="shared" ca="1" si="34"/>
        <v>2.2072919066235386</v>
      </c>
      <c r="I551">
        <f t="shared" ca="1" si="35"/>
        <v>2.0996410100425922</v>
      </c>
    </row>
    <row r="552" spans="5:9" x14ac:dyDescent="0.75">
      <c r="E552">
        <v>546</v>
      </c>
      <c r="F552">
        <f t="shared" ca="1" si="32"/>
        <v>-0.35161961986306889</v>
      </c>
      <c r="G552">
        <f t="shared" ca="1" si="33"/>
        <v>96.047826682115726</v>
      </c>
      <c r="H552">
        <f t="shared" ca="1" si="34"/>
        <v>0</v>
      </c>
      <c r="I552">
        <f t="shared" ca="1" si="35"/>
        <v>0</v>
      </c>
    </row>
    <row r="553" spans="5:9" x14ac:dyDescent="0.75">
      <c r="E553">
        <v>547</v>
      </c>
      <c r="F553">
        <f t="shared" ca="1" si="32"/>
        <v>0.46624108893149196</v>
      </c>
      <c r="G553">
        <f t="shared" ca="1" si="33"/>
        <v>113.11651614159636</v>
      </c>
      <c r="H553">
        <f t="shared" ca="1" si="34"/>
        <v>13.116516141596364</v>
      </c>
      <c r="I553">
        <f t="shared" ca="1" si="35"/>
        <v>12.476816100825035</v>
      </c>
    </row>
    <row r="554" spans="5:9" x14ac:dyDescent="0.75">
      <c r="E554">
        <v>548</v>
      </c>
      <c r="F554">
        <f t="shared" ca="1" si="32"/>
        <v>-2.8225926936350532</v>
      </c>
      <c r="G554">
        <f t="shared" ca="1" si="33"/>
        <v>58.59513351181954</v>
      </c>
      <c r="H554">
        <f t="shared" ca="1" si="34"/>
        <v>0</v>
      </c>
      <c r="I554">
        <f t="shared" ca="1" si="35"/>
        <v>0</v>
      </c>
    </row>
    <row r="555" spans="5:9" x14ac:dyDescent="0.75">
      <c r="E555">
        <v>549</v>
      </c>
      <c r="F555">
        <f t="shared" ca="1" si="32"/>
        <v>0.99360022811004722</v>
      </c>
      <c r="G555">
        <f t="shared" ca="1" si="33"/>
        <v>125.69900898685368</v>
      </c>
      <c r="H555">
        <f t="shared" ca="1" si="34"/>
        <v>25.699008986853684</v>
      </c>
      <c r="I555">
        <f t="shared" ca="1" si="35"/>
        <v>24.445653528803508</v>
      </c>
    </row>
    <row r="556" spans="5:9" x14ac:dyDescent="0.75">
      <c r="E556">
        <v>550</v>
      </c>
      <c r="F556">
        <f t="shared" ca="1" si="32"/>
        <v>-0.31263402709823052</v>
      </c>
      <c r="G556">
        <f t="shared" ca="1" si="33"/>
        <v>96.799650193108519</v>
      </c>
      <c r="H556">
        <f t="shared" ca="1" si="34"/>
        <v>0</v>
      </c>
      <c r="I556">
        <f t="shared" ca="1" si="35"/>
        <v>0</v>
      </c>
    </row>
    <row r="557" spans="5:9" x14ac:dyDescent="0.75">
      <c r="E557">
        <v>551</v>
      </c>
      <c r="F557">
        <f t="shared" ca="1" si="32"/>
        <v>0.58200612295737286</v>
      </c>
      <c r="G557">
        <f t="shared" ca="1" si="33"/>
        <v>115.7660576774461</v>
      </c>
      <c r="H557">
        <f t="shared" ca="1" si="34"/>
        <v>15.766057677446099</v>
      </c>
      <c r="I557">
        <f t="shared" ca="1" si="35"/>
        <v>14.997137971162116</v>
      </c>
    </row>
    <row r="558" spans="5:9" x14ac:dyDescent="0.75">
      <c r="E558">
        <v>552</v>
      </c>
      <c r="F558">
        <f t="shared" ca="1" si="32"/>
        <v>-0.4735385210992169</v>
      </c>
      <c r="G558">
        <f t="shared" ca="1" si="33"/>
        <v>93.734140427660478</v>
      </c>
      <c r="H558">
        <f t="shared" ca="1" si="34"/>
        <v>0</v>
      </c>
      <c r="I558">
        <f t="shared" ca="1" si="35"/>
        <v>0</v>
      </c>
    </row>
    <row r="559" spans="5:9" x14ac:dyDescent="0.75">
      <c r="E559">
        <v>553</v>
      </c>
      <c r="F559">
        <f t="shared" ca="1" si="32"/>
        <v>-0.14486284456811924</v>
      </c>
      <c r="G559">
        <f t="shared" ca="1" si="33"/>
        <v>100.1027959074503</v>
      </c>
      <c r="H559">
        <f t="shared" ca="1" si="34"/>
        <v>0.10279590745030021</v>
      </c>
      <c r="I559">
        <f t="shared" ca="1" si="35"/>
        <v>9.7782491884977729E-2</v>
      </c>
    </row>
    <row r="560" spans="5:9" x14ac:dyDescent="0.75">
      <c r="E560">
        <v>554</v>
      </c>
      <c r="F560">
        <f t="shared" ca="1" si="32"/>
        <v>-0.10130748691012016</v>
      </c>
      <c r="G560">
        <f t="shared" ca="1" si="33"/>
        <v>100.97860761408126</v>
      </c>
      <c r="H560">
        <f t="shared" ca="1" si="34"/>
        <v>0.97860761408125541</v>
      </c>
      <c r="I560">
        <f t="shared" ca="1" si="35"/>
        <v>0.93088035755452947</v>
      </c>
    </row>
    <row r="561" spans="5:9" x14ac:dyDescent="0.75">
      <c r="E561">
        <v>555</v>
      </c>
      <c r="F561">
        <f t="shared" ca="1" si="32"/>
        <v>-0.30635337107685795</v>
      </c>
      <c r="G561">
        <f t="shared" ca="1" si="33"/>
        <v>96.92131965468441</v>
      </c>
      <c r="H561">
        <f t="shared" ca="1" si="34"/>
        <v>0</v>
      </c>
      <c r="I561">
        <f t="shared" ca="1" si="35"/>
        <v>0</v>
      </c>
    </row>
    <row r="562" spans="5:9" x14ac:dyDescent="0.75">
      <c r="E562">
        <v>556</v>
      </c>
      <c r="F562">
        <f t="shared" ca="1" si="32"/>
        <v>-0.83950932221173924</v>
      </c>
      <c r="G562">
        <f t="shared" ca="1" si="33"/>
        <v>87.118418169641615</v>
      </c>
      <c r="H562">
        <f t="shared" ca="1" si="34"/>
        <v>0</v>
      </c>
      <c r="I562">
        <f t="shared" ca="1" si="35"/>
        <v>0</v>
      </c>
    </row>
    <row r="563" spans="5:9" x14ac:dyDescent="0.75">
      <c r="E563">
        <v>557</v>
      </c>
      <c r="F563">
        <f t="shared" ca="1" si="32"/>
        <v>0.98181370663878198</v>
      </c>
      <c r="G563">
        <f t="shared" ca="1" si="33"/>
        <v>125.40304714629657</v>
      </c>
      <c r="H563">
        <f t="shared" ca="1" si="34"/>
        <v>25.403047146296572</v>
      </c>
      <c r="I563">
        <f t="shared" ca="1" si="35"/>
        <v>24.164125917536193</v>
      </c>
    </row>
    <row r="564" spans="5:9" x14ac:dyDescent="0.75">
      <c r="E564">
        <v>558</v>
      </c>
      <c r="F564">
        <f t="shared" ca="1" si="32"/>
        <v>-0.21547535977544002</v>
      </c>
      <c r="G564">
        <f t="shared" ca="1" si="33"/>
        <v>98.699029546256071</v>
      </c>
      <c r="H564">
        <f t="shared" ca="1" si="34"/>
        <v>0</v>
      </c>
      <c r="I564">
        <f t="shared" ca="1" si="35"/>
        <v>0</v>
      </c>
    </row>
    <row r="565" spans="5:9" x14ac:dyDescent="0.75">
      <c r="E565">
        <v>559</v>
      </c>
      <c r="F565">
        <f t="shared" ca="1" si="32"/>
        <v>1.8433654126593819</v>
      </c>
      <c r="G565">
        <f t="shared" ca="1" si="33"/>
        <v>148.98464821451961</v>
      </c>
      <c r="H565">
        <f t="shared" ca="1" si="34"/>
        <v>48.984648214519609</v>
      </c>
      <c r="I565">
        <f t="shared" ca="1" si="35"/>
        <v>46.595638730467414</v>
      </c>
    </row>
    <row r="566" spans="5:9" x14ac:dyDescent="0.75">
      <c r="E566">
        <v>560</v>
      </c>
      <c r="F566">
        <f t="shared" ca="1" si="32"/>
        <v>-0.17982354426894992</v>
      </c>
      <c r="G566">
        <f t="shared" ca="1" si="33"/>
        <v>99.405304470625467</v>
      </c>
      <c r="H566">
        <f t="shared" ca="1" si="34"/>
        <v>0</v>
      </c>
      <c r="I566">
        <f t="shared" ca="1" si="35"/>
        <v>0</v>
      </c>
    </row>
    <row r="567" spans="5:9" x14ac:dyDescent="0.75">
      <c r="E567">
        <v>561</v>
      </c>
      <c r="F567">
        <f t="shared" ca="1" si="32"/>
        <v>-0.53730339901382096</v>
      </c>
      <c r="G567">
        <f t="shared" ca="1" si="33"/>
        <v>92.546341308516404</v>
      </c>
      <c r="H567">
        <f t="shared" ca="1" si="34"/>
        <v>0</v>
      </c>
      <c r="I567">
        <f t="shared" ca="1" si="35"/>
        <v>0</v>
      </c>
    </row>
    <row r="568" spans="5:9" x14ac:dyDescent="0.75">
      <c r="E568">
        <v>562</v>
      </c>
      <c r="F568">
        <f t="shared" ca="1" si="32"/>
        <v>-0.96401935664171656</v>
      </c>
      <c r="G568">
        <f t="shared" ca="1" si="33"/>
        <v>84.975783394727458</v>
      </c>
      <c r="H568">
        <f t="shared" ca="1" si="34"/>
        <v>0</v>
      </c>
      <c r="I568">
        <f t="shared" ca="1" si="35"/>
        <v>0</v>
      </c>
    </row>
    <row r="569" spans="5:9" x14ac:dyDescent="0.75">
      <c r="E569">
        <v>563</v>
      </c>
      <c r="F569">
        <f t="shared" ca="1" si="32"/>
        <v>0.65410688469026179</v>
      </c>
      <c r="G569">
        <f t="shared" ca="1" si="33"/>
        <v>117.44751617266682</v>
      </c>
      <c r="H569">
        <f t="shared" ca="1" si="34"/>
        <v>17.447516172666823</v>
      </c>
      <c r="I569">
        <f t="shared" ca="1" si="35"/>
        <v>16.596590767892764</v>
      </c>
    </row>
    <row r="570" spans="5:9" x14ac:dyDescent="0.75">
      <c r="E570">
        <v>564</v>
      </c>
      <c r="F570">
        <f t="shared" ca="1" si="32"/>
        <v>-1.5779121088887595</v>
      </c>
      <c r="G570">
        <f t="shared" ca="1" si="33"/>
        <v>75.15763923630341</v>
      </c>
      <c r="H570">
        <f t="shared" ca="1" si="34"/>
        <v>0</v>
      </c>
      <c r="I570">
        <f t="shared" ca="1" si="35"/>
        <v>0</v>
      </c>
    </row>
    <row r="571" spans="5:9" x14ac:dyDescent="0.75">
      <c r="E571">
        <v>565</v>
      </c>
      <c r="F571">
        <f t="shared" ca="1" si="32"/>
        <v>0.38863354013283191</v>
      </c>
      <c r="G571">
        <f t="shared" ca="1" si="33"/>
        <v>111.3743326679121</v>
      </c>
      <c r="H571">
        <f t="shared" ca="1" si="34"/>
        <v>11.3743326679121</v>
      </c>
      <c r="I571">
        <f t="shared" ca="1" si="35"/>
        <v>10.819599917777698</v>
      </c>
    </row>
    <row r="572" spans="5:9" x14ac:dyDescent="0.75">
      <c r="E572">
        <v>566</v>
      </c>
      <c r="F572">
        <f t="shared" ca="1" si="32"/>
        <v>-0.69376722890054154</v>
      </c>
      <c r="G572">
        <f t="shared" ca="1" si="33"/>
        <v>89.695153742468023</v>
      </c>
      <c r="H572">
        <f t="shared" ca="1" si="34"/>
        <v>0</v>
      </c>
      <c r="I572">
        <f t="shared" ca="1" si="35"/>
        <v>0</v>
      </c>
    </row>
    <row r="573" spans="5:9" x14ac:dyDescent="0.75">
      <c r="E573">
        <v>567</v>
      </c>
      <c r="F573">
        <f t="shared" ca="1" si="32"/>
        <v>0.70448250786701683</v>
      </c>
      <c r="G573">
        <f t="shared" ca="1" si="33"/>
        <v>118.63679554505968</v>
      </c>
      <c r="H573">
        <f t="shared" ca="1" si="34"/>
        <v>18.636795545059684</v>
      </c>
      <c r="I573">
        <f t="shared" ca="1" si="35"/>
        <v>17.727868300864593</v>
      </c>
    </row>
    <row r="574" spans="5:9" x14ac:dyDescent="0.75">
      <c r="E574">
        <v>568</v>
      </c>
      <c r="F574">
        <f t="shared" ca="1" si="32"/>
        <v>-0.62752946984616387</v>
      </c>
      <c r="G574">
        <f t="shared" ca="1" si="33"/>
        <v>90.891300453259987</v>
      </c>
      <c r="H574">
        <f t="shared" ca="1" si="34"/>
        <v>0</v>
      </c>
      <c r="I574">
        <f t="shared" ca="1" si="35"/>
        <v>0</v>
      </c>
    </row>
    <row r="575" spans="5:9" x14ac:dyDescent="0.75">
      <c r="E575">
        <v>569</v>
      </c>
      <c r="F575">
        <f t="shared" ca="1" si="32"/>
        <v>2.1124220976930128</v>
      </c>
      <c r="G575">
        <f t="shared" ca="1" si="33"/>
        <v>157.22133750155473</v>
      </c>
      <c r="H575">
        <f t="shared" ca="1" si="34"/>
        <v>57.221337501554729</v>
      </c>
      <c r="I575">
        <f t="shared" ca="1" si="35"/>
        <v>54.430619940765027</v>
      </c>
    </row>
    <row r="576" spans="5:9" x14ac:dyDescent="0.75">
      <c r="E576">
        <v>570</v>
      </c>
      <c r="F576">
        <f t="shared" ca="1" si="32"/>
        <v>-1.5049286696775367E-2</v>
      </c>
      <c r="G576">
        <f t="shared" ca="1" si="33"/>
        <v>102.73576757003282</v>
      </c>
      <c r="H576">
        <f t="shared" ca="1" si="34"/>
        <v>2.7357675700328201</v>
      </c>
      <c r="I576">
        <f t="shared" ca="1" si="35"/>
        <v>2.6023426112100365</v>
      </c>
    </row>
    <row r="577" spans="5:9" x14ac:dyDescent="0.75">
      <c r="E577">
        <v>571</v>
      </c>
      <c r="F577">
        <f t="shared" ca="1" si="32"/>
        <v>0.42444344323746497</v>
      </c>
      <c r="G577">
        <f t="shared" ca="1" si="33"/>
        <v>112.17485672721304</v>
      </c>
      <c r="H577">
        <f t="shared" ca="1" si="34"/>
        <v>12.17485672721304</v>
      </c>
      <c r="I577">
        <f t="shared" ca="1" si="35"/>
        <v>11.581081958005507</v>
      </c>
    </row>
    <row r="578" spans="5:9" x14ac:dyDescent="0.75">
      <c r="E578">
        <v>572</v>
      </c>
      <c r="F578">
        <f t="shared" ca="1" si="32"/>
        <v>0.35075647094301271</v>
      </c>
      <c r="G578">
        <f t="shared" ca="1" si="33"/>
        <v>110.53381366622462</v>
      </c>
      <c r="H578">
        <f t="shared" ca="1" si="34"/>
        <v>10.533813666224617</v>
      </c>
      <c r="I578">
        <f t="shared" ca="1" si="35"/>
        <v>10.020073511520598</v>
      </c>
    </row>
    <row r="579" spans="5:9" x14ac:dyDescent="0.75">
      <c r="E579">
        <v>573</v>
      </c>
      <c r="F579">
        <f t="shared" ca="1" si="32"/>
        <v>2.0914431126726134</v>
      </c>
      <c r="G579">
        <f t="shared" ca="1" si="33"/>
        <v>156.56305066939296</v>
      </c>
      <c r="H579">
        <f t="shared" ca="1" si="34"/>
        <v>56.563050669392965</v>
      </c>
      <c r="I579">
        <f t="shared" ca="1" si="35"/>
        <v>53.804438136251399</v>
      </c>
    </row>
    <row r="580" spans="5:9" x14ac:dyDescent="0.75">
      <c r="E580">
        <v>574</v>
      </c>
      <c r="F580">
        <f t="shared" ca="1" si="32"/>
        <v>1.5240381600520252</v>
      </c>
      <c r="G580">
        <f t="shared" ca="1" si="33"/>
        <v>139.76714921050316</v>
      </c>
      <c r="H580">
        <f t="shared" ca="1" si="34"/>
        <v>39.767149210503163</v>
      </c>
      <c r="I580">
        <f t="shared" ca="1" si="35"/>
        <v>37.827682457540945</v>
      </c>
    </row>
    <row r="581" spans="5:9" x14ac:dyDescent="0.75">
      <c r="E581">
        <v>575</v>
      </c>
      <c r="F581">
        <f t="shared" ca="1" si="32"/>
        <v>8.7508001353190604E-2</v>
      </c>
      <c r="G581">
        <f t="shared" ca="1" si="33"/>
        <v>104.86478792403533</v>
      </c>
      <c r="H581">
        <f t="shared" ca="1" si="34"/>
        <v>4.8647879240353262</v>
      </c>
      <c r="I581">
        <f t="shared" ca="1" si="35"/>
        <v>4.6275294172981463</v>
      </c>
    </row>
    <row r="582" spans="5:9" x14ac:dyDescent="0.75">
      <c r="E582">
        <v>576</v>
      </c>
      <c r="F582">
        <f t="shared" ca="1" si="32"/>
        <v>0.11076564276097477</v>
      </c>
      <c r="G582">
        <f t="shared" ca="1" si="33"/>
        <v>105.35370567663269</v>
      </c>
      <c r="H582">
        <f t="shared" ca="1" si="34"/>
        <v>5.3537056766326856</v>
      </c>
      <c r="I582">
        <f t="shared" ca="1" si="35"/>
        <v>5.0926023697295149</v>
      </c>
    </row>
    <row r="583" spans="5:9" x14ac:dyDescent="0.75">
      <c r="E583">
        <v>577</v>
      </c>
      <c r="F583">
        <f t="shared" ca="1" si="32"/>
        <v>-0.50136835373268529</v>
      </c>
      <c r="G583">
        <f t="shared" ca="1" si="33"/>
        <v>93.213868590613643</v>
      </c>
      <c r="H583">
        <f t="shared" ca="1" si="34"/>
        <v>0</v>
      </c>
      <c r="I583">
        <f t="shared" ca="1" si="35"/>
        <v>0</v>
      </c>
    </row>
    <row r="584" spans="5:9" x14ac:dyDescent="0.75">
      <c r="E584">
        <v>578</v>
      </c>
      <c r="F584">
        <f t="shared" ref="F584:F647" ca="1" si="36">NORMINV(RAND(), 0,1)</f>
        <v>-0.46322857080902402</v>
      </c>
      <c r="G584">
        <f t="shared" ref="G584:G647" ca="1" si="37">$C$5*EXP(($C$6-0.5*$C$7^2)*$C$8+$C$7*SQRT($C$8)*F584)</f>
        <v>93.927618699905395</v>
      </c>
      <c r="H584">
        <f t="shared" ref="H584:H647" ca="1" si="38">MAX(G584-$C$9,0)</f>
        <v>0</v>
      </c>
      <c r="I584">
        <f t="shared" ref="I584:I647" ca="1" si="39">EXP(-$C$6*$C$8)*H584</f>
        <v>0</v>
      </c>
    </row>
    <row r="585" spans="5:9" x14ac:dyDescent="0.75">
      <c r="E585">
        <v>579</v>
      </c>
      <c r="F585">
        <f t="shared" ca="1" si="36"/>
        <v>0.23833413268062459</v>
      </c>
      <c r="G585">
        <f t="shared" ca="1" si="37"/>
        <v>108.07625172871276</v>
      </c>
      <c r="H585">
        <f t="shared" ca="1" si="38"/>
        <v>8.0762517287127622</v>
      </c>
      <c r="I585">
        <f t="shared" ca="1" si="39"/>
        <v>7.6823682840263379</v>
      </c>
    </row>
    <row r="586" spans="5:9" x14ac:dyDescent="0.75">
      <c r="E586">
        <v>580</v>
      </c>
      <c r="F586">
        <f t="shared" ca="1" si="36"/>
        <v>-1.2302582980795043</v>
      </c>
      <c r="G586">
        <f t="shared" ca="1" si="37"/>
        <v>80.569367897238791</v>
      </c>
      <c r="H586">
        <f t="shared" ca="1" si="38"/>
        <v>0</v>
      </c>
      <c r="I586">
        <f t="shared" ca="1" si="39"/>
        <v>0</v>
      </c>
    </row>
    <row r="587" spans="5:9" x14ac:dyDescent="0.75">
      <c r="E587">
        <v>581</v>
      </c>
      <c r="F587">
        <f t="shared" ca="1" si="36"/>
        <v>1.1862531396444163</v>
      </c>
      <c r="G587">
        <f t="shared" ca="1" si="37"/>
        <v>130.63678175652296</v>
      </c>
      <c r="H587">
        <f t="shared" ca="1" si="38"/>
        <v>30.636781756522964</v>
      </c>
      <c r="I587">
        <f t="shared" ca="1" si="39"/>
        <v>29.142608278811313</v>
      </c>
    </row>
    <row r="588" spans="5:9" x14ac:dyDescent="0.75">
      <c r="E588">
        <v>582</v>
      </c>
      <c r="F588">
        <f t="shared" ca="1" si="36"/>
        <v>-0.25540856021176267</v>
      </c>
      <c r="G588">
        <f t="shared" ca="1" si="37"/>
        <v>97.913895385691816</v>
      </c>
      <c r="H588">
        <f t="shared" ca="1" si="38"/>
        <v>0</v>
      </c>
      <c r="I588">
        <f t="shared" ca="1" si="39"/>
        <v>0</v>
      </c>
    </row>
    <row r="589" spans="5:9" x14ac:dyDescent="0.75">
      <c r="E589">
        <v>583</v>
      </c>
      <c r="F589">
        <f t="shared" ca="1" si="36"/>
        <v>-1.3365182548765768</v>
      </c>
      <c r="G589">
        <f t="shared" ca="1" si="37"/>
        <v>78.875174641384916</v>
      </c>
      <c r="H589">
        <f t="shared" ca="1" si="38"/>
        <v>0</v>
      </c>
      <c r="I589">
        <f t="shared" ca="1" si="39"/>
        <v>0</v>
      </c>
    </row>
    <row r="590" spans="5:9" x14ac:dyDescent="0.75">
      <c r="E590">
        <v>584</v>
      </c>
      <c r="F590">
        <f t="shared" ca="1" si="36"/>
        <v>2.059427141381323</v>
      </c>
      <c r="G590">
        <f t="shared" ca="1" si="37"/>
        <v>155.5637498153869</v>
      </c>
      <c r="H590">
        <f t="shared" ca="1" si="38"/>
        <v>55.563749815386899</v>
      </c>
      <c r="I590">
        <f t="shared" ca="1" si="39"/>
        <v>52.853873759992133</v>
      </c>
    </row>
    <row r="591" spans="5:9" x14ac:dyDescent="0.75">
      <c r="E591">
        <v>585</v>
      </c>
      <c r="F591">
        <f t="shared" ca="1" si="36"/>
        <v>-0.12309099939229663</v>
      </c>
      <c r="G591">
        <f t="shared" ca="1" si="37"/>
        <v>100.53963080223458</v>
      </c>
      <c r="H591">
        <f t="shared" ca="1" si="38"/>
        <v>0.53963080223458348</v>
      </c>
      <c r="I591">
        <f t="shared" ca="1" si="39"/>
        <v>0.51331269745246144</v>
      </c>
    </row>
    <row r="592" spans="5:9" x14ac:dyDescent="0.75">
      <c r="E592">
        <v>586</v>
      </c>
      <c r="F592">
        <f t="shared" ca="1" si="36"/>
        <v>-0.24248315119036309</v>
      </c>
      <c r="G592">
        <f t="shared" ca="1" si="37"/>
        <v>98.167338259180767</v>
      </c>
      <c r="H592">
        <f t="shared" ca="1" si="38"/>
        <v>0</v>
      </c>
      <c r="I592">
        <f t="shared" ca="1" si="39"/>
        <v>0</v>
      </c>
    </row>
    <row r="593" spans="5:9" x14ac:dyDescent="0.75">
      <c r="E593">
        <v>587</v>
      </c>
      <c r="F593">
        <f t="shared" ca="1" si="36"/>
        <v>0.76696559248390184</v>
      </c>
      <c r="G593">
        <f t="shared" ca="1" si="37"/>
        <v>120.12865632362295</v>
      </c>
      <c r="H593">
        <f t="shared" ca="1" si="38"/>
        <v>20.128656323622948</v>
      </c>
      <c r="I593">
        <f t="shared" ca="1" si="39"/>
        <v>19.146970170692516</v>
      </c>
    </row>
    <row r="594" spans="5:9" x14ac:dyDescent="0.75">
      <c r="E594">
        <v>588</v>
      </c>
      <c r="F594">
        <f t="shared" ca="1" si="36"/>
        <v>-4.3934411452867861E-2</v>
      </c>
      <c r="G594">
        <f t="shared" ca="1" si="37"/>
        <v>102.14397153351599</v>
      </c>
      <c r="H594">
        <f t="shared" ca="1" si="38"/>
        <v>2.1439715335159946</v>
      </c>
      <c r="I594">
        <f t="shared" ca="1" si="39"/>
        <v>2.0394088079723329</v>
      </c>
    </row>
    <row r="595" spans="5:9" x14ac:dyDescent="0.75">
      <c r="E595">
        <v>589</v>
      </c>
      <c r="F595">
        <f t="shared" ca="1" si="36"/>
        <v>-0.22608937273182672</v>
      </c>
      <c r="G595">
        <f t="shared" ca="1" si="37"/>
        <v>98.489733216570059</v>
      </c>
      <c r="H595">
        <f t="shared" ca="1" si="38"/>
        <v>0</v>
      </c>
      <c r="I595">
        <f t="shared" ca="1" si="39"/>
        <v>0</v>
      </c>
    </row>
    <row r="596" spans="5:9" x14ac:dyDescent="0.75">
      <c r="E596">
        <v>590</v>
      </c>
      <c r="F596">
        <f t="shared" ca="1" si="36"/>
        <v>0.19655507685399773</v>
      </c>
      <c r="G596">
        <f t="shared" ca="1" si="37"/>
        <v>107.1769494103908</v>
      </c>
      <c r="H596">
        <f t="shared" ca="1" si="38"/>
        <v>7.1769494103908045</v>
      </c>
      <c r="I596">
        <f t="shared" ca="1" si="39"/>
        <v>6.8269254573167837</v>
      </c>
    </row>
    <row r="597" spans="5:9" x14ac:dyDescent="0.75">
      <c r="E597">
        <v>591</v>
      </c>
      <c r="F597">
        <f t="shared" ca="1" si="36"/>
        <v>0.77347188010328027</v>
      </c>
      <c r="G597">
        <f t="shared" ca="1" si="37"/>
        <v>120.28507639082002</v>
      </c>
      <c r="H597">
        <f t="shared" ca="1" si="38"/>
        <v>20.285076390820024</v>
      </c>
      <c r="I597">
        <f t="shared" ca="1" si="39"/>
        <v>19.295761541192753</v>
      </c>
    </row>
    <row r="598" spans="5:9" x14ac:dyDescent="0.75">
      <c r="E598">
        <v>592</v>
      </c>
      <c r="F598">
        <f t="shared" ca="1" si="36"/>
        <v>0.68065521992563138</v>
      </c>
      <c r="G598">
        <f t="shared" ca="1" si="37"/>
        <v>118.07278188644128</v>
      </c>
      <c r="H598">
        <f t="shared" ca="1" si="38"/>
        <v>18.072781886441277</v>
      </c>
      <c r="I598">
        <f t="shared" ca="1" si="39"/>
        <v>17.191361912966464</v>
      </c>
    </row>
    <row r="599" spans="5:9" x14ac:dyDescent="0.75">
      <c r="E599">
        <v>593</v>
      </c>
      <c r="F599">
        <f t="shared" ca="1" si="36"/>
        <v>6.5549964528039739E-2</v>
      </c>
      <c r="G599">
        <f t="shared" ca="1" si="37"/>
        <v>104.40527269281826</v>
      </c>
      <c r="H599">
        <f t="shared" ca="1" si="38"/>
        <v>4.405272692818258</v>
      </c>
      <c r="I599">
        <f t="shared" ca="1" si="39"/>
        <v>4.190425008358222</v>
      </c>
    </row>
    <row r="600" spans="5:9" x14ac:dyDescent="0.75">
      <c r="E600">
        <v>594</v>
      </c>
      <c r="F600">
        <f t="shared" ca="1" si="36"/>
        <v>-0.3953147375445506</v>
      </c>
      <c r="G600">
        <f t="shared" ca="1" si="37"/>
        <v>95.212119415477545</v>
      </c>
      <c r="H600">
        <f t="shared" ca="1" si="38"/>
        <v>0</v>
      </c>
      <c r="I600">
        <f t="shared" ca="1" si="39"/>
        <v>0</v>
      </c>
    </row>
    <row r="601" spans="5:9" x14ac:dyDescent="0.75">
      <c r="E601">
        <v>595</v>
      </c>
      <c r="F601">
        <f t="shared" ca="1" si="36"/>
        <v>-1.6064863850952347</v>
      </c>
      <c r="G601">
        <f t="shared" ca="1" si="37"/>
        <v>74.729349181270166</v>
      </c>
      <c r="H601">
        <f t="shared" ca="1" si="38"/>
        <v>0</v>
      </c>
      <c r="I601">
        <f t="shared" ca="1" si="39"/>
        <v>0</v>
      </c>
    </row>
    <row r="602" spans="5:9" x14ac:dyDescent="0.75">
      <c r="E602">
        <v>596</v>
      </c>
      <c r="F602">
        <f t="shared" ca="1" si="36"/>
        <v>1.1624924075190315</v>
      </c>
      <c r="G602">
        <f t="shared" ca="1" si="37"/>
        <v>130.0174493856972</v>
      </c>
      <c r="H602">
        <f t="shared" ca="1" si="38"/>
        <v>30.017449385697205</v>
      </c>
      <c r="I602">
        <f t="shared" ca="1" si="39"/>
        <v>28.553481104136065</v>
      </c>
    </row>
    <row r="603" spans="5:9" x14ac:dyDescent="0.75">
      <c r="E603">
        <v>597</v>
      </c>
      <c r="F603">
        <f t="shared" ca="1" si="36"/>
        <v>-0.26403130844633926</v>
      </c>
      <c r="G603">
        <f t="shared" ca="1" si="37"/>
        <v>97.745183529775517</v>
      </c>
      <c r="H603">
        <f t="shared" ca="1" si="38"/>
        <v>0</v>
      </c>
      <c r="I603">
        <f t="shared" ca="1" si="39"/>
        <v>0</v>
      </c>
    </row>
    <row r="604" spans="5:9" x14ac:dyDescent="0.75">
      <c r="E604">
        <v>598</v>
      </c>
      <c r="F604">
        <f t="shared" ca="1" si="36"/>
        <v>7.4504836769522645E-2</v>
      </c>
      <c r="G604">
        <f t="shared" ca="1" si="37"/>
        <v>104.59242741311321</v>
      </c>
      <c r="H604">
        <f t="shared" ca="1" si="38"/>
        <v>4.5924274131132137</v>
      </c>
      <c r="I604">
        <f t="shared" ca="1" si="39"/>
        <v>4.368452085236985</v>
      </c>
    </row>
    <row r="605" spans="5:9" x14ac:dyDescent="0.75">
      <c r="E605">
        <v>599</v>
      </c>
      <c r="F605">
        <f t="shared" ca="1" si="36"/>
        <v>0.35505053699234296</v>
      </c>
      <c r="G605">
        <f t="shared" ca="1" si="37"/>
        <v>110.62878233987668</v>
      </c>
      <c r="H605">
        <f t="shared" ca="1" si="38"/>
        <v>10.628782339876679</v>
      </c>
      <c r="I605">
        <f t="shared" ca="1" si="39"/>
        <v>10.110410508304247</v>
      </c>
    </row>
    <row r="606" spans="5:9" x14ac:dyDescent="0.75">
      <c r="E606">
        <v>600</v>
      </c>
      <c r="F606">
        <f t="shared" ca="1" si="36"/>
        <v>6.8451344936469968E-2</v>
      </c>
      <c r="G606">
        <f t="shared" ca="1" si="37"/>
        <v>104.46587415645328</v>
      </c>
      <c r="H606">
        <f t="shared" ca="1" si="38"/>
        <v>4.4658741564532818</v>
      </c>
      <c r="I606">
        <f t="shared" ca="1" si="39"/>
        <v>4.248070903735667</v>
      </c>
    </row>
    <row r="607" spans="5:9" x14ac:dyDescent="0.75">
      <c r="E607">
        <v>601</v>
      </c>
      <c r="F607">
        <f t="shared" ca="1" si="36"/>
        <v>-0.79281685988064676</v>
      </c>
      <c r="G607">
        <f t="shared" ca="1" si="37"/>
        <v>87.935783400895886</v>
      </c>
      <c r="H607">
        <f t="shared" ca="1" si="38"/>
        <v>0</v>
      </c>
      <c r="I607">
        <f t="shared" ca="1" si="39"/>
        <v>0</v>
      </c>
    </row>
    <row r="608" spans="5:9" x14ac:dyDescent="0.75">
      <c r="E608">
        <v>602</v>
      </c>
      <c r="F608">
        <f t="shared" ca="1" si="36"/>
        <v>-0.32608573771239496</v>
      </c>
      <c r="G608">
        <f t="shared" ca="1" si="37"/>
        <v>96.539576017839678</v>
      </c>
      <c r="H608">
        <f t="shared" ca="1" si="38"/>
        <v>0</v>
      </c>
      <c r="I608">
        <f t="shared" ca="1" si="39"/>
        <v>0</v>
      </c>
    </row>
    <row r="609" spans="5:9" x14ac:dyDescent="0.75">
      <c r="E609">
        <v>603</v>
      </c>
      <c r="F609">
        <f t="shared" ca="1" si="36"/>
        <v>-1.4701122906011019</v>
      </c>
      <c r="G609">
        <f t="shared" ca="1" si="37"/>
        <v>76.795629260829529</v>
      </c>
      <c r="H609">
        <f t="shared" ca="1" si="38"/>
        <v>0</v>
      </c>
      <c r="I609">
        <f t="shared" ca="1" si="39"/>
        <v>0</v>
      </c>
    </row>
    <row r="610" spans="5:9" x14ac:dyDescent="0.75">
      <c r="E610">
        <v>604</v>
      </c>
      <c r="F610">
        <f t="shared" ca="1" si="36"/>
        <v>0.88072658325771835</v>
      </c>
      <c r="G610">
        <f t="shared" ca="1" si="37"/>
        <v>122.89317752708659</v>
      </c>
      <c r="H610">
        <f t="shared" ca="1" si="38"/>
        <v>22.893177527086593</v>
      </c>
      <c r="I610">
        <f t="shared" ca="1" si="39"/>
        <v>21.776664084083258</v>
      </c>
    </row>
    <row r="611" spans="5:9" x14ac:dyDescent="0.75">
      <c r="E611">
        <v>605</v>
      </c>
      <c r="F611">
        <f t="shared" ca="1" si="36"/>
        <v>0.1456999690084699</v>
      </c>
      <c r="G611">
        <f t="shared" ca="1" si="37"/>
        <v>106.0923753094015</v>
      </c>
      <c r="H611">
        <f t="shared" ca="1" si="38"/>
        <v>6.0923753094015041</v>
      </c>
      <c r="I611">
        <f t="shared" ca="1" si="39"/>
        <v>5.7952466594043521</v>
      </c>
    </row>
    <row r="612" spans="5:9" x14ac:dyDescent="0.75">
      <c r="E612">
        <v>606</v>
      </c>
      <c r="F612">
        <f t="shared" ca="1" si="36"/>
        <v>1.4967279076152877</v>
      </c>
      <c r="G612">
        <f t="shared" ca="1" si="37"/>
        <v>139.00581510051825</v>
      </c>
      <c r="H612">
        <f t="shared" ca="1" si="38"/>
        <v>39.005815100518248</v>
      </c>
      <c r="I612">
        <f t="shared" ca="1" si="39"/>
        <v>37.10347905024723</v>
      </c>
    </row>
    <row r="613" spans="5:9" x14ac:dyDescent="0.75">
      <c r="E613">
        <v>607</v>
      </c>
      <c r="F613">
        <f t="shared" ca="1" si="36"/>
        <v>2.4255699198958567</v>
      </c>
      <c r="G613">
        <f t="shared" ca="1" si="37"/>
        <v>167.38292806463184</v>
      </c>
      <c r="H613">
        <f t="shared" ca="1" si="38"/>
        <v>67.382928064631841</v>
      </c>
      <c r="I613">
        <f t="shared" ca="1" si="39"/>
        <v>64.09662388409275</v>
      </c>
    </row>
    <row r="614" spans="5:9" x14ac:dyDescent="0.75">
      <c r="E614">
        <v>608</v>
      </c>
      <c r="F614">
        <f t="shared" ca="1" si="36"/>
        <v>0.29756350084583005</v>
      </c>
      <c r="G614">
        <f t="shared" ca="1" si="37"/>
        <v>109.36412226526868</v>
      </c>
      <c r="H614">
        <f t="shared" ca="1" si="38"/>
        <v>9.3641222652686764</v>
      </c>
      <c r="I614">
        <f t="shared" ca="1" si="39"/>
        <v>8.9074286333458463</v>
      </c>
    </row>
    <row r="615" spans="5:9" x14ac:dyDescent="0.75">
      <c r="E615">
        <v>609</v>
      </c>
      <c r="F615">
        <f t="shared" ca="1" si="36"/>
        <v>-1.0526078991937355</v>
      </c>
      <c r="G615">
        <f t="shared" ca="1" si="37"/>
        <v>83.483466490510622</v>
      </c>
      <c r="H615">
        <f t="shared" ca="1" si="38"/>
        <v>0</v>
      </c>
      <c r="I615">
        <f t="shared" ca="1" si="39"/>
        <v>0</v>
      </c>
    </row>
    <row r="616" spans="5:9" x14ac:dyDescent="0.75">
      <c r="E616">
        <v>610</v>
      </c>
      <c r="F616">
        <f t="shared" ca="1" si="36"/>
        <v>3.9755474286487708E-2</v>
      </c>
      <c r="G616">
        <f t="shared" ca="1" si="37"/>
        <v>103.86804348214775</v>
      </c>
      <c r="H616">
        <f t="shared" ca="1" si="38"/>
        <v>3.8680434821477547</v>
      </c>
      <c r="I616">
        <f t="shared" ca="1" si="39"/>
        <v>3.6793967754671466</v>
      </c>
    </row>
    <row r="617" spans="5:9" x14ac:dyDescent="0.75">
      <c r="E617">
        <v>611</v>
      </c>
      <c r="F617">
        <f t="shared" ca="1" si="36"/>
        <v>-0.31438616995371166</v>
      </c>
      <c r="G617">
        <f t="shared" ca="1" si="37"/>
        <v>96.765734772821929</v>
      </c>
      <c r="H617">
        <f t="shared" ca="1" si="38"/>
        <v>0</v>
      </c>
      <c r="I617">
        <f t="shared" ca="1" si="39"/>
        <v>0</v>
      </c>
    </row>
    <row r="618" spans="5:9" x14ac:dyDescent="0.75">
      <c r="E618">
        <v>612</v>
      </c>
      <c r="F618">
        <f t="shared" ca="1" si="36"/>
        <v>-1.4064096853686618</v>
      </c>
      <c r="G618">
        <f t="shared" ca="1" si="37"/>
        <v>77.780304912723679</v>
      </c>
      <c r="H618">
        <f t="shared" ca="1" si="38"/>
        <v>0</v>
      </c>
      <c r="I618">
        <f t="shared" ca="1" si="39"/>
        <v>0</v>
      </c>
    </row>
    <row r="619" spans="5:9" x14ac:dyDescent="0.75">
      <c r="E619">
        <v>613</v>
      </c>
      <c r="F619">
        <f t="shared" ca="1" si="36"/>
        <v>4.5280148299843483E-2</v>
      </c>
      <c r="G619">
        <f t="shared" ca="1" si="37"/>
        <v>103.98287432689204</v>
      </c>
      <c r="H619">
        <f t="shared" ca="1" si="38"/>
        <v>3.9828743268920448</v>
      </c>
      <c r="I619">
        <f t="shared" ca="1" si="39"/>
        <v>3.7886272538281887</v>
      </c>
    </row>
    <row r="620" spans="5:9" x14ac:dyDescent="0.75">
      <c r="E620">
        <v>614</v>
      </c>
      <c r="F620">
        <f t="shared" ca="1" si="36"/>
        <v>-0.22349321936291541</v>
      </c>
      <c r="G620">
        <f t="shared" ca="1" si="37"/>
        <v>98.540885385847162</v>
      </c>
      <c r="H620">
        <f t="shared" ca="1" si="38"/>
        <v>0</v>
      </c>
      <c r="I620">
        <f t="shared" ca="1" si="39"/>
        <v>0</v>
      </c>
    </row>
    <row r="621" spans="5:9" x14ac:dyDescent="0.75">
      <c r="E621">
        <v>615</v>
      </c>
      <c r="F621">
        <f t="shared" ca="1" si="36"/>
        <v>0.1179913786653837</v>
      </c>
      <c r="G621">
        <f t="shared" ca="1" si="37"/>
        <v>105.50606735339389</v>
      </c>
      <c r="H621">
        <f t="shared" ca="1" si="38"/>
        <v>5.5060673533938882</v>
      </c>
      <c r="I621">
        <f t="shared" ca="1" si="39"/>
        <v>5.2375332798310374</v>
      </c>
    </row>
    <row r="622" spans="5:9" x14ac:dyDescent="0.75">
      <c r="E622">
        <v>616</v>
      </c>
      <c r="F622">
        <f t="shared" ca="1" si="36"/>
        <v>1.2308895534738808</v>
      </c>
      <c r="G622">
        <f t="shared" ca="1" si="37"/>
        <v>131.80823441140407</v>
      </c>
      <c r="H622">
        <f t="shared" ca="1" si="38"/>
        <v>31.808234411404072</v>
      </c>
      <c r="I622">
        <f t="shared" ca="1" si="39"/>
        <v>30.256928513543702</v>
      </c>
    </row>
    <row r="623" spans="5:9" x14ac:dyDescent="0.75">
      <c r="E623">
        <v>617</v>
      </c>
      <c r="F623">
        <f t="shared" ca="1" si="36"/>
        <v>-0.23143662330153797</v>
      </c>
      <c r="G623">
        <f t="shared" ca="1" si="37"/>
        <v>98.38445966260025</v>
      </c>
      <c r="H623">
        <f t="shared" ca="1" si="38"/>
        <v>0</v>
      </c>
      <c r="I623">
        <f t="shared" ca="1" si="39"/>
        <v>0</v>
      </c>
    </row>
    <row r="624" spans="5:9" x14ac:dyDescent="0.75">
      <c r="E624">
        <v>618</v>
      </c>
      <c r="F624">
        <f t="shared" ca="1" si="36"/>
        <v>1.2651010859969622</v>
      </c>
      <c r="G624">
        <f t="shared" ca="1" si="37"/>
        <v>132.71319924380472</v>
      </c>
      <c r="H624">
        <f t="shared" ca="1" si="38"/>
        <v>32.713199243804723</v>
      </c>
      <c r="I624">
        <f t="shared" ca="1" si="39"/>
        <v>31.117757690261559</v>
      </c>
    </row>
    <row r="625" spans="5:9" x14ac:dyDescent="0.75">
      <c r="E625">
        <v>619</v>
      </c>
      <c r="F625">
        <f t="shared" ca="1" si="36"/>
        <v>-1.2670291685830695</v>
      </c>
      <c r="G625">
        <f t="shared" ca="1" si="37"/>
        <v>79.979020159249458</v>
      </c>
      <c r="H625">
        <f t="shared" ca="1" si="38"/>
        <v>0</v>
      </c>
      <c r="I625">
        <f t="shared" ca="1" si="39"/>
        <v>0</v>
      </c>
    </row>
    <row r="626" spans="5:9" x14ac:dyDescent="0.75">
      <c r="E626">
        <v>620</v>
      </c>
      <c r="F626">
        <f t="shared" ca="1" si="36"/>
        <v>0.27801862169009628</v>
      </c>
      <c r="G626">
        <f t="shared" ca="1" si="37"/>
        <v>108.93745501381886</v>
      </c>
      <c r="H626">
        <f t="shared" ca="1" si="38"/>
        <v>8.9374550138188624</v>
      </c>
      <c r="I626">
        <f t="shared" ca="1" si="39"/>
        <v>8.5015701892959381</v>
      </c>
    </row>
    <row r="627" spans="5:9" x14ac:dyDescent="0.75">
      <c r="E627">
        <v>621</v>
      </c>
      <c r="F627">
        <f t="shared" ca="1" si="36"/>
        <v>1.1793863802668998</v>
      </c>
      <c r="G627">
        <f t="shared" ca="1" si="37"/>
        <v>130.45749462762467</v>
      </c>
      <c r="H627">
        <f t="shared" ca="1" si="38"/>
        <v>30.457494627624669</v>
      </c>
      <c r="I627">
        <f t="shared" ca="1" si="39"/>
        <v>28.972065086369003</v>
      </c>
    </row>
    <row r="628" spans="5:9" x14ac:dyDescent="0.75">
      <c r="E628">
        <v>622</v>
      </c>
      <c r="F628">
        <f t="shared" ca="1" si="36"/>
        <v>0.20334462158948824</v>
      </c>
      <c r="G628">
        <f t="shared" ca="1" si="37"/>
        <v>107.32258480634313</v>
      </c>
      <c r="H628">
        <f t="shared" ca="1" si="38"/>
        <v>7.32258480634313</v>
      </c>
      <c r="I628">
        <f t="shared" ca="1" si="39"/>
        <v>6.9654581311954482</v>
      </c>
    </row>
    <row r="629" spans="5:9" x14ac:dyDescent="0.75">
      <c r="E629">
        <v>623</v>
      </c>
      <c r="F629">
        <f t="shared" ca="1" si="36"/>
        <v>-0.6283872186328987</v>
      </c>
      <c r="G629">
        <f t="shared" ca="1" si="37"/>
        <v>90.875709410080347</v>
      </c>
      <c r="H629">
        <f t="shared" ca="1" si="38"/>
        <v>0</v>
      </c>
      <c r="I629">
        <f t="shared" ca="1" si="39"/>
        <v>0</v>
      </c>
    </row>
    <row r="630" spans="5:9" x14ac:dyDescent="0.75">
      <c r="E630">
        <v>624</v>
      </c>
      <c r="F630">
        <f t="shared" ca="1" si="36"/>
        <v>-1.4287825686150453E-2</v>
      </c>
      <c r="G630">
        <f t="shared" ca="1" si="37"/>
        <v>102.75141461774449</v>
      </c>
      <c r="H630">
        <f t="shared" ca="1" si="38"/>
        <v>2.7514146177444871</v>
      </c>
      <c r="I630">
        <f t="shared" ca="1" si="39"/>
        <v>2.6172265433999407</v>
      </c>
    </row>
    <row r="631" spans="5:9" x14ac:dyDescent="0.75">
      <c r="E631">
        <v>625</v>
      </c>
      <c r="F631">
        <f t="shared" ca="1" si="36"/>
        <v>-6.3561998225692917E-2</v>
      </c>
      <c r="G631">
        <f t="shared" ca="1" si="37"/>
        <v>101.74378957509811</v>
      </c>
      <c r="H631">
        <f t="shared" ca="1" si="38"/>
        <v>1.7437895750981056</v>
      </c>
      <c r="I631">
        <f t="shared" ca="1" si="39"/>
        <v>1.6587439539709157</v>
      </c>
    </row>
    <row r="632" spans="5:9" x14ac:dyDescent="0.75">
      <c r="E632">
        <v>626</v>
      </c>
      <c r="F632">
        <f t="shared" ca="1" si="36"/>
        <v>-0.77939823729199698</v>
      </c>
      <c r="G632">
        <f t="shared" ca="1" si="37"/>
        <v>88.172095775617379</v>
      </c>
      <c r="H632">
        <f t="shared" ca="1" si="38"/>
        <v>0</v>
      </c>
      <c r="I632">
        <f t="shared" ca="1" si="39"/>
        <v>0</v>
      </c>
    </row>
    <row r="633" spans="5:9" x14ac:dyDescent="0.75">
      <c r="E633">
        <v>627</v>
      </c>
      <c r="F633">
        <f t="shared" ca="1" si="36"/>
        <v>-0.72935221075143353</v>
      </c>
      <c r="G633">
        <f t="shared" ca="1" si="37"/>
        <v>89.059059882636731</v>
      </c>
      <c r="H633">
        <f t="shared" ca="1" si="38"/>
        <v>0</v>
      </c>
      <c r="I633">
        <f t="shared" ca="1" si="39"/>
        <v>0</v>
      </c>
    </row>
    <row r="634" spans="5:9" x14ac:dyDescent="0.75">
      <c r="E634">
        <v>628</v>
      </c>
      <c r="F634">
        <f t="shared" ca="1" si="36"/>
        <v>-1.5957951620905948</v>
      </c>
      <c r="G634">
        <f t="shared" ca="1" si="37"/>
        <v>74.889309765169131</v>
      </c>
      <c r="H634">
        <f t="shared" ca="1" si="38"/>
        <v>0</v>
      </c>
      <c r="I634">
        <f t="shared" ca="1" si="39"/>
        <v>0</v>
      </c>
    </row>
    <row r="635" spans="5:9" x14ac:dyDescent="0.75">
      <c r="E635">
        <v>629</v>
      </c>
      <c r="F635">
        <f t="shared" ca="1" si="36"/>
        <v>-0.67327933495751013</v>
      </c>
      <c r="G635">
        <f t="shared" ca="1" si="37"/>
        <v>90.063440729056737</v>
      </c>
      <c r="H635">
        <f t="shared" ca="1" si="38"/>
        <v>0</v>
      </c>
      <c r="I635">
        <f t="shared" ca="1" si="39"/>
        <v>0</v>
      </c>
    </row>
    <row r="636" spans="5:9" x14ac:dyDescent="0.75">
      <c r="E636">
        <v>630</v>
      </c>
      <c r="F636">
        <f t="shared" ca="1" si="36"/>
        <v>-1.9094752335657872</v>
      </c>
      <c r="G636">
        <f t="shared" ca="1" si="37"/>
        <v>70.335393741023182</v>
      </c>
      <c r="H636">
        <f t="shared" ca="1" si="38"/>
        <v>0</v>
      </c>
      <c r="I636">
        <f t="shared" ca="1" si="39"/>
        <v>0</v>
      </c>
    </row>
    <row r="637" spans="5:9" x14ac:dyDescent="0.75">
      <c r="E637">
        <v>631</v>
      </c>
      <c r="F637">
        <f t="shared" ca="1" si="36"/>
        <v>2.7096437098850217</v>
      </c>
      <c r="G637">
        <f t="shared" ca="1" si="37"/>
        <v>177.16808734550088</v>
      </c>
      <c r="H637">
        <f t="shared" ca="1" si="38"/>
        <v>77.168087345500879</v>
      </c>
      <c r="I637">
        <f t="shared" ca="1" si="39"/>
        <v>73.40455531548163</v>
      </c>
    </row>
    <row r="638" spans="5:9" x14ac:dyDescent="0.75">
      <c r="E638">
        <v>632</v>
      </c>
      <c r="F638">
        <f t="shared" ca="1" si="36"/>
        <v>1.7503417465461575</v>
      </c>
      <c r="G638">
        <f t="shared" ca="1" si="37"/>
        <v>146.23845389915149</v>
      </c>
      <c r="H638">
        <f t="shared" ca="1" si="38"/>
        <v>46.238453899151494</v>
      </c>
      <c r="I638">
        <f t="shared" ca="1" si="39"/>
        <v>43.983377892292673</v>
      </c>
    </row>
    <row r="639" spans="5:9" x14ac:dyDescent="0.75">
      <c r="E639">
        <v>633</v>
      </c>
      <c r="F639">
        <f t="shared" ca="1" si="36"/>
        <v>-1.8892189136060655</v>
      </c>
      <c r="G639">
        <f t="shared" ca="1" si="37"/>
        <v>70.620918967559106</v>
      </c>
      <c r="H639">
        <f t="shared" ca="1" si="38"/>
        <v>0</v>
      </c>
      <c r="I639">
        <f t="shared" ca="1" si="39"/>
        <v>0</v>
      </c>
    </row>
    <row r="640" spans="5:9" x14ac:dyDescent="0.75">
      <c r="E640">
        <v>634</v>
      </c>
      <c r="F640">
        <f t="shared" ca="1" si="36"/>
        <v>0.86227575556192482</v>
      </c>
      <c r="G640">
        <f t="shared" ca="1" si="37"/>
        <v>122.44051706806032</v>
      </c>
      <c r="H640">
        <f t="shared" ca="1" si="38"/>
        <v>22.440517068060316</v>
      </c>
      <c r="I640">
        <f t="shared" ca="1" si="39"/>
        <v>21.346080136149464</v>
      </c>
    </row>
    <row r="641" spans="5:9" x14ac:dyDescent="0.75">
      <c r="E641">
        <v>635</v>
      </c>
      <c r="F641">
        <f t="shared" ca="1" si="36"/>
        <v>0.10760764225215219</v>
      </c>
      <c r="G641">
        <f t="shared" ca="1" si="37"/>
        <v>105.2871852747637</v>
      </c>
      <c r="H641">
        <f t="shared" ca="1" si="38"/>
        <v>5.2871852747637007</v>
      </c>
      <c r="I641">
        <f t="shared" ca="1" si="39"/>
        <v>5.0293262061421249</v>
      </c>
    </row>
    <row r="642" spans="5:9" x14ac:dyDescent="0.75">
      <c r="E642">
        <v>636</v>
      </c>
      <c r="F642">
        <f t="shared" ca="1" si="36"/>
        <v>1.3973164002088805</v>
      </c>
      <c r="G642">
        <f t="shared" ca="1" si="37"/>
        <v>136.26935330065371</v>
      </c>
      <c r="H642">
        <f t="shared" ca="1" si="38"/>
        <v>36.269353300653705</v>
      </c>
      <c r="I642">
        <f t="shared" ca="1" si="39"/>
        <v>34.500476067193894</v>
      </c>
    </row>
    <row r="643" spans="5:9" x14ac:dyDescent="0.75">
      <c r="E643">
        <v>637</v>
      </c>
      <c r="F643">
        <f t="shared" ca="1" si="36"/>
        <v>-1.3551168838807621</v>
      </c>
      <c r="G643">
        <f t="shared" ca="1" si="37"/>
        <v>78.582325615927346</v>
      </c>
      <c r="H643">
        <f t="shared" ca="1" si="38"/>
        <v>0</v>
      </c>
      <c r="I643">
        <f t="shared" ca="1" si="39"/>
        <v>0</v>
      </c>
    </row>
    <row r="644" spans="5:9" x14ac:dyDescent="0.75">
      <c r="E644">
        <v>638</v>
      </c>
      <c r="F644">
        <f t="shared" ca="1" si="36"/>
        <v>0.67321124576200109</v>
      </c>
      <c r="G644">
        <f t="shared" ca="1" si="37"/>
        <v>117.89712652872275</v>
      </c>
      <c r="H644">
        <f t="shared" ca="1" si="38"/>
        <v>17.897126528722751</v>
      </c>
      <c r="I644">
        <f t="shared" ca="1" si="39"/>
        <v>17.024273368133404</v>
      </c>
    </row>
    <row r="645" spans="5:9" x14ac:dyDescent="0.75">
      <c r="E645">
        <v>639</v>
      </c>
      <c r="F645">
        <f t="shared" ca="1" si="36"/>
        <v>-0.96873377747123934</v>
      </c>
      <c r="G645">
        <f t="shared" ca="1" si="37"/>
        <v>84.895698835243891</v>
      </c>
      <c r="H645">
        <f t="shared" ca="1" si="38"/>
        <v>0</v>
      </c>
      <c r="I645">
        <f t="shared" ca="1" si="39"/>
        <v>0</v>
      </c>
    </row>
    <row r="646" spans="5:9" x14ac:dyDescent="0.75">
      <c r="E646">
        <v>640</v>
      </c>
      <c r="F646">
        <f t="shared" ca="1" si="36"/>
        <v>-0.86276951421188341</v>
      </c>
      <c r="G646">
        <f t="shared" ca="1" si="37"/>
        <v>86.714081167799606</v>
      </c>
      <c r="H646">
        <f t="shared" ca="1" si="38"/>
        <v>0</v>
      </c>
      <c r="I646">
        <f t="shared" ca="1" si="39"/>
        <v>0</v>
      </c>
    </row>
    <row r="647" spans="5:9" x14ac:dyDescent="0.75">
      <c r="E647">
        <v>641</v>
      </c>
      <c r="F647">
        <f t="shared" ca="1" si="36"/>
        <v>-2.1103951191413817</v>
      </c>
      <c r="G647">
        <f t="shared" ca="1" si="37"/>
        <v>67.565071934451012</v>
      </c>
      <c r="H647">
        <f t="shared" ca="1" si="38"/>
        <v>0</v>
      </c>
      <c r="I647">
        <f t="shared" ca="1" si="39"/>
        <v>0</v>
      </c>
    </row>
    <row r="648" spans="5:9" x14ac:dyDescent="0.75">
      <c r="E648">
        <v>642</v>
      </c>
      <c r="F648">
        <f t="shared" ref="F648:F711" ca="1" si="40">NORMINV(RAND(), 0,1)</f>
        <v>-0.39917113605814164</v>
      </c>
      <c r="G648">
        <f t="shared" ref="G648:G711" ca="1" si="41">$C$5*EXP(($C$6-0.5*$C$7^2)*$C$8+$C$7*SQRT($C$8)*F648)</f>
        <v>95.138712552570283</v>
      </c>
      <c r="H648">
        <f t="shared" ref="H648:H711" ca="1" si="42">MAX(G648-$C$9,0)</f>
        <v>0</v>
      </c>
      <c r="I648">
        <f t="shared" ref="I648:I711" ca="1" si="43">EXP(-$C$6*$C$8)*H648</f>
        <v>0</v>
      </c>
    </row>
    <row r="649" spans="5:9" x14ac:dyDescent="0.75">
      <c r="E649">
        <v>643</v>
      </c>
      <c r="F649">
        <f t="shared" ca="1" si="40"/>
        <v>-2.4882150297224785E-2</v>
      </c>
      <c r="G649">
        <f t="shared" ca="1" si="41"/>
        <v>102.53392874256748</v>
      </c>
      <c r="H649">
        <f t="shared" ca="1" si="42"/>
        <v>2.5339287425674826</v>
      </c>
      <c r="I649">
        <f t="shared" ca="1" si="43"/>
        <v>2.4103475795182843</v>
      </c>
    </row>
    <row r="650" spans="5:9" x14ac:dyDescent="0.75">
      <c r="E650">
        <v>644</v>
      </c>
      <c r="F650">
        <f t="shared" ca="1" si="40"/>
        <v>-0.54344876063910852</v>
      </c>
      <c r="G650">
        <f t="shared" ca="1" si="41"/>
        <v>92.432665034120348</v>
      </c>
      <c r="H650">
        <f t="shared" ca="1" si="42"/>
        <v>0</v>
      </c>
      <c r="I650">
        <f t="shared" ca="1" si="43"/>
        <v>0</v>
      </c>
    </row>
    <row r="651" spans="5:9" x14ac:dyDescent="0.75">
      <c r="E651">
        <v>645</v>
      </c>
      <c r="F651">
        <f t="shared" ca="1" si="40"/>
        <v>-1.9222017431585905</v>
      </c>
      <c r="G651">
        <f t="shared" ca="1" si="41"/>
        <v>70.156596571310018</v>
      </c>
      <c r="H651">
        <f t="shared" ca="1" si="42"/>
        <v>0</v>
      </c>
      <c r="I651">
        <f t="shared" ca="1" si="43"/>
        <v>0</v>
      </c>
    </row>
    <row r="652" spans="5:9" x14ac:dyDescent="0.75">
      <c r="E652">
        <v>646</v>
      </c>
      <c r="F652">
        <f t="shared" ca="1" si="40"/>
        <v>0.74227406832240106</v>
      </c>
      <c r="G652">
        <f t="shared" ca="1" si="41"/>
        <v>119.53688677143788</v>
      </c>
      <c r="H652">
        <f t="shared" ca="1" si="42"/>
        <v>19.536886771437878</v>
      </c>
      <c r="I652">
        <f t="shared" ca="1" si="43"/>
        <v>18.584061560130465</v>
      </c>
    </row>
    <row r="653" spans="5:9" x14ac:dyDescent="0.75">
      <c r="E653">
        <v>647</v>
      </c>
      <c r="F653">
        <f t="shared" ca="1" si="40"/>
        <v>-1.1836157563582155</v>
      </c>
      <c r="G653">
        <f t="shared" ca="1" si="41"/>
        <v>81.324476460370903</v>
      </c>
      <c r="H653">
        <f t="shared" ca="1" si="42"/>
        <v>0</v>
      </c>
      <c r="I653">
        <f t="shared" ca="1" si="43"/>
        <v>0</v>
      </c>
    </row>
    <row r="654" spans="5:9" x14ac:dyDescent="0.75">
      <c r="E654">
        <v>648</v>
      </c>
      <c r="F654">
        <f t="shared" ca="1" si="40"/>
        <v>0.79084905664056682</v>
      </c>
      <c r="G654">
        <f t="shared" ca="1" si="41"/>
        <v>120.7038466752701</v>
      </c>
      <c r="H654">
        <f t="shared" ca="1" si="42"/>
        <v>20.7038466752701</v>
      </c>
      <c r="I654">
        <f t="shared" ca="1" si="43"/>
        <v>19.694108157868197</v>
      </c>
    </row>
    <row r="655" spans="5:9" x14ac:dyDescent="0.75">
      <c r="E655">
        <v>649</v>
      </c>
      <c r="F655">
        <f t="shared" ca="1" si="40"/>
        <v>-0.54141918473869111</v>
      </c>
      <c r="G655">
        <f t="shared" ca="1" si="41"/>
        <v>92.470192471956324</v>
      </c>
      <c r="H655">
        <f t="shared" ca="1" si="42"/>
        <v>0</v>
      </c>
      <c r="I655">
        <f t="shared" ca="1" si="43"/>
        <v>0</v>
      </c>
    </row>
    <row r="656" spans="5:9" x14ac:dyDescent="0.75">
      <c r="E656">
        <v>650</v>
      </c>
      <c r="F656">
        <f t="shared" ca="1" si="40"/>
        <v>1.24081904148799</v>
      </c>
      <c r="G656">
        <f t="shared" ca="1" si="41"/>
        <v>132.07025215224368</v>
      </c>
      <c r="H656">
        <f t="shared" ca="1" si="42"/>
        <v>32.070252152243683</v>
      </c>
      <c r="I656">
        <f t="shared" ca="1" si="43"/>
        <v>30.506167498371543</v>
      </c>
    </row>
    <row r="657" spans="5:9" x14ac:dyDescent="0.75">
      <c r="E657">
        <v>651</v>
      </c>
      <c r="F657">
        <f t="shared" ca="1" si="40"/>
        <v>1.668602222943441</v>
      </c>
      <c r="G657">
        <f t="shared" ca="1" si="41"/>
        <v>143.86719694016682</v>
      </c>
      <c r="H657">
        <f t="shared" ca="1" si="42"/>
        <v>43.867196940166821</v>
      </c>
      <c r="I657">
        <f t="shared" ca="1" si="43"/>
        <v>41.727768499854371</v>
      </c>
    </row>
    <row r="658" spans="5:9" x14ac:dyDescent="0.75">
      <c r="E658">
        <v>652</v>
      </c>
      <c r="F658">
        <f t="shared" ca="1" si="40"/>
        <v>7.6919073368014845E-2</v>
      </c>
      <c r="G658">
        <f t="shared" ca="1" si="41"/>
        <v>104.64294178073249</v>
      </c>
      <c r="H658">
        <f t="shared" ca="1" si="42"/>
        <v>4.6429417807324853</v>
      </c>
      <c r="I658">
        <f t="shared" ca="1" si="43"/>
        <v>4.4165028380764824</v>
      </c>
    </row>
    <row r="659" spans="5:9" x14ac:dyDescent="0.75">
      <c r="E659">
        <v>653</v>
      </c>
      <c r="F659">
        <f t="shared" ca="1" si="40"/>
        <v>1.241892132656937</v>
      </c>
      <c r="G659">
        <f t="shared" ca="1" si="41"/>
        <v>132.09859987835736</v>
      </c>
      <c r="H659">
        <f t="shared" ca="1" si="42"/>
        <v>32.098599878357362</v>
      </c>
      <c r="I659">
        <f t="shared" ca="1" si="43"/>
        <v>30.533132689568564</v>
      </c>
    </row>
    <row r="660" spans="5:9" x14ac:dyDescent="0.75">
      <c r="E660">
        <v>654</v>
      </c>
      <c r="F660">
        <f t="shared" ca="1" si="40"/>
        <v>0.28551781254833913</v>
      </c>
      <c r="G660">
        <f t="shared" ca="1" si="41"/>
        <v>109.10096615664587</v>
      </c>
      <c r="H660">
        <f t="shared" ca="1" si="42"/>
        <v>9.1009661566458675</v>
      </c>
      <c r="I660">
        <f t="shared" ca="1" si="43"/>
        <v>8.6571067995867228</v>
      </c>
    </row>
    <row r="661" spans="5:9" x14ac:dyDescent="0.75">
      <c r="E661">
        <v>655</v>
      </c>
      <c r="F661">
        <f t="shared" ca="1" si="40"/>
        <v>-0.44256899888284812</v>
      </c>
      <c r="G661">
        <f t="shared" ca="1" si="41"/>
        <v>94.316522484048988</v>
      </c>
      <c r="H661">
        <f t="shared" ca="1" si="42"/>
        <v>0</v>
      </c>
      <c r="I661">
        <f t="shared" ca="1" si="43"/>
        <v>0</v>
      </c>
    </row>
    <row r="662" spans="5:9" x14ac:dyDescent="0.75">
      <c r="E662">
        <v>656</v>
      </c>
      <c r="F662">
        <f t="shared" ca="1" si="40"/>
        <v>0.98998631943496629</v>
      </c>
      <c r="G662">
        <f t="shared" ca="1" si="41"/>
        <v>125.60818886456492</v>
      </c>
      <c r="H662">
        <f t="shared" ca="1" si="42"/>
        <v>25.608188864564923</v>
      </c>
      <c r="I662">
        <f t="shared" ca="1" si="43"/>
        <v>24.359262756145686</v>
      </c>
    </row>
    <row r="663" spans="5:9" x14ac:dyDescent="0.75">
      <c r="E663">
        <v>657</v>
      </c>
      <c r="F663">
        <f t="shared" ca="1" si="40"/>
        <v>0.80039098092099048</v>
      </c>
      <c r="G663">
        <f t="shared" ca="1" si="41"/>
        <v>120.93441600586927</v>
      </c>
      <c r="H663">
        <f t="shared" ca="1" si="42"/>
        <v>20.934416005869267</v>
      </c>
      <c r="I663">
        <f t="shared" ca="1" si="43"/>
        <v>19.913432489521558</v>
      </c>
    </row>
    <row r="664" spans="5:9" x14ac:dyDescent="0.75">
      <c r="E664">
        <v>658</v>
      </c>
      <c r="F664">
        <f t="shared" ca="1" si="40"/>
        <v>-2.0211034940553487</v>
      </c>
      <c r="G664">
        <f t="shared" ca="1" si="41"/>
        <v>68.782509289624045</v>
      </c>
      <c r="H664">
        <f t="shared" ca="1" si="42"/>
        <v>0</v>
      </c>
      <c r="I664">
        <f t="shared" ca="1" si="43"/>
        <v>0</v>
      </c>
    </row>
    <row r="665" spans="5:9" x14ac:dyDescent="0.75">
      <c r="E665">
        <v>659</v>
      </c>
      <c r="F665">
        <f t="shared" ca="1" si="40"/>
        <v>-0.31989720823937839</v>
      </c>
      <c r="G665">
        <f t="shared" ca="1" si="41"/>
        <v>96.659137595911247</v>
      </c>
      <c r="H665">
        <f t="shared" ca="1" si="42"/>
        <v>0</v>
      </c>
      <c r="I665">
        <f t="shared" ca="1" si="43"/>
        <v>0</v>
      </c>
    </row>
    <row r="666" spans="5:9" x14ac:dyDescent="0.75">
      <c r="E666">
        <v>660</v>
      </c>
      <c r="F666">
        <f t="shared" ca="1" si="40"/>
        <v>1.9333801225550644</v>
      </c>
      <c r="G666">
        <f t="shared" ca="1" si="41"/>
        <v>151.69109913387405</v>
      </c>
      <c r="H666">
        <f t="shared" ca="1" si="42"/>
        <v>51.691099133874047</v>
      </c>
      <c r="I666">
        <f t="shared" ca="1" si="43"/>
        <v>49.170094480924369</v>
      </c>
    </row>
    <row r="667" spans="5:9" x14ac:dyDescent="0.75">
      <c r="E667">
        <v>661</v>
      </c>
      <c r="F667">
        <f t="shared" ca="1" si="40"/>
        <v>-2.7604145543392988</v>
      </c>
      <c r="G667">
        <f t="shared" ca="1" si="41"/>
        <v>59.328350343366075</v>
      </c>
      <c r="H667">
        <f t="shared" ca="1" si="42"/>
        <v>0</v>
      </c>
      <c r="I667">
        <f t="shared" ca="1" si="43"/>
        <v>0</v>
      </c>
    </row>
    <row r="668" spans="5:9" x14ac:dyDescent="0.75">
      <c r="E668">
        <v>662</v>
      </c>
      <c r="F668">
        <f t="shared" ca="1" si="40"/>
        <v>-0.96982851089146593</v>
      </c>
      <c r="G668">
        <f t="shared" ca="1" si="41"/>
        <v>84.877113238195875</v>
      </c>
      <c r="H668">
        <f t="shared" ca="1" si="42"/>
        <v>0</v>
      </c>
      <c r="I668">
        <f t="shared" ca="1" si="43"/>
        <v>0</v>
      </c>
    </row>
    <row r="669" spans="5:9" x14ac:dyDescent="0.75">
      <c r="E669">
        <v>663</v>
      </c>
      <c r="F669">
        <f t="shared" ca="1" si="40"/>
        <v>-0.14137036980774845</v>
      </c>
      <c r="G669">
        <f t="shared" ca="1" si="41"/>
        <v>100.1727416306036</v>
      </c>
      <c r="H669">
        <f t="shared" ca="1" si="42"/>
        <v>0.17274163060359626</v>
      </c>
      <c r="I669">
        <f t="shared" ca="1" si="43"/>
        <v>0.16431692186637381</v>
      </c>
    </row>
    <row r="670" spans="5:9" x14ac:dyDescent="0.75">
      <c r="E670">
        <v>664</v>
      </c>
      <c r="F670">
        <f t="shared" ca="1" si="40"/>
        <v>-0.43789910027067125</v>
      </c>
      <c r="G670">
        <f t="shared" ca="1" si="41"/>
        <v>94.404653353355627</v>
      </c>
      <c r="H670">
        <f t="shared" ca="1" si="42"/>
        <v>0</v>
      </c>
      <c r="I670">
        <f t="shared" ca="1" si="43"/>
        <v>0</v>
      </c>
    </row>
    <row r="671" spans="5:9" x14ac:dyDescent="0.75">
      <c r="E671">
        <v>665</v>
      </c>
      <c r="F671">
        <f t="shared" ca="1" si="40"/>
        <v>-2.8683275714652512E-2</v>
      </c>
      <c r="G671">
        <f t="shared" ca="1" si="41"/>
        <v>102.4560094998632</v>
      </c>
      <c r="H671">
        <f t="shared" ca="1" si="42"/>
        <v>2.4560094998631996</v>
      </c>
      <c r="I671">
        <f t="shared" ca="1" si="43"/>
        <v>2.336228503123158</v>
      </c>
    </row>
    <row r="672" spans="5:9" x14ac:dyDescent="0.75">
      <c r="E672">
        <v>666</v>
      </c>
      <c r="F672">
        <f t="shared" ca="1" si="40"/>
        <v>-0.73748604320061162</v>
      </c>
      <c r="G672">
        <f t="shared" ca="1" si="41"/>
        <v>88.914299366106206</v>
      </c>
      <c r="H672">
        <f t="shared" ca="1" si="42"/>
        <v>0</v>
      </c>
      <c r="I672">
        <f t="shared" ca="1" si="43"/>
        <v>0</v>
      </c>
    </row>
    <row r="673" spans="5:9" x14ac:dyDescent="0.75">
      <c r="E673">
        <v>667</v>
      </c>
      <c r="F673">
        <f t="shared" ca="1" si="40"/>
        <v>-1.5466658053427276</v>
      </c>
      <c r="G673">
        <f t="shared" ca="1" si="41"/>
        <v>75.628789555439667</v>
      </c>
      <c r="H673">
        <f t="shared" ca="1" si="42"/>
        <v>0</v>
      </c>
      <c r="I673">
        <f t="shared" ca="1" si="43"/>
        <v>0</v>
      </c>
    </row>
    <row r="674" spans="5:9" x14ac:dyDescent="0.75">
      <c r="E674">
        <v>668</v>
      </c>
      <c r="F674">
        <f t="shared" ca="1" si="40"/>
        <v>-0.81753979529075949</v>
      </c>
      <c r="G674">
        <f t="shared" ca="1" si="41"/>
        <v>87.502050461082149</v>
      </c>
      <c r="H674">
        <f t="shared" ca="1" si="42"/>
        <v>0</v>
      </c>
      <c r="I674">
        <f t="shared" ca="1" si="43"/>
        <v>0</v>
      </c>
    </row>
    <row r="675" spans="5:9" x14ac:dyDescent="0.75">
      <c r="E675">
        <v>669</v>
      </c>
      <c r="F675">
        <f t="shared" ca="1" si="40"/>
        <v>-0.58339132154354545</v>
      </c>
      <c r="G675">
        <f t="shared" ca="1" si="41"/>
        <v>91.697207082168504</v>
      </c>
      <c r="H675">
        <f t="shared" ca="1" si="42"/>
        <v>0</v>
      </c>
      <c r="I675">
        <f t="shared" ca="1" si="43"/>
        <v>0</v>
      </c>
    </row>
    <row r="676" spans="5:9" x14ac:dyDescent="0.75">
      <c r="E676">
        <v>670</v>
      </c>
      <c r="F676">
        <f t="shared" ca="1" si="40"/>
        <v>1.4577371092586664</v>
      </c>
      <c r="G676">
        <f t="shared" ca="1" si="41"/>
        <v>137.92604115580212</v>
      </c>
      <c r="H676">
        <f t="shared" ca="1" si="42"/>
        <v>37.926041155802125</v>
      </c>
      <c r="I676">
        <f t="shared" ca="1" si="43"/>
        <v>36.076366302224052</v>
      </c>
    </row>
    <row r="677" spans="5:9" x14ac:dyDescent="0.75">
      <c r="E677">
        <v>671</v>
      </c>
      <c r="F677">
        <f t="shared" ca="1" si="40"/>
        <v>0.32929967096114077</v>
      </c>
      <c r="G677">
        <f t="shared" ca="1" si="41"/>
        <v>110.0604896083597</v>
      </c>
      <c r="H677">
        <f t="shared" ca="1" si="42"/>
        <v>10.060489608359703</v>
      </c>
      <c r="I677">
        <f t="shared" ca="1" si="43"/>
        <v>9.5698337403554135</v>
      </c>
    </row>
    <row r="678" spans="5:9" x14ac:dyDescent="0.75">
      <c r="E678">
        <v>672</v>
      </c>
      <c r="F678">
        <f t="shared" ca="1" si="40"/>
        <v>-0.92167270562139081</v>
      </c>
      <c r="G678">
        <f t="shared" ca="1" si="41"/>
        <v>85.698527623237069</v>
      </c>
      <c r="H678">
        <f t="shared" ca="1" si="42"/>
        <v>0</v>
      </c>
      <c r="I678">
        <f t="shared" ca="1" si="43"/>
        <v>0</v>
      </c>
    </row>
    <row r="679" spans="5:9" x14ac:dyDescent="0.75">
      <c r="E679">
        <v>673</v>
      </c>
      <c r="F679">
        <f t="shared" ca="1" si="40"/>
        <v>1.1311338156488748</v>
      </c>
      <c r="G679">
        <f t="shared" ca="1" si="41"/>
        <v>129.20456830456399</v>
      </c>
      <c r="H679">
        <f t="shared" ca="1" si="42"/>
        <v>29.204568304563992</v>
      </c>
      <c r="I679">
        <f t="shared" ca="1" si="43"/>
        <v>27.780244701142198</v>
      </c>
    </row>
    <row r="680" spans="5:9" x14ac:dyDescent="0.75">
      <c r="E680">
        <v>674</v>
      </c>
      <c r="F680">
        <f t="shared" ca="1" si="40"/>
        <v>-2.1536782675732584</v>
      </c>
      <c r="G680">
        <f t="shared" ca="1" si="41"/>
        <v>66.982710407730494</v>
      </c>
      <c r="H680">
        <f t="shared" ca="1" si="42"/>
        <v>0</v>
      </c>
      <c r="I680">
        <f t="shared" ca="1" si="43"/>
        <v>0</v>
      </c>
    </row>
    <row r="681" spans="5:9" x14ac:dyDescent="0.75">
      <c r="E681">
        <v>675</v>
      </c>
      <c r="F681">
        <f t="shared" ca="1" si="40"/>
        <v>-0.64958585800893065</v>
      </c>
      <c r="G681">
        <f t="shared" ca="1" si="41"/>
        <v>90.491236737386345</v>
      </c>
      <c r="H681">
        <f t="shared" ca="1" si="42"/>
        <v>0</v>
      </c>
      <c r="I681">
        <f t="shared" ca="1" si="43"/>
        <v>0</v>
      </c>
    </row>
    <row r="682" spans="5:9" x14ac:dyDescent="0.75">
      <c r="E682">
        <v>676</v>
      </c>
      <c r="F682">
        <f t="shared" ca="1" si="40"/>
        <v>0.82547674394871029</v>
      </c>
      <c r="G682">
        <f t="shared" ca="1" si="41"/>
        <v>121.54268704460624</v>
      </c>
      <c r="H682">
        <f t="shared" ca="1" si="42"/>
        <v>21.54268704460624</v>
      </c>
      <c r="I682">
        <f t="shared" ca="1" si="43"/>
        <v>20.492037799639782</v>
      </c>
    </row>
    <row r="683" spans="5:9" x14ac:dyDescent="0.75">
      <c r="E683">
        <v>677</v>
      </c>
      <c r="F683">
        <f t="shared" ca="1" si="40"/>
        <v>0.71231126881167528</v>
      </c>
      <c r="G683">
        <f t="shared" ca="1" si="41"/>
        <v>118.82269686709384</v>
      </c>
      <c r="H683">
        <f t="shared" ca="1" si="42"/>
        <v>18.822696867093839</v>
      </c>
      <c r="I683">
        <f t="shared" ca="1" si="43"/>
        <v>17.904703108437065</v>
      </c>
    </row>
    <row r="684" spans="5:9" x14ac:dyDescent="0.75">
      <c r="E684">
        <v>678</v>
      </c>
      <c r="F684">
        <f t="shared" ca="1" si="40"/>
        <v>1.4855453329504007</v>
      </c>
      <c r="G684">
        <f t="shared" ca="1" si="41"/>
        <v>138.69527391371992</v>
      </c>
      <c r="H684">
        <f t="shared" ca="1" si="42"/>
        <v>38.695273913719916</v>
      </c>
      <c r="I684">
        <f t="shared" ca="1" si="43"/>
        <v>36.808083135845287</v>
      </c>
    </row>
    <row r="685" spans="5:9" x14ac:dyDescent="0.75">
      <c r="E685">
        <v>679</v>
      </c>
      <c r="F685">
        <f t="shared" ca="1" si="40"/>
        <v>-0.33166762370219177</v>
      </c>
      <c r="G685">
        <f t="shared" ca="1" si="41"/>
        <v>96.431861572634986</v>
      </c>
      <c r="H685">
        <f t="shared" ca="1" si="42"/>
        <v>0</v>
      </c>
      <c r="I685">
        <f t="shared" ca="1" si="43"/>
        <v>0</v>
      </c>
    </row>
    <row r="686" spans="5:9" x14ac:dyDescent="0.75">
      <c r="E686">
        <v>680</v>
      </c>
      <c r="F686">
        <f t="shared" ca="1" si="40"/>
        <v>-1.5547114737287681E-2</v>
      </c>
      <c r="G686">
        <f t="shared" ca="1" si="41"/>
        <v>102.72553913006971</v>
      </c>
      <c r="H686">
        <f t="shared" ca="1" si="42"/>
        <v>2.7255391300697056</v>
      </c>
      <c r="I686">
        <f t="shared" ca="1" si="43"/>
        <v>2.5926130181503826</v>
      </c>
    </row>
    <row r="687" spans="5:9" x14ac:dyDescent="0.75">
      <c r="E687">
        <v>681</v>
      </c>
      <c r="F687">
        <f t="shared" ca="1" si="40"/>
        <v>-1.2792894361445115</v>
      </c>
      <c r="G687">
        <f t="shared" ca="1" si="41"/>
        <v>79.783147565141164</v>
      </c>
      <c r="H687">
        <f t="shared" ca="1" si="42"/>
        <v>0</v>
      </c>
      <c r="I687">
        <f t="shared" ca="1" si="43"/>
        <v>0</v>
      </c>
    </row>
    <row r="688" spans="5:9" x14ac:dyDescent="0.75">
      <c r="E688">
        <v>682</v>
      </c>
      <c r="F688">
        <f t="shared" ca="1" si="40"/>
        <v>0.43097365703910023</v>
      </c>
      <c r="G688">
        <f t="shared" ca="1" si="41"/>
        <v>112.32145759939756</v>
      </c>
      <c r="H688">
        <f t="shared" ca="1" si="42"/>
        <v>12.321457599397561</v>
      </c>
      <c r="I688">
        <f t="shared" ca="1" si="43"/>
        <v>11.720533021284892</v>
      </c>
    </row>
    <row r="689" spans="5:9" x14ac:dyDescent="0.75">
      <c r="E689">
        <v>683</v>
      </c>
      <c r="F689">
        <f t="shared" ca="1" si="40"/>
        <v>1.1033053501062491</v>
      </c>
      <c r="G689">
        <f t="shared" ca="1" si="41"/>
        <v>128.48745280273394</v>
      </c>
      <c r="H689">
        <f t="shared" ca="1" si="42"/>
        <v>28.487452802733941</v>
      </c>
      <c r="I689">
        <f t="shared" ca="1" si="43"/>
        <v>27.098103335035859</v>
      </c>
    </row>
    <row r="690" spans="5:9" x14ac:dyDescent="0.75">
      <c r="E690">
        <v>684</v>
      </c>
      <c r="F690">
        <f t="shared" ca="1" si="40"/>
        <v>0.20505263474055319</v>
      </c>
      <c r="G690">
        <f t="shared" ca="1" si="41"/>
        <v>107.35925274617001</v>
      </c>
      <c r="H690">
        <f t="shared" ca="1" si="42"/>
        <v>7.3592527461700143</v>
      </c>
      <c r="I690">
        <f t="shared" ca="1" si="43"/>
        <v>7.0003377544946019</v>
      </c>
    </row>
    <row r="691" spans="5:9" x14ac:dyDescent="0.75">
      <c r="E691">
        <v>685</v>
      </c>
      <c r="F691">
        <f t="shared" ca="1" si="40"/>
        <v>-0.16974204460457049</v>
      </c>
      <c r="G691">
        <f t="shared" ca="1" si="41"/>
        <v>99.605937579646977</v>
      </c>
      <c r="H691">
        <f t="shared" ca="1" si="42"/>
        <v>0</v>
      </c>
      <c r="I691">
        <f t="shared" ca="1" si="43"/>
        <v>0</v>
      </c>
    </row>
    <row r="692" spans="5:9" x14ac:dyDescent="0.75">
      <c r="E692">
        <v>686</v>
      </c>
      <c r="F692">
        <f t="shared" ca="1" si="40"/>
        <v>-1.8909219888982547</v>
      </c>
      <c r="G692">
        <f t="shared" ca="1" si="41"/>
        <v>70.596868515323663</v>
      </c>
      <c r="H692">
        <f t="shared" ca="1" si="42"/>
        <v>0</v>
      </c>
      <c r="I692">
        <f t="shared" ca="1" si="43"/>
        <v>0</v>
      </c>
    </row>
    <row r="693" spans="5:9" x14ac:dyDescent="0.75">
      <c r="E693">
        <v>687</v>
      </c>
      <c r="F693">
        <f t="shared" ca="1" si="40"/>
        <v>-0.56202846935882356</v>
      </c>
      <c r="G693">
        <f t="shared" ca="1" si="41"/>
        <v>92.08982801131576</v>
      </c>
      <c r="H693">
        <f t="shared" ca="1" si="42"/>
        <v>0</v>
      </c>
      <c r="I693">
        <f t="shared" ca="1" si="43"/>
        <v>0</v>
      </c>
    </row>
    <row r="694" spans="5:9" x14ac:dyDescent="0.75">
      <c r="E694">
        <v>688</v>
      </c>
      <c r="F694">
        <f t="shared" ca="1" si="40"/>
        <v>-1.2822767456227004</v>
      </c>
      <c r="G694">
        <f t="shared" ca="1" si="41"/>
        <v>79.73549441144624</v>
      </c>
      <c r="H694">
        <f t="shared" ca="1" si="42"/>
        <v>0</v>
      </c>
      <c r="I694">
        <f t="shared" ca="1" si="43"/>
        <v>0</v>
      </c>
    </row>
    <row r="695" spans="5:9" x14ac:dyDescent="0.75">
      <c r="E695">
        <v>689</v>
      </c>
      <c r="F695">
        <f t="shared" ca="1" si="40"/>
        <v>-0.34251449593445554</v>
      </c>
      <c r="G695">
        <f t="shared" ca="1" si="41"/>
        <v>96.22289150543169</v>
      </c>
      <c r="H695">
        <f t="shared" ca="1" si="42"/>
        <v>0</v>
      </c>
      <c r="I695">
        <f t="shared" ca="1" si="43"/>
        <v>0</v>
      </c>
    </row>
    <row r="696" spans="5:9" x14ac:dyDescent="0.75">
      <c r="E696">
        <v>690</v>
      </c>
      <c r="F696">
        <f t="shared" ca="1" si="40"/>
        <v>0.83326546186520312</v>
      </c>
      <c r="G696">
        <f t="shared" ca="1" si="41"/>
        <v>121.73216692766742</v>
      </c>
      <c r="H696">
        <f t="shared" ca="1" si="42"/>
        <v>21.732166927667421</v>
      </c>
      <c r="I696">
        <f t="shared" ca="1" si="43"/>
        <v>20.672276639758532</v>
      </c>
    </row>
    <row r="697" spans="5:9" x14ac:dyDescent="0.75">
      <c r="E697">
        <v>691</v>
      </c>
      <c r="F697">
        <f t="shared" ca="1" si="40"/>
        <v>-7.7644304900299672E-3</v>
      </c>
      <c r="G697">
        <f t="shared" ca="1" si="41"/>
        <v>102.88555972377256</v>
      </c>
      <c r="H697">
        <f t="shared" ca="1" si="42"/>
        <v>2.885559723772559</v>
      </c>
      <c r="I697">
        <f t="shared" ca="1" si="43"/>
        <v>2.7448293154066108</v>
      </c>
    </row>
    <row r="698" spans="5:9" x14ac:dyDescent="0.75">
      <c r="E698">
        <v>692</v>
      </c>
      <c r="F698">
        <f t="shared" ca="1" si="40"/>
        <v>-2.0581812981707905</v>
      </c>
      <c r="G698">
        <f t="shared" ca="1" si="41"/>
        <v>68.274334936065785</v>
      </c>
      <c r="H698">
        <f t="shared" ca="1" si="42"/>
        <v>0</v>
      </c>
      <c r="I698">
        <f t="shared" ca="1" si="43"/>
        <v>0</v>
      </c>
    </row>
    <row r="699" spans="5:9" x14ac:dyDescent="0.75">
      <c r="E699">
        <v>693</v>
      </c>
      <c r="F699">
        <f t="shared" ca="1" si="40"/>
        <v>-0.45947739470688875</v>
      </c>
      <c r="G699">
        <f t="shared" ca="1" si="41"/>
        <v>93.998112947952279</v>
      </c>
      <c r="H699">
        <f t="shared" ca="1" si="42"/>
        <v>0</v>
      </c>
      <c r="I699">
        <f t="shared" ca="1" si="43"/>
        <v>0</v>
      </c>
    </row>
    <row r="700" spans="5:9" x14ac:dyDescent="0.75">
      <c r="E700">
        <v>694</v>
      </c>
      <c r="F700">
        <f t="shared" ca="1" si="40"/>
        <v>1.8821042139801534</v>
      </c>
      <c r="G700">
        <f t="shared" ca="1" si="41"/>
        <v>150.14342873216958</v>
      </c>
      <c r="H700">
        <f t="shared" ca="1" si="42"/>
        <v>50.143428732169582</v>
      </c>
      <c r="I700">
        <f t="shared" ca="1" si="43"/>
        <v>47.697904855394242</v>
      </c>
    </row>
    <row r="701" spans="5:9" x14ac:dyDescent="0.75">
      <c r="E701">
        <v>695</v>
      </c>
      <c r="F701">
        <f t="shared" ca="1" si="40"/>
        <v>-2.2168359505710437E-2</v>
      </c>
      <c r="G701">
        <f t="shared" ca="1" si="41"/>
        <v>102.58959497417951</v>
      </c>
      <c r="H701">
        <f t="shared" ca="1" si="42"/>
        <v>2.589594974179505</v>
      </c>
      <c r="I701">
        <f t="shared" ca="1" si="43"/>
        <v>2.4632989369787119</v>
      </c>
    </row>
    <row r="702" spans="5:9" x14ac:dyDescent="0.75">
      <c r="E702">
        <v>696</v>
      </c>
      <c r="F702">
        <f t="shared" ca="1" si="40"/>
        <v>0.94467441249556339</v>
      </c>
      <c r="G702">
        <f t="shared" ca="1" si="41"/>
        <v>124.47502190249318</v>
      </c>
      <c r="H702">
        <f t="shared" ca="1" si="42"/>
        <v>24.475021902493182</v>
      </c>
      <c r="I702">
        <f t="shared" ca="1" si="43"/>
        <v>23.281360998950962</v>
      </c>
    </row>
    <row r="703" spans="5:9" x14ac:dyDescent="0.75">
      <c r="E703">
        <v>697</v>
      </c>
      <c r="F703">
        <f t="shared" ca="1" si="40"/>
        <v>1.5326723316743809</v>
      </c>
      <c r="G703">
        <f t="shared" ca="1" si="41"/>
        <v>140.0087124309961</v>
      </c>
      <c r="H703">
        <f t="shared" ca="1" si="42"/>
        <v>40.008712430996098</v>
      </c>
      <c r="I703">
        <f t="shared" ca="1" si="43"/>
        <v>38.057464500750982</v>
      </c>
    </row>
    <row r="704" spans="5:9" x14ac:dyDescent="0.75">
      <c r="E704">
        <v>698</v>
      </c>
      <c r="F704">
        <f t="shared" ca="1" si="40"/>
        <v>-0.38925331155994097</v>
      </c>
      <c r="G704">
        <f t="shared" ca="1" si="41"/>
        <v>95.327613650243521</v>
      </c>
      <c r="H704">
        <f t="shared" ca="1" si="42"/>
        <v>0</v>
      </c>
      <c r="I704">
        <f t="shared" ca="1" si="43"/>
        <v>0</v>
      </c>
    </row>
    <row r="705" spans="5:9" x14ac:dyDescent="0.75">
      <c r="E705">
        <v>699</v>
      </c>
      <c r="F705">
        <f t="shared" ca="1" si="40"/>
        <v>0.83212430033754992</v>
      </c>
      <c r="G705">
        <f t="shared" ca="1" si="41"/>
        <v>121.70438688482447</v>
      </c>
      <c r="H705">
        <f t="shared" ca="1" si="42"/>
        <v>21.704386884824473</v>
      </c>
      <c r="I705">
        <f t="shared" ca="1" si="43"/>
        <v>20.645851445592427</v>
      </c>
    </row>
    <row r="706" spans="5:9" x14ac:dyDescent="0.75">
      <c r="E706">
        <v>700</v>
      </c>
      <c r="F706">
        <f t="shared" ca="1" si="40"/>
        <v>-0.15486237240477702</v>
      </c>
      <c r="G706">
        <f t="shared" ca="1" si="41"/>
        <v>99.902799821911074</v>
      </c>
      <c r="H706">
        <f t="shared" ca="1" si="42"/>
        <v>0</v>
      </c>
      <c r="I706">
        <f t="shared" ca="1" si="43"/>
        <v>0</v>
      </c>
    </row>
    <row r="707" spans="5:9" x14ac:dyDescent="0.75">
      <c r="E707">
        <v>701</v>
      </c>
      <c r="F707">
        <f t="shared" ca="1" si="40"/>
        <v>-1.510711272901897</v>
      </c>
      <c r="G707">
        <f t="shared" ca="1" si="41"/>
        <v>76.174589153983106</v>
      </c>
      <c r="H707">
        <f t="shared" ca="1" si="42"/>
        <v>0</v>
      </c>
      <c r="I707">
        <f t="shared" ca="1" si="43"/>
        <v>0</v>
      </c>
    </row>
    <row r="708" spans="5:9" x14ac:dyDescent="0.75">
      <c r="E708">
        <v>702</v>
      </c>
      <c r="F708">
        <f t="shared" ca="1" si="40"/>
        <v>-0.2119509698661676</v>
      </c>
      <c r="G708">
        <f t="shared" ca="1" si="41"/>
        <v>98.768624844228654</v>
      </c>
      <c r="H708">
        <f t="shared" ca="1" si="42"/>
        <v>0</v>
      </c>
      <c r="I708">
        <f t="shared" ca="1" si="43"/>
        <v>0</v>
      </c>
    </row>
    <row r="709" spans="5:9" x14ac:dyDescent="0.75">
      <c r="E709">
        <v>703</v>
      </c>
      <c r="F709">
        <f t="shared" ca="1" si="40"/>
        <v>0.17792140916002572</v>
      </c>
      <c r="G709">
        <f t="shared" ca="1" si="41"/>
        <v>106.77827282056627</v>
      </c>
      <c r="H709">
        <f t="shared" ca="1" si="42"/>
        <v>6.7782728205662721</v>
      </c>
      <c r="I709">
        <f t="shared" ca="1" si="43"/>
        <v>6.4476925542160863</v>
      </c>
    </row>
    <row r="710" spans="5:9" x14ac:dyDescent="0.75">
      <c r="E710">
        <v>704</v>
      </c>
      <c r="F710">
        <f t="shared" ca="1" si="40"/>
        <v>-0.47586994516722358</v>
      </c>
      <c r="G710">
        <f t="shared" ca="1" si="41"/>
        <v>93.690443809789457</v>
      </c>
      <c r="H710">
        <f t="shared" ca="1" si="42"/>
        <v>0</v>
      </c>
      <c r="I710">
        <f t="shared" ca="1" si="43"/>
        <v>0</v>
      </c>
    </row>
    <row r="711" spans="5:9" x14ac:dyDescent="0.75">
      <c r="E711">
        <v>705</v>
      </c>
      <c r="F711">
        <f t="shared" ca="1" si="40"/>
        <v>2.9831395964374745</v>
      </c>
      <c r="G711">
        <f t="shared" ca="1" si="41"/>
        <v>187.12897879430992</v>
      </c>
      <c r="H711">
        <f t="shared" ca="1" si="42"/>
        <v>87.128978794309916</v>
      </c>
      <c r="I711">
        <f t="shared" ca="1" si="43"/>
        <v>82.879648355846342</v>
      </c>
    </row>
    <row r="712" spans="5:9" x14ac:dyDescent="0.75">
      <c r="E712">
        <v>706</v>
      </c>
      <c r="F712">
        <f t="shared" ref="F712:F775" ca="1" si="44">NORMINV(RAND(), 0,1)</f>
        <v>-0.78682007572664858</v>
      </c>
      <c r="G712">
        <f t="shared" ref="G712:G775" ca="1" si="45">$C$5*EXP(($C$6-0.5*$C$7^2)*$C$8+$C$7*SQRT($C$8)*F712)</f>
        <v>88.041313054594994</v>
      </c>
      <c r="H712">
        <f t="shared" ref="H712:H775" ca="1" si="46">MAX(G712-$C$9,0)</f>
        <v>0</v>
      </c>
      <c r="I712">
        <f t="shared" ref="I712:I775" ca="1" si="47">EXP(-$C$6*$C$8)*H712</f>
        <v>0</v>
      </c>
    </row>
    <row r="713" spans="5:9" x14ac:dyDescent="0.75">
      <c r="E713">
        <v>707</v>
      </c>
      <c r="F713">
        <f t="shared" ca="1" si="44"/>
        <v>-1.8227003814611924</v>
      </c>
      <c r="G713">
        <f t="shared" ca="1" si="45"/>
        <v>71.566716296680582</v>
      </c>
      <c r="H713">
        <f t="shared" ca="1" si="46"/>
        <v>0</v>
      </c>
      <c r="I713">
        <f t="shared" ca="1" si="47"/>
        <v>0</v>
      </c>
    </row>
    <row r="714" spans="5:9" x14ac:dyDescent="0.75">
      <c r="E714">
        <v>708</v>
      </c>
      <c r="F714">
        <f t="shared" ca="1" si="44"/>
        <v>-0.85765459456807502</v>
      </c>
      <c r="G714">
        <f t="shared" ca="1" si="45"/>
        <v>86.802833667682194</v>
      </c>
      <c r="H714">
        <f t="shared" ca="1" si="46"/>
        <v>0</v>
      </c>
      <c r="I714">
        <f t="shared" ca="1" si="47"/>
        <v>0</v>
      </c>
    </row>
    <row r="715" spans="5:9" x14ac:dyDescent="0.75">
      <c r="E715">
        <v>709</v>
      </c>
      <c r="F715">
        <f t="shared" ca="1" si="44"/>
        <v>0.39993556086804222</v>
      </c>
      <c r="G715">
        <f t="shared" ca="1" si="45"/>
        <v>111.62636841535989</v>
      </c>
      <c r="H715">
        <f t="shared" ca="1" si="46"/>
        <v>11.626368415359892</v>
      </c>
      <c r="I715">
        <f t="shared" ca="1" si="47"/>
        <v>11.059343736776068</v>
      </c>
    </row>
    <row r="716" spans="5:9" x14ac:dyDescent="0.75">
      <c r="E716">
        <v>710</v>
      </c>
      <c r="F716">
        <f t="shared" ca="1" si="44"/>
        <v>-0.26207410817449495</v>
      </c>
      <c r="G716">
        <f t="shared" ca="1" si="45"/>
        <v>97.783452399226235</v>
      </c>
      <c r="H716">
        <f t="shared" ca="1" si="46"/>
        <v>0</v>
      </c>
      <c r="I716">
        <f t="shared" ca="1" si="47"/>
        <v>0</v>
      </c>
    </row>
    <row r="717" spans="5:9" x14ac:dyDescent="0.75">
      <c r="E717">
        <v>711</v>
      </c>
      <c r="F717">
        <f t="shared" ca="1" si="44"/>
        <v>2.4465427260186017</v>
      </c>
      <c r="G717">
        <f t="shared" ca="1" si="45"/>
        <v>168.08650056172633</v>
      </c>
      <c r="H717">
        <f t="shared" ca="1" si="46"/>
        <v>68.086500561726325</v>
      </c>
      <c r="I717">
        <f t="shared" ca="1" si="47"/>
        <v>64.765882745598475</v>
      </c>
    </row>
    <row r="718" spans="5:9" x14ac:dyDescent="0.75">
      <c r="E718">
        <v>712</v>
      </c>
      <c r="F718">
        <f t="shared" ca="1" si="44"/>
        <v>-0.43996638896236751</v>
      </c>
      <c r="G718">
        <f t="shared" ca="1" si="45"/>
        <v>94.36562908688984</v>
      </c>
      <c r="H718">
        <f t="shared" ca="1" si="46"/>
        <v>0</v>
      </c>
      <c r="I718">
        <f t="shared" ca="1" si="47"/>
        <v>0</v>
      </c>
    </row>
    <row r="719" spans="5:9" x14ac:dyDescent="0.75">
      <c r="E719">
        <v>713</v>
      </c>
      <c r="F719">
        <f t="shared" ca="1" si="44"/>
        <v>1.3481040180164654</v>
      </c>
      <c r="G719">
        <f t="shared" ca="1" si="45"/>
        <v>134.9347043015878</v>
      </c>
      <c r="H719">
        <f t="shared" ca="1" si="46"/>
        <v>34.9347043015878</v>
      </c>
      <c r="I719">
        <f t="shared" ca="1" si="47"/>
        <v>33.230918667901982</v>
      </c>
    </row>
    <row r="720" spans="5:9" x14ac:dyDescent="0.75">
      <c r="E720">
        <v>714</v>
      </c>
      <c r="F720">
        <f t="shared" ca="1" si="44"/>
        <v>1.0761067899069106</v>
      </c>
      <c r="G720">
        <f t="shared" ca="1" si="45"/>
        <v>127.79041561833688</v>
      </c>
      <c r="H720">
        <f t="shared" ca="1" si="46"/>
        <v>27.79041561833688</v>
      </c>
      <c r="I720">
        <f t="shared" ca="1" si="47"/>
        <v>26.435061055266246</v>
      </c>
    </row>
    <row r="721" spans="5:9" x14ac:dyDescent="0.75">
      <c r="E721">
        <v>715</v>
      </c>
      <c r="F721">
        <f t="shared" ca="1" si="44"/>
        <v>-1.8465581595765717</v>
      </c>
      <c r="G721">
        <f t="shared" ca="1" si="45"/>
        <v>71.226045141153165</v>
      </c>
      <c r="H721">
        <f t="shared" ca="1" si="46"/>
        <v>0</v>
      </c>
      <c r="I721">
        <f t="shared" ca="1" si="47"/>
        <v>0</v>
      </c>
    </row>
    <row r="722" spans="5:9" x14ac:dyDescent="0.75">
      <c r="E722">
        <v>716</v>
      </c>
      <c r="F722">
        <f t="shared" ca="1" si="44"/>
        <v>-0.11279952164217222</v>
      </c>
      <c r="G722">
        <f t="shared" ca="1" si="45"/>
        <v>100.74678419523428</v>
      </c>
      <c r="H722">
        <f t="shared" ca="1" si="46"/>
        <v>0.74678419523428374</v>
      </c>
      <c r="I722">
        <f t="shared" ca="1" si="47"/>
        <v>0.71036310025893656</v>
      </c>
    </row>
    <row r="723" spans="5:9" x14ac:dyDescent="0.75">
      <c r="E723">
        <v>717</v>
      </c>
      <c r="F723">
        <f t="shared" ca="1" si="44"/>
        <v>1.4710028806098652</v>
      </c>
      <c r="G723">
        <f t="shared" ca="1" si="45"/>
        <v>138.29246609687479</v>
      </c>
      <c r="H723">
        <f t="shared" ca="1" si="46"/>
        <v>38.29246609687479</v>
      </c>
      <c r="I723">
        <f t="shared" ca="1" si="47"/>
        <v>36.424920488043313</v>
      </c>
    </row>
    <row r="724" spans="5:9" x14ac:dyDescent="0.75">
      <c r="E724">
        <v>718</v>
      </c>
      <c r="F724">
        <f t="shared" ca="1" si="44"/>
        <v>0.40284122927493682</v>
      </c>
      <c r="G724">
        <f t="shared" ca="1" si="45"/>
        <v>111.69125711045302</v>
      </c>
      <c r="H724">
        <f t="shared" ca="1" si="46"/>
        <v>11.691257110453023</v>
      </c>
      <c r="I724">
        <f t="shared" ca="1" si="47"/>
        <v>11.121067772866109</v>
      </c>
    </row>
    <row r="725" spans="5:9" x14ac:dyDescent="0.75">
      <c r="E725">
        <v>719</v>
      </c>
      <c r="F725">
        <f t="shared" ca="1" si="44"/>
        <v>-0.79824215245812269</v>
      </c>
      <c r="G725">
        <f t="shared" ca="1" si="45"/>
        <v>87.840419677266595</v>
      </c>
      <c r="H725">
        <f t="shared" ca="1" si="46"/>
        <v>0</v>
      </c>
      <c r="I725">
        <f t="shared" ca="1" si="47"/>
        <v>0</v>
      </c>
    </row>
    <row r="726" spans="5:9" x14ac:dyDescent="0.75">
      <c r="E726">
        <v>720</v>
      </c>
      <c r="F726">
        <f t="shared" ca="1" si="44"/>
        <v>1.067707257262519</v>
      </c>
      <c r="G726">
        <f t="shared" ca="1" si="45"/>
        <v>127.57591988164958</v>
      </c>
      <c r="H726">
        <f t="shared" ca="1" si="46"/>
        <v>27.575919881649583</v>
      </c>
      <c r="I726">
        <f t="shared" ca="1" si="47"/>
        <v>26.231026399099331</v>
      </c>
    </row>
    <row r="727" spans="5:9" x14ac:dyDescent="0.75">
      <c r="E727">
        <v>721</v>
      </c>
      <c r="F727">
        <f t="shared" ca="1" si="44"/>
        <v>0.63917176985568891</v>
      </c>
      <c r="G727">
        <f t="shared" ca="1" si="45"/>
        <v>117.09722117450758</v>
      </c>
      <c r="H727">
        <f t="shared" ca="1" si="46"/>
        <v>17.097221174507581</v>
      </c>
      <c r="I727">
        <f t="shared" ca="1" si="47"/>
        <v>16.263379858388269</v>
      </c>
    </row>
    <row r="728" spans="5:9" x14ac:dyDescent="0.75">
      <c r="E728">
        <v>722</v>
      </c>
      <c r="F728">
        <f t="shared" ca="1" si="44"/>
        <v>1.0180398104552637</v>
      </c>
      <c r="G728">
        <f t="shared" ca="1" si="45"/>
        <v>126.3149192757824</v>
      </c>
      <c r="H728">
        <f t="shared" ca="1" si="46"/>
        <v>26.314919275782401</v>
      </c>
      <c r="I728">
        <f t="shared" ca="1" si="47"/>
        <v>25.031525518485239</v>
      </c>
    </row>
    <row r="729" spans="5:9" x14ac:dyDescent="0.75">
      <c r="E729">
        <v>723</v>
      </c>
      <c r="F729">
        <f t="shared" ca="1" si="44"/>
        <v>2.8964708063487693E-2</v>
      </c>
      <c r="G729">
        <f t="shared" ca="1" si="45"/>
        <v>103.64412204239922</v>
      </c>
      <c r="H729">
        <f t="shared" ca="1" si="46"/>
        <v>3.6441220423992178</v>
      </c>
      <c r="I729">
        <f t="shared" ca="1" si="47"/>
        <v>3.4663961132017747</v>
      </c>
    </row>
    <row r="730" spans="5:9" x14ac:dyDescent="0.75">
      <c r="E730">
        <v>724</v>
      </c>
      <c r="F730">
        <f t="shared" ca="1" si="44"/>
        <v>-7.3466218344601819E-2</v>
      </c>
      <c r="G730">
        <f t="shared" ca="1" si="45"/>
        <v>101.54245047407244</v>
      </c>
      <c r="H730">
        <f t="shared" ca="1" si="46"/>
        <v>1.5424504740724387</v>
      </c>
      <c r="I730">
        <f t="shared" ca="1" si="47"/>
        <v>1.4672242767727794</v>
      </c>
    </row>
    <row r="731" spans="5:9" x14ac:dyDescent="0.75">
      <c r="E731">
        <v>725</v>
      </c>
      <c r="F731">
        <f t="shared" ca="1" si="44"/>
        <v>-1.2083663817278745</v>
      </c>
      <c r="G731">
        <f t="shared" ca="1" si="45"/>
        <v>80.922904865131429</v>
      </c>
      <c r="H731">
        <f t="shared" ca="1" si="46"/>
        <v>0</v>
      </c>
      <c r="I731">
        <f t="shared" ca="1" si="47"/>
        <v>0</v>
      </c>
    </row>
    <row r="732" spans="5:9" x14ac:dyDescent="0.75">
      <c r="E732">
        <v>726</v>
      </c>
      <c r="F732">
        <f t="shared" ca="1" si="44"/>
        <v>-1.5612623607277056E-2</v>
      </c>
      <c r="G732">
        <f t="shared" ca="1" si="45"/>
        <v>102.72419325208892</v>
      </c>
      <c r="H732">
        <f t="shared" ca="1" si="46"/>
        <v>2.7241932520889236</v>
      </c>
      <c r="I732">
        <f t="shared" ca="1" si="47"/>
        <v>2.5913327794132752</v>
      </c>
    </row>
    <row r="733" spans="5:9" x14ac:dyDescent="0.75">
      <c r="E733">
        <v>727</v>
      </c>
      <c r="F733">
        <f t="shared" ca="1" si="44"/>
        <v>-1.0481090077898907</v>
      </c>
      <c r="G733">
        <f t="shared" ca="1" si="45"/>
        <v>83.558616904747183</v>
      </c>
      <c r="H733">
        <f t="shared" ca="1" si="46"/>
        <v>0</v>
      </c>
      <c r="I733">
        <f t="shared" ca="1" si="47"/>
        <v>0</v>
      </c>
    </row>
    <row r="734" spans="5:9" x14ac:dyDescent="0.75">
      <c r="E734">
        <v>728</v>
      </c>
      <c r="F734">
        <f t="shared" ca="1" si="44"/>
        <v>-1.3607838073818299</v>
      </c>
      <c r="G734">
        <f t="shared" ca="1" si="45"/>
        <v>78.493312063195049</v>
      </c>
      <c r="H734">
        <f t="shared" ca="1" si="46"/>
        <v>0</v>
      </c>
      <c r="I734">
        <f t="shared" ca="1" si="47"/>
        <v>0</v>
      </c>
    </row>
    <row r="735" spans="5:9" x14ac:dyDescent="0.75">
      <c r="E735">
        <v>729</v>
      </c>
      <c r="F735">
        <f t="shared" ca="1" si="44"/>
        <v>-2.311849633418479</v>
      </c>
      <c r="G735">
        <f t="shared" ca="1" si="45"/>
        <v>64.896926122870155</v>
      </c>
      <c r="H735">
        <f t="shared" ca="1" si="46"/>
        <v>0</v>
      </c>
      <c r="I735">
        <f t="shared" ca="1" si="47"/>
        <v>0</v>
      </c>
    </row>
    <row r="736" spans="5:9" x14ac:dyDescent="0.75">
      <c r="E736">
        <v>730</v>
      </c>
      <c r="F736">
        <f t="shared" ca="1" si="44"/>
        <v>-1.4081693992006075</v>
      </c>
      <c r="G736">
        <f t="shared" ca="1" si="45"/>
        <v>77.752935513555627</v>
      </c>
      <c r="H736">
        <f t="shared" ca="1" si="46"/>
        <v>0</v>
      </c>
      <c r="I736">
        <f t="shared" ca="1" si="47"/>
        <v>0</v>
      </c>
    </row>
    <row r="737" spans="5:9" x14ac:dyDescent="0.75">
      <c r="E737">
        <v>731</v>
      </c>
      <c r="F737">
        <f t="shared" ca="1" si="44"/>
        <v>-0.95014267136128983</v>
      </c>
      <c r="G737">
        <f t="shared" ca="1" si="45"/>
        <v>85.211947401024048</v>
      </c>
      <c r="H737">
        <f t="shared" ca="1" si="46"/>
        <v>0</v>
      </c>
      <c r="I737">
        <f t="shared" ca="1" si="47"/>
        <v>0</v>
      </c>
    </row>
    <row r="738" spans="5:9" x14ac:dyDescent="0.75">
      <c r="E738">
        <v>732</v>
      </c>
      <c r="F738">
        <f t="shared" ca="1" si="44"/>
        <v>1.1896968000743291</v>
      </c>
      <c r="G738">
        <f t="shared" ca="1" si="45"/>
        <v>130.72678649074453</v>
      </c>
      <c r="H738">
        <f t="shared" ca="1" si="46"/>
        <v>30.72678649074453</v>
      </c>
      <c r="I738">
        <f t="shared" ca="1" si="47"/>
        <v>29.228223430347235</v>
      </c>
    </row>
    <row r="739" spans="5:9" x14ac:dyDescent="0.75">
      <c r="E739">
        <v>733</v>
      </c>
      <c r="F739">
        <f t="shared" ca="1" si="44"/>
        <v>-7.7924407573819424E-2</v>
      </c>
      <c r="G739">
        <f t="shared" ca="1" si="45"/>
        <v>101.45195173431642</v>
      </c>
      <c r="H739">
        <f t="shared" ca="1" si="46"/>
        <v>1.4519517343164239</v>
      </c>
      <c r="I739">
        <f t="shared" ca="1" si="47"/>
        <v>1.3811392126366255</v>
      </c>
    </row>
    <row r="740" spans="5:9" x14ac:dyDescent="0.75">
      <c r="E740">
        <v>734</v>
      </c>
      <c r="F740">
        <f t="shared" ca="1" si="44"/>
        <v>-0.17554511662987585</v>
      </c>
      <c r="G740">
        <f t="shared" ca="1" si="45"/>
        <v>99.490400553600082</v>
      </c>
      <c r="H740">
        <f t="shared" ca="1" si="46"/>
        <v>0</v>
      </c>
      <c r="I740">
        <f t="shared" ca="1" si="47"/>
        <v>0</v>
      </c>
    </row>
    <row r="741" spans="5:9" x14ac:dyDescent="0.75">
      <c r="E741">
        <v>735</v>
      </c>
      <c r="F741">
        <f t="shared" ca="1" si="44"/>
        <v>-0.1420148933620522</v>
      </c>
      <c r="G741">
        <f t="shared" ca="1" si="45"/>
        <v>100.15982972452821</v>
      </c>
      <c r="H741">
        <f t="shared" ca="1" si="46"/>
        <v>0.15982972452820832</v>
      </c>
      <c r="I741">
        <f t="shared" ca="1" si="47"/>
        <v>0.15203473688107524</v>
      </c>
    </row>
    <row r="742" spans="5:9" x14ac:dyDescent="0.75">
      <c r="E742">
        <v>736</v>
      </c>
      <c r="F742">
        <f t="shared" ca="1" si="44"/>
        <v>-0.91956957688988739</v>
      </c>
      <c r="G742">
        <f t="shared" ca="1" si="45"/>
        <v>85.734582212588165</v>
      </c>
      <c r="H742">
        <f t="shared" ca="1" si="46"/>
        <v>0</v>
      </c>
      <c r="I742">
        <f t="shared" ca="1" si="47"/>
        <v>0</v>
      </c>
    </row>
    <row r="743" spans="5:9" x14ac:dyDescent="0.75">
      <c r="E743">
        <v>737</v>
      </c>
      <c r="F743">
        <f t="shared" ca="1" si="44"/>
        <v>2.5104623440782694</v>
      </c>
      <c r="G743">
        <f t="shared" ca="1" si="45"/>
        <v>170.2490993414269</v>
      </c>
      <c r="H743">
        <f t="shared" ca="1" si="46"/>
        <v>70.249099341426898</v>
      </c>
      <c r="I743">
        <f t="shared" ca="1" si="47"/>
        <v>66.823010338239001</v>
      </c>
    </row>
    <row r="744" spans="5:9" x14ac:dyDescent="0.75">
      <c r="E744">
        <v>738</v>
      </c>
      <c r="F744">
        <f t="shared" ca="1" si="44"/>
        <v>-0.11932945286878252</v>
      </c>
      <c r="G744">
        <f t="shared" ca="1" si="45"/>
        <v>100.61529616028623</v>
      </c>
      <c r="H744">
        <f t="shared" ca="1" si="46"/>
        <v>0.61529616028623479</v>
      </c>
      <c r="I744">
        <f t="shared" ca="1" si="47"/>
        <v>0.58528781244657424</v>
      </c>
    </row>
    <row r="745" spans="5:9" x14ac:dyDescent="0.75">
      <c r="E745">
        <v>739</v>
      </c>
      <c r="F745">
        <f t="shared" ca="1" si="44"/>
        <v>-0.21263293131463271</v>
      </c>
      <c r="G745">
        <f t="shared" ca="1" si="45"/>
        <v>98.755154483983858</v>
      </c>
      <c r="H745">
        <f t="shared" ca="1" si="46"/>
        <v>0</v>
      </c>
      <c r="I745">
        <f t="shared" ca="1" si="47"/>
        <v>0</v>
      </c>
    </row>
    <row r="746" spans="5:9" x14ac:dyDescent="0.75">
      <c r="E746">
        <v>740</v>
      </c>
      <c r="F746">
        <f t="shared" ca="1" si="44"/>
        <v>-2.504459053113978E-2</v>
      </c>
      <c r="G746">
        <f t="shared" ca="1" si="45"/>
        <v>102.53059766960398</v>
      </c>
      <c r="H746">
        <f t="shared" ca="1" si="46"/>
        <v>2.5305976696039778</v>
      </c>
      <c r="I746">
        <f t="shared" ca="1" si="47"/>
        <v>2.4071789649002397</v>
      </c>
    </row>
    <row r="747" spans="5:9" x14ac:dyDescent="0.75">
      <c r="E747">
        <v>741</v>
      </c>
      <c r="F747">
        <f t="shared" ca="1" si="44"/>
        <v>0.83781508603344634</v>
      </c>
      <c r="G747">
        <f t="shared" ca="1" si="45"/>
        <v>121.84298445957484</v>
      </c>
      <c r="H747">
        <f t="shared" ca="1" si="46"/>
        <v>21.842984459574836</v>
      </c>
      <c r="I747">
        <f t="shared" ca="1" si="47"/>
        <v>20.777689536859413</v>
      </c>
    </row>
    <row r="748" spans="5:9" x14ac:dyDescent="0.75">
      <c r="E748">
        <v>742</v>
      </c>
      <c r="F748">
        <f t="shared" ca="1" si="44"/>
        <v>-1.2660413318300925</v>
      </c>
      <c r="G748">
        <f t="shared" ca="1" si="45"/>
        <v>79.994822963373196</v>
      </c>
      <c r="H748">
        <f t="shared" ca="1" si="46"/>
        <v>0</v>
      </c>
      <c r="I748">
        <f t="shared" ca="1" si="47"/>
        <v>0</v>
      </c>
    </row>
    <row r="749" spans="5:9" x14ac:dyDescent="0.75">
      <c r="E749">
        <v>743</v>
      </c>
      <c r="F749">
        <f t="shared" ca="1" si="44"/>
        <v>0.37160661688562513</v>
      </c>
      <c r="G749">
        <f t="shared" ca="1" si="45"/>
        <v>110.99570527695606</v>
      </c>
      <c r="H749">
        <f t="shared" ca="1" si="46"/>
        <v>10.995705276956059</v>
      </c>
      <c r="I749">
        <f t="shared" ca="1" si="47"/>
        <v>10.459438402578376</v>
      </c>
    </row>
    <row r="750" spans="5:9" x14ac:dyDescent="0.75">
      <c r="E750">
        <v>744</v>
      </c>
      <c r="F750">
        <f t="shared" ca="1" si="44"/>
        <v>-1.6126156801155829</v>
      </c>
      <c r="G750">
        <f t="shared" ca="1" si="45"/>
        <v>74.637797661800036</v>
      </c>
      <c r="H750">
        <f t="shared" ca="1" si="46"/>
        <v>0</v>
      </c>
      <c r="I750">
        <f t="shared" ca="1" si="47"/>
        <v>0</v>
      </c>
    </row>
    <row r="751" spans="5:9" x14ac:dyDescent="0.75">
      <c r="E751">
        <v>745</v>
      </c>
      <c r="F751">
        <f t="shared" ca="1" si="44"/>
        <v>-0.80151454457579241</v>
      </c>
      <c r="G751">
        <f t="shared" ca="1" si="45"/>
        <v>87.782948826640933</v>
      </c>
      <c r="H751">
        <f t="shared" ca="1" si="46"/>
        <v>0</v>
      </c>
      <c r="I751">
        <f t="shared" ca="1" si="47"/>
        <v>0</v>
      </c>
    </row>
    <row r="752" spans="5:9" x14ac:dyDescent="0.75">
      <c r="E752">
        <v>746</v>
      </c>
      <c r="F752">
        <f t="shared" ca="1" si="44"/>
        <v>0.29724266017516804</v>
      </c>
      <c r="G752">
        <f t="shared" ca="1" si="45"/>
        <v>109.35710479875316</v>
      </c>
      <c r="H752">
        <f t="shared" ca="1" si="46"/>
        <v>9.3571047987531557</v>
      </c>
      <c r="I752">
        <f t="shared" ca="1" si="47"/>
        <v>8.9007534127108343</v>
      </c>
    </row>
    <row r="753" spans="5:9" x14ac:dyDescent="0.75">
      <c r="E753">
        <v>747</v>
      </c>
      <c r="F753">
        <f t="shared" ca="1" si="44"/>
        <v>2.2481159968829711</v>
      </c>
      <c r="G753">
        <f t="shared" ca="1" si="45"/>
        <v>161.54655790603482</v>
      </c>
      <c r="H753">
        <f t="shared" ca="1" si="46"/>
        <v>61.54655790603482</v>
      </c>
      <c r="I753">
        <f t="shared" ca="1" si="47"/>
        <v>58.544896856957372</v>
      </c>
    </row>
    <row r="754" spans="5:9" x14ac:dyDescent="0.75">
      <c r="E754">
        <v>748</v>
      </c>
      <c r="F754">
        <f t="shared" ca="1" si="44"/>
        <v>-0.42923325590327188</v>
      </c>
      <c r="G754">
        <f t="shared" ca="1" si="45"/>
        <v>94.568414431868163</v>
      </c>
      <c r="H754">
        <f t="shared" ca="1" si="46"/>
        <v>0</v>
      </c>
      <c r="I754">
        <f t="shared" ca="1" si="47"/>
        <v>0</v>
      </c>
    </row>
    <row r="755" spans="5:9" x14ac:dyDescent="0.75">
      <c r="E755">
        <v>749</v>
      </c>
      <c r="F755">
        <f t="shared" ca="1" si="44"/>
        <v>1.8189213772163746</v>
      </c>
      <c r="G755">
        <f t="shared" ca="1" si="45"/>
        <v>148.25806851136758</v>
      </c>
      <c r="H755">
        <f t="shared" ca="1" si="46"/>
        <v>48.258068511367583</v>
      </c>
      <c r="I755">
        <f t="shared" ca="1" si="47"/>
        <v>45.904494737584216</v>
      </c>
    </row>
    <row r="756" spans="5:9" x14ac:dyDescent="0.75">
      <c r="E756">
        <v>750</v>
      </c>
      <c r="F756">
        <f t="shared" ca="1" si="44"/>
        <v>-1.0765908537338311</v>
      </c>
      <c r="G756">
        <f t="shared" ca="1" si="45"/>
        <v>83.083989284446432</v>
      </c>
      <c r="H756">
        <f t="shared" ca="1" si="46"/>
        <v>0</v>
      </c>
      <c r="I756">
        <f t="shared" ca="1" si="47"/>
        <v>0</v>
      </c>
    </row>
    <row r="757" spans="5:9" x14ac:dyDescent="0.75">
      <c r="E757">
        <v>751</v>
      </c>
      <c r="F757">
        <f t="shared" ca="1" si="44"/>
        <v>-0.92409422235507743</v>
      </c>
      <c r="G757">
        <f t="shared" ca="1" si="45"/>
        <v>85.657033588159749</v>
      </c>
      <c r="H757">
        <f t="shared" ca="1" si="46"/>
        <v>0</v>
      </c>
      <c r="I757">
        <f t="shared" ca="1" si="47"/>
        <v>0</v>
      </c>
    </row>
    <row r="758" spans="5:9" x14ac:dyDescent="0.75">
      <c r="E758">
        <v>752</v>
      </c>
      <c r="F758">
        <f t="shared" ca="1" si="44"/>
        <v>0.82577059176472223</v>
      </c>
      <c r="G758">
        <f t="shared" ca="1" si="45"/>
        <v>121.54983026513422</v>
      </c>
      <c r="H758">
        <f t="shared" ca="1" si="46"/>
        <v>21.549830265134219</v>
      </c>
      <c r="I758">
        <f t="shared" ca="1" si="47"/>
        <v>20.498832641191694</v>
      </c>
    </row>
    <row r="759" spans="5:9" x14ac:dyDescent="0.75">
      <c r="E759">
        <v>753</v>
      </c>
      <c r="F759">
        <f t="shared" ca="1" si="44"/>
        <v>-5.9726880132577514E-2</v>
      </c>
      <c r="G759">
        <f t="shared" ca="1" si="45"/>
        <v>101.8218594016233</v>
      </c>
      <c r="H759">
        <f t="shared" ca="1" si="46"/>
        <v>1.8218594016232998</v>
      </c>
      <c r="I759">
        <f t="shared" ca="1" si="47"/>
        <v>1.7330062701273468</v>
      </c>
    </row>
    <row r="760" spans="5:9" x14ac:dyDescent="0.75">
      <c r="E760">
        <v>754</v>
      </c>
      <c r="F760">
        <f t="shared" ca="1" si="44"/>
        <v>1.6797582545559402</v>
      </c>
      <c r="G760">
        <f t="shared" ca="1" si="45"/>
        <v>144.1885527117781</v>
      </c>
      <c r="H760">
        <f t="shared" ca="1" si="46"/>
        <v>44.188552711778101</v>
      </c>
      <c r="I760">
        <f t="shared" ca="1" si="47"/>
        <v>42.033451565544148</v>
      </c>
    </row>
    <row r="761" spans="5:9" x14ac:dyDescent="0.75">
      <c r="E761">
        <v>755</v>
      </c>
      <c r="F761">
        <f t="shared" ca="1" si="44"/>
        <v>-2.301006121215504</v>
      </c>
      <c r="G761">
        <f t="shared" ca="1" si="45"/>
        <v>65.037820969216298</v>
      </c>
      <c r="H761">
        <f t="shared" ca="1" si="46"/>
        <v>0</v>
      </c>
      <c r="I761">
        <f t="shared" ca="1" si="47"/>
        <v>0</v>
      </c>
    </row>
    <row r="762" spans="5:9" x14ac:dyDescent="0.75">
      <c r="E762">
        <v>756</v>
      </c>
      <c r="F762">
        <f t="shared" ca="1" si="44"/>
        <v>-1.1266156706325416</v>
      </c>
      <c r="G762">
        <f t="shared" ca="1" si="45"/>
        <v>82.256881505131346</v>
      </c>
      <c r="H762">
        <f t="shared" ca="1" si="46"/>
        <v>0</v>
      </c>
      <c r="I762">
        <f t="shared" ca="1" si="47"/>
        <v>0</v>
      </c>
    </row>
    <row r="763" spans="5:9" x14ac:dyDescent="0.75">
      <c r="E763">
        <v>757</v>
      </c>
      <c r="F763">
        <f t="shared" ca="1" si="44"/>
        <v>0.4428865447600801</v>
      </c>
      <c r="G763">
        <f t="shared" ca="1" si="45"/>
        <v>112.58939124159717</v>
      </c>
      <c r="H763">
        <f t="shared" ca="1" si="46"/>
        <v>12.58939124159717</v>
      </c>
      <c r="I763">
        <f t="shared" ca="1" si="47"/>
        <v>11.975399385558806</v>
      </c>
    </row>
    <row r="764" spans="5:9" x14ac:dyDescent="0.75">
      <c r="E764">
        <v>758</v>
      </c>
      <c r="F764">
        <f t="shared" ca="1" si="44"/>
        <v>1.6882196702205912</v>
      </c>
      <c r="G764">
        <f t="shared" ca="1" si="45"/>
        <v>144.43276714919827</v>
      </c>
      <c r="H764">
        <f t="shared" ca="1" si="46"/>
        <v>44.43276714919827</v>
      </c>
      <c r="I764">
        <f t="shared" ca="1" si="47"/>
        <v>42.265755524306101</v>
      </c>
    </row>
    <row r="765" spans="5:9" x14ac:dyDescent="0.75">
      <c r="E765">
        <v>759</v>
      </c>
      <c r="F765">
        <f t="shared" ca="1" si="44"/>
        <v>-0.46461996446619269</v>
      </c>
      <c r="G765">
        <f t="shared" ca="1" si="45"/>
        <v>93.901484277822561</v>
      </c>
      <c r="H765">
        <f t="shared" ca="1" si="46"/>
        <v>0</v>
      </c>
      <c r="I765">
        <f t="shared" ca="1" si="47"/>
        <v>0</v>
      </c>
    </row>
    <row r="766" spans="5:9" x14ac:dyDescent="0.75">
      <c r="E766">
        <v>760</v>
      </c>
      <c r="F766">
        <f t="shared" ca="1" si="44"/>
        <v>0.2797113780192495</v>
      </c>
      <c r="G766">
        <f t="shared" ca="1" si="45"/>
        <v>108.97434217085468</v>
      </c>
      <c r="H766">
        <f t="shared" ca="1" si="46"/>
        <v>8.9743421708546833</v>
      </c>
      <c r="I766">
        <f t="shared" ca="1" si="47"/>
        <v>8.5366583384545898</v>
      </c>
    </row>
    <row r="767" spans="5:9" x14ac:dyDescent="0.75">
      <c r="E767">
        <v>761</v>
      </c>
      <c r="F767">
        <f t="shared" ca="1" si="44"/>
        <v>2.821240462040675E-2</v>
      </c>
      <c r="G767">
        <f t="shared" ca="1" si="45"/>
        <v>103.62852884953637</v>
      </c>
      <c r="H767">
        <f t="shared" ca="1" si="46"/>
        <v>3.6285288495363659</v>
      </c>
      <c r="I767">
        <f t="shared" ca="1" si="47"/>
        <v>3.4515634093287151</v>
      </c>
    </row>
    <row r="768" spans="5:9" x14ac:dyDescent="0.75">
      <c r="E768">
        <v>762</v>
      </c>
      <c r="F768">
        <f t="shared" ca="1" si="44"/>
        <v>1.3985998134594992</v>
      </c>
      <c r="G768">
        <f t="shared" ca="1" si="45"/>
        <v>136.30433576889382</v>
      </c>
      <c r="H768">
        <f t="shared" ca="1" si="46"/>
        <v>36.304335768893822</v>
      </c>
      <c r="I768">
        <f t="shared" ca="1" si="47"/>
        <v>34.533752420325555</v>
      </c>
    </row>
    <row r="769" spans="5:9" x14ac:dyDescent="0.75">
      <c r="E769">
        <v>763</v>
      </c>
      <c r="F769">
        <f t="shared" ca="1" si="44"/>
        <v>-2.1956670634327247</v>
      </c>
      <c r="G769">
        <f t="shared" ca="1" si="45"/>
        <v>66.422561028755595</v>
      </c>
      <c r="H769">
        <f t="shared" ca="1" si="46"/>
        <v>0</v>
      </c>
      <c r="I769">
        <f t="shared" ca="1" si="47"/>
        <v>0</v>
      </c>
    </row>
    <row r="770" spans="5:9" x14ac:dyDescent="0.75">
      <c r="E770">
        <v>764</v>
      </c>
      <c r="F770">
        <f t="shared" ca="1" si="44"/>
        <v>-1.743268889824461</v>
      </c>
      <c r="G770">
        <f t="shared" ca="1" si="45"/>
        <v>72.712725320849344</v>
      </c>
      <c r="H770">
        <f t="shared" ca="1" si="46"/>
        <v>0</v>
      </c>
      <c r="I770">
        <f t="shared" ca="1" si="47"/>
        <v>0</v>
      </c>
    </row>
    <row r="771" spans="5:9" x14ac:dyDescent="0.75">
      <c r="E771">
        <v>765</v>
      </c>
      <c r="F771">
        <f t="shared" ca="1" si="44"/>
        <v>1.3207067589552812</v>
      </c>
      <c r="G771">
        <f t="shared" ca="1" si="45"/>
        <v>134.19735806302387</v>
      </c>
      <c r="H771">
        <f t="shared" ca="1" si="46"/>
        <v>34.19735806302387</v>
      </c>
      <c r="I771">
        <f t="shared" ca="1" si="47"/>
        <v>32.529533229735051</v>
      </c>
    </row>
    <row r="772" spans="5:9" x14ac:dyDescent="0.75">
      <c r="E772">
        <v>766</v>
      </c>
      <c r="F772">
        <f t="shared" ca="1" si="44"/>
        <v>-1.6120202783079569</v>
      </c>
      <c r="G772">
        <f t="shared" ca="1" si="45"/>
        <v>74.646686086936981</v>
      </c>
      <c r="H772">
        <f t="shared" ca="1" si="46"/>
        <v>0</v>
      </c>
      <c r="I772">
        <f t="shared" ca="1" si="47"/>
        <v>0</v>
      </c>
    </row>
    <row r="773" spans="5:9" x14ac:dyDescent="0.75">
      <c r="E773">
        <v>767</v>
      </c>
      <c r="F773">
        <f t="shared" ca="1" si="44"/>
        <v>0.89912525685942557</v>
      </c>
      <c r="G773">
        <f t="shared" ca="1" si="45"/>
        <v>123.34622485511235</v>
      </c>
      <c r="H773">
        <f t="shared" ca="1" si="46"/>
        <v>23.346224855112354</v>
      </c>
      <c r="I773">
        <f t="shared" ca="1" si="47"/>
        <v>22.207616033192789</v>
      </c>
    </row>
    <row r="774" spans="5:9" x14ac:dyDescent="0.75">
      <c r="E774">
        <v>768</v>
      </c>
      <c r="F774">
        <f t="shared" ca="1" si="44"/>
        <v>-1.268214102842782</v>
      </c>
      <c r="G774">
        <f t="shared" ca="1" si="45"/>
        <v>79.960068428784638</v>
      </c>
      <c r="H774">
        <f t="shared" ca="1" si="46"/>
        <v>0</v>
      </c>
      <c r="I774">
        <f t="shared" ca="1" si="47"/>
        <v>0</v>
      </c>
    </row>
    <row r="775" spans="5:9" x14ac:dyDescent="0.75">
      <c r="E775">
        <v>769</v>
      </c>
      <c r="F775">
        <f t="shared" ca="1" si="44"/>
        <v>0.7686249779203117</v>
      </c>
      <c r="G775">
        <f t="shared" ca="1" si="45"/>
        <v>120.16853088854398</v>
      </c>
      <c r="H775">
        <f t="shared" ca="1" si="46"/>
        <v>20.168530888543984</v>
      </c>
      <c r="I775">
        <f t="shared" ca="1" si="47"/>
        <v>19.184900030134568</v>
      </c>
    </row>
    <row r="776" spans="5:9" x14ac:dyDescent="0.75">
      <c r="E776">
        <v>770</v>
      </c>
      <c r="F776">
        <f t="shared" ref="F776:F839" ca="1" si="48">NORMINV(RAND(), 0,1)</f>
        <v>0.10068766559694679</v>
      </c>
      <c r="G776">
        <f t="shared" ref="G776:G839" ca="1" si="49">$C$5*EXP(($C$6-0.5*$C$7^2)*$C$8+$C$7*SQRT($C$8)*F776)</f>
        <v>105.14156909122734</v>
      </c>
      <c r="H776">
        <f t="shared" ref="H776:H839" ca="1" si="50">MAX(G776-$C$9,0)</f>
        <v>5.1415690912273391</v>
      </c>
      <c r="I776">
        <f t="shared" ref="I776:I839" ca="1" si="51">EXP(-$C$6*$C$8)*H776</f>
        <v>4.8908118076788405</v>
      </c>
    </row>
    <row r="777" spans="5:9" x14ac:dyDescent="0.75">
      <c r="E777">
        <v>771</v>
      </c>
      <c r="F777">
        <f t="shared" ca="1" si="48"/>
        <v>-1.0062164989488076</v>
      </c>
      <c r="G777">
        <f t="shared" ca="1" si="49"/>
        <v>84.261654010328684</v>
      </c>
      <c r="H777">
        <f t="shared" ca="1" si="50"/>
        <v>0</v>
      </c>
      <c r="I777">
        <f t="shared" ca="1" si="51"/>
        <v>0</v>
      </c>
    </row>
    <row r="778" spans="5:9" x14ac:dyDescent="0.75">
      <c r="E778">
        <v>772</v>
      </c>
      <c r="F778">
        <f t="shared" ca="1" si="48"/>
        <v>0.55528466321874748</v>
      </c>
      <c r="G778">
        <f t="shared" ca="1" si="49"/>
        <v>115.14902035001388</v>
      </c>
      <c r="H778">
        <f t="shared" ca="1" si="50"/>
        <v>15.149020350013885</v>
      </c>
      <c r="I778">
        <f t="shared" ca="1" si="51"/>
        <v>14.410193909293312</v>
      </c>
    </row>
    <row r="779" spans="5:9" x14ac:dyDescent="0.75">
      <c r="E779">
        <v>773</v>
      </c>
      <c r="F779">
        <f t="shared" ca="1" si="48"/>
        <v>0.66548895574153</v>
      </c>
      <c r="G779">
        <f t="shared" ca="1" si="49"/>
        <v>117.71517990861983</v>
      </c>
      <c r="H779">
        <f t="shared" ca="1" si="50"/>
        <v>17.715179908619831</v>
      </c>
      <c r="I779">
        <f t="shared" ca="1" si="51"/>
        <v>16.851200389403054</v>
      </c>
    </row>
    <row r="780" spans="5:9" x14ac:dyDescent="0.75">
      <c r="E780">
        <v>774</v>
      </c>
      <c r="F780">
        <f t="shared" ca="1" si="48"/>
        <v>8.2036310929317457E-2</v>
      </c>
      <c r="G780">
        <f t="shared" ca="1" si="49"/>
        <v>104.7500931617278</v>
      </c>
      <c r="H780">
        <f t="shared" ca="1" si="50"/>
        <v>4.7500931617278042</v>
      </c>
      <c r="I780">
        <f t="shared" ca="1" si="51"/>
        <v>4.5184283845551159</v>
      </c>
    </row>
    <row r="781" spans="5:9" x14ac:dyDescent="0.75">
      <c r="E781">
        <v>775</v>
      </c>
      <c r="F781">
        <f t="shared" ca="1" si="48"/>
        <v>1.0096008139900992</v>
      </c>
      <c r="G781">
        <f t="shared" ca="1" si="49"/>
        <v>126.1019048576886</v>
      </c>
      <c r="H781">
        <f t="shared" ca="1" si="50"/>
        <v>26.101904857688595</v>
      </c>
      <c r="I781">
        <f t="shared" ca="1" si="51"/>
        <v>24.828899936151515</v>
      </c>
    </row>
    <row r="782" spans="5:9" x14ac:dyDescent="0.75">
      <c r="E782">
        <v>776</v>
      </c>
      <c r="F782">
        <f t="shared" ca="1" si="48"/>
        <v>-0.77347608344902885</v>
      </c>
      <c r="G782">
        <f t="shared" ca="1" si="49"/>
        <v>88.276591390479922</v>
      </c>
      <c r="H782">
        <f t="shared" ca="1" si="50"/>
        <v>0</v>
      </c>
      <c r="I782">
        <f t="shared" ca="1" si="51"/>
        <v>0</v>
      </c>
    </row>
    <row r="783" spans="5:9" x14ac:dyDescent="0.75">
      <c r="E783">
        <v>777</v>
      </c>
      <c r="F783">
        <f t="shared" ca="1" si="48"/>
        <v>-1.0158057249874259</v>
      </c>
      <c r="G783">
        <f t="shared" ca="1" si="49"/>
        <v>84.100208064641663</v>
      </c>
      <c r="H783">
        <f t="shared" ca="1" si="50"/>
        <v>0</v>
      </c>
      <c r="I783">
        <f t="shared" ca="1" si="51"/>
        <v>0</v>
      </c>
    </row>
    <row r="784" spans="5:9" x14ac:dyDescent="0.75">
      <c r="E784">
        <v>778</v>
      </c>
      <c r="F784">
        <f t="shared" ca="1" si="48"/>
        <v>-0.78323337730813825</v>
      </c>
      <c r="G784">
        <f t="shared" ca="1" si="49"/>
        <v>88.104491239654763</v>
      </c>
      <c r="H784">
        <f t="shared" ca="1" si="50"/>
        <v>0</v>
      </c>
      <c r="I784">
        <f t="shared" ca="1" si="51"/>
        <v>0</v>
      </c>
    </row>
    <row r="785" spans="5:9" x14ac:dyDescent="0.75">
      <c r="E785">
        <v>779</v>
      </c>
      <c r="F785">
        <f t="shared" ca="1" si="48"/>
        <v>-1.1710897169382466</v>
      </c>
      <c r="G785">
        <f t="shared" ca="1" si="49"/>
        <v>81.528466592116274</v>
      </c>
      <c r="H785">
        <f t="shared" ca="1" si="50"/>
        <v>0</v>
      </c>
      <c r="I785">
        <f t="shared" ca="1" si="51"/>
        <v>0</v>
      </c>
    </row>
    <row r="786" spans="5:9" x14ac:dyDescent="0.75">
      <c r="E786">
        <v>780</v>
      </c>
      <c r="F786">
        <f t="shared" ca="1" si="48"/>
        <v>-0.28972225027268145</v>
      </c>
      <c r="G786">
        <f t="shared" ca="1" si="49"/>
        <v>97.244238442231634</v>
      </c>
      <c r="H786">
        <f t="shared" ca="1" si="50"/>
        <v>0</v>
      </c>
      <c r="I786">
        <f t="shared" ca="1" si="51"/>
        <v>0</v>
      </c>
    </row>
    <row r="787" spans="5:9" x14ac:dyDescent="0.75">
      <c r="E787">
        <v>781</v>
      </c>
      <c r="F787">
        <f t="shared" ca="1" si="48"/>
        <v>0.6448783877094002</v>
      </c>
      <c r="G787">
        <f t="shared" ca="1" si="49"/>
        <v>117.23094328868713</v>
      </c>
      <c r="H787">
        <f t="shared" ca="1" si="50"/>
        <v>17.230943288687129</v>
      </c>
      <c r="I787">
        <f t="shared" ca="1" si="51"/>
        <v>16.390580268102298</v>
      </c>
    </row>
    <row r="788" spans="5:9" x14ac:dyDescent="0.75">
      <c r="E788">
        <v>782</v>
      </c>
      <c r="F788">
        <f t="shared" ca="1" si="48"/>
        <v>-0.50921614915086744</v>
      </c>
      <c r="G788">
        <f t="shared" ca="1" si="49"/>
        <v>93.067678673314433</v>
      </c>
      <c r="H788">
        <f t="shared" ca="1" si="50"/>
        <v>0</v>
      </c>
      <c r="I788">
        <f t="shared" ca="1" si="51"/>
        <v>0</v>
      </c>
    </row>
    <row r="789" spans="5:9" x14ac:dyDescent="0.75">
      <c r="E789">
        <v>783</v>
      </c>
      <c r="F789">
        <f t="shared" ca="1" si="48"/>
        <v>0.35865493642463264</v>
      </c>
      <c r="G789">
        <f t="shared" ca="1" si="49"/>
        <v>110.7085611559459</v>
      </c>
      <c r="H789">
        <f t="shared" ca="1" si="50"/>
        <v>10.708561155945901</v>
      </c>
      <c r="I789">
        <f t="shared" ca="1" si="51"/>
        <v>10.186298465601121</v>
      </c>
    </row>
    <row r="790" spans="5:9" x14ac:dyDescent="0.75">
      <c r="E790">
        <v>784</v>
      </c>
      <c r="F790">
        <f t="shared" ca="1" si="48"/>
        <v>-1.0110477056907936</v>
      </c>
      <c r="G790">
        <f t="shared" ca="1" si="49"/>
        <v>84.180276237755265</v>
      </c>
      <c r="H790">
        <f t="shared" ca="1" si="50"/>
        <v>0</v>
      </c>
      <c r="I790">
        <f t="shared" ca="1" si="51"/>
        <v>0</v>
      </c>
    </row>
    <row r="791" spans="5:9" x14ac:dyDescent="0.75">
      <c r="E791">
        <v>785</v>
      </c>
      <c r="F791">
        <f t="shared" ca="1" si="48"/>
        <v>-0.97219192222715411</v>
      </c>
      <c r="G791">
        <f t="shared" ca="1" si="49"/>
        <v>84.837002812372674</v>
      </c>
      <c r="H791">
        <f t="shared" ca="1" si="50"/>
        <v>0</v>
      </c>
      <c r="I791">
        <f t="shared" ca="1" si="51"/>
        <v>0</v>
      </c>
    </row>
    <row r="792" spans="5:9" x14ac:dyDescent="0.75">
      <c r="E792">
        <v>786</v>
      </c>
      <c r="F792">
        <f t="shared" ca="1" si="48"/>
        <v>-1.7664840812504314</v>
      </c>
      <c r="G792">
        <f t="shared" ca="1" si="49"/>
        <v>72.375899905115332</v>
      </c>
      <c r="H792">
        <f t="shared" ca="1" si="50"/>
        <v>0</v>
      </c>
      <c r="I792">
        <f t="shared" ca="1" si="51"/>
        <v>0</v>
      </c>
    </row>
    <row r="793" spans="5:9" x14ac:dyDescent="0.75">
      <c r="E793">
        <v>787</v>
      </c>
      <c r="F793">
        <f t="shared" ca="1" si="48"/>
        <v>-0.83841174925682382</v>
      </c>
      <c r="G793">
        <f t="shared" ca="1" si="49"/>
        <v>87.137544032699438</v>
      </c>
      <c r="H793">
        <f t="shared" ca="1" si="50"/>
        <v>0</v>
      </c>
      <c r="I793">
        <f t="shared" ca="1" si="51"/>
        <v>0</v>
      </c>
    </row>
    <row r="794" spans="5:9" x14ac:dyDescent="0.75">
      <c r="E794">
        <v>788</v>
      </c>
      <c r="F794">
        <f t="shared" ca="1" si="48"/>
        <v>-0.5838122326594275</v>
      </c>
      <c r="G794">
        <f t="shared" ca="1" si="49"/>
        <v>91.689488132320989</v>
      </c>
      <c r="H794">
        <f t="shared" ca="1" si="50"/>
        <v>0</v>
      </c>
      <c r="I794">
        <f t="shared" ca="1" si="51"/>
        <v>0</v>
      </c>
    </row>
    <row r="795" spans="5:9" x14ac:dyDescent="0.75">
      <c r="E795">
        <v>789</v>
      </c>
      <c r="F795">
        <f t="shared" ca="1" si="48"/>
        <v>-0.249111390041834</v>
      </c>
      <c r="G795">
        <f t="shared" ca="1" si="49"/>
        <v>98.037289164792824</v>
      </c>
      <c r="H795">
        <f t="shared" ca="1" si="50"/>
        <v>0</v>
      </c>
      <c r="I795">
        <f t="shared" ca="1" si="51"/>
        <v>0</v>
      </c>
    </row>
    <row r="796" spans="5:9" x14ac:dyDescent="0.75">
      <c r="E796">
        <v>790</v>
      </c>
      <c r="F796">
        <f t="shared" ca="1" si="48"/>
        <v>0.51051074224255466</v>
      </c>
      <c r="G796">
        <f t="shared" ca="1" si="49"/>
        <v>114.12248876651702</v>
      </c>
      <c r="H796">
        <f t="shared" ca="1" si="50"/>
        <v>14.122488766517023</v>
      </c>
      <c r="I796">
        <f t="shared" ca="1" si="51"/>
        <v>13.433726861891786</v>
      </c>
    </row>
    <row r="797" spans="5:9" x14ac:dyDescent="0.75">
      <c r="E797">
        <v>791</v>
      </c>
      <c r="F797">
        <f t="shared" ca="1" si="48"/>
        <v>1.1523159682222119</v>
      </c>
      <c r="G797">
        <f t="shared" ca="1" si="49"/>
        <v>129.75309555877914</v>
      </c>
      <c r="H797">
        <f t="shared" ca="1" si="50"/>
        <v>29.753095558779137</v>
      </c>
      <c r="I797">
        <f t="shared" ca="1" si="51"/>
        <v>28.302019965492228</v>
      </c>
    </row>
    <row r="798" spans="5:9" x14ac:dyDescent="0.75">
      <c r="E798">
        <v>792</v>
      </c>
      <c r="F798">
        <f t="shared" ca="1" si="48"/>
        <v>0.87462233918113941</v>
      </c>
      <c r="G798">
        <f t="shared" ca="1" si="49"/>
        <v>122.74323508404296</v>
      </c>
      <c r="H798">
        <f t="shared" ca="1" si="50"/>
        <v>22.743235084042965</v>
      </c>
      <c r="I798">
        <f t="shared" ca="1" si="51"/>
        <v>21.634034420278638</v>
      </c>
    </row>
    <row r="799" spans="5:9" x14ac:dyDescent="0.75">
      <c r="E799">
        <v>793</v>
      </c>
      <c r="F799">
        <f t="shared" ca="1" si="48"/>
        <v>-0.44209093317012538</v>
      </c>
      <c r="G799">
        <f t="shared" ca="1" si="49"/>
        <v>94.325540814286128</v>
      </c>
      <c r="H799">
        <f t="shared" ca="1" si="50"/>
        <v>0</v>
      </c>
      <c r="I799">
        <f t="shared" ca="1" si="51"/>
        <v>0</v>
      </c>
    </row>
    <row r="800" spans="5:9" x14ac:dyDescent="0.75">
      <c r="E800">
        <v>794</v>
      </c>
      <c r="F800">
        <f t="shared" ca="1" si="48"/>
        <v>1.6528749209043507</v>
      </c>
      <c r="G800">
        <f t="shared" ca="1" si="49"/>
        <v>143.41537932793375</v>
      </c>
      <c r="H800">
        <f t="shared" ca="1" si="50"/>
        <v>43.415379327933749</v>
      </c>
      <c r="I800">
        <f t="shared" ca="1" si="51"/>
        <v>41.297986292590615</v>
      </c>
    </row>
    <row r="801" spans="5:9" x14ac:dyDescent="0.75">
      <c r="E801">
        <v>795</v>
      </c>
      <c r="F801">
        <f t="shared" ca="1" si="48"/>
        <v>0.33248447731095915</v>
      </c>
      <c r="G801">
        <f t="shared" ca="1" si="49"/>
        <v>110.13061620918683</v>
      </c>
      <c r="H801">
        <f t="shared" ca="1" si="50"/>
        <v>10.130616209186826</v>
      </c>
      <c r="I801">
        <f t="shared" ca="1" si="51"/>
        <v>9.6365402265023903</v>
      </c>
    </row>
    <row r="802" spans="5:9" x14ac:dyDescent="0.75">
      <c r="E802">
        <v>796</v>
      </c>
      <c r="F802">
        <f t="shared" ca="1" si="48"/>
        <v>0.38729391653996093</v>
      </c>
      <c r="G802">
        <f t="shared" ca="1" si="49"/>
        <v>111.34449672824699</v>
      </c>
      <c r="H802">
        <f t="shared" ca="1" si="50"/>
        <v>11.344496728246995</v>
      </c>
      <c r="I802">
        <f t="shared" ca="1" si="51"/>
        <v>10.791219094060622</v>
      </c>
    </row>
    <row r="803" spans="5:9" x14ac:dyDescent="0.75">
      <c r="E803">
        <v>797</v>
      </c>
      <c r="F803">
        <f t="shared" ca="1" si="48"/>
        <v>0.53509160278116541</v>
      </c>
      <c r="G803">
        <f t="shared" ca="1" si="49"/>
        <v>114.68491592424463</v>
      </c>
      <c r="H803">
        <f t="shared" ca="1" si="50"/>
        <v>14.684915924244635</v>
      </c>
      <c r="I803">
        <f t="shared" ca="1" si="51"/>
        <v>13.968724123460595</v>
      </c>
    </row>
    <row r="804" spans="5:9" x14ac:dyDescent="0.75">
      <c r="E804">
        <v>798</v>
      </c>
      <c r="F804">
        <f t="shared" ca="1" si="48"/>
        <v>-0.6027482984894067</v>
      </c>
      <c r="G804">
        <f t="shared" ca="1" si="49"/>
        <v>91.342897216784337</v>
      </c>
      <c r="H804">
        <f t="shared" ca="1" si="50"/>
        <v>0</v>
      </c>
      <c r="I804">
        <f t="shared" ca="1" si="51"/>
        <v>0</v>
      </c>
    </row>
    <row r="805" spans="5:9" x14ac:dyDescent="0.75">
      <c r="E805">
        <v>799</v>
      </c>
      <c r="F805">
        <f t="shared" ca="1" si="48"/>
        <v>-9.8020736374496001E-2</v>
      </c>
      <c r="G805">
        <f t="shared" ca="1" si="49"/>
        <v>101.04500773428575</v>
      </c>
      <c r="H805">
        <f t="shared" ca="1" si="50"/>
        <v>1.0450077342857469</v>
      </c>
      <c r="I805">
        <f t="shared" ca="1" si="51"/>
        <v>0.9940421056834261</v>
      </c>
    </row>
    <row r="806" spans="5:9" x14ac:dyDescent="0.75">
      <c r="E806">
        <v>800</v>
      </c>
      <c r="F806">
        <f t="shared" ca="1" si="48"/>
        <v>0.79880708605534401</v>
      </c>
      <c r="G806">
        <f t="shared" ca="1" si="49"/>
        <v>120.89611259292916</v>
      </c>
      <c r="H806">
        <f t="shared" ca="1" si="50"/>
        <v>20.896112592929157</v>
      </c>
      <c r="I806">
        <f t="shared" ca="1" si="51"/>
        <v>19.876997156074125</v>
      </c>
    </row>
    <row r="807" spans="5:9" x14ac:dyDescent="0.75">
      <c r="E807">
        <v>801</v>
      </c>
      <c r="F807">
        <f t="shared" ca="1" si="48"/>
        <v>0.76293760069604588</v>
      </c>
      <c r="G807">
        <f t="shared" ca="1" si="49"/>
        <v>120.03191984599691</v>
      </c>
      <c r="H807">
        <f t="shared" ca="1" si="50"/>
        <v>20.03191984599691</v>
      </c>
      <c r="I807">
        <f t="shared" ca="1" si="51"/>
        <v>19.054951586752072</v>
      </c>
    </row>
    <row r="808" spans="5:9" x14ac:dyDescent="0.75">
      <c r="E808">
        <v>802</v>
      </c>
      <c r="F808">
        <f t="shared" ca="1" si="48"/>
        <v>-0.5407867532721965</v>
      </c>
      <c r="G808">
        <f t="shared" ca="1" si="49"/>
        <v>92.481889423579176</v>
      </c>
      <c r="H808">
        <f t="shared" ca="1" si="50"/>
        <v>0</v>
      </c>
      <c r="I808">
        <f t="shared" ca="1" si="51"/>
        <v>0</v>
      </c>
    </row>
    <row r="809" spans="5:9" x14ac:dyDescent="0.75">
      <c r="E809">
        <v>803</v>
      </c>
      <c r="F809">
        <f t="shared" ca="1" si="48"/>
        <v>-0.76855239537247599</v>
      </c>
      <c r="G809">
        <f t="shared" ca="1" si="49"/>
        <v>88.363563485892314</v>
      </c>
      <c r="H809">
        <f t="shared" ca="1" si="50"/>
        <v>0</v>
      </c>
      <c r="I809">
        <f t="shared" ca="1" si="51"/>
        <v>0</v>
      </c>
    </row>
    <row r="810" spans="5:9" x14ac:dyDescent="0.75">
      <c r="E810">
        <v>804</v>
      </c>
      <c r="F810">
        <f t="shared" ca="1" si="48"/>
        <v>-0.56437765778100568</v>
      </c>
      <c r="G810">
        <f t="shared" ca="1" si="49"/>
        <v>92.046570902468446</v>
      </c>
      <c r="H810">
        <f t="shared" ca="1" si="50"/>
        <v>0</v>
      </c>
      <c r="I810">
        <f t="shared" ca="1" si="51"/>
        <v>0</v>
      </c>
    </row>
    <row r="811" spans="5:9" x14ac:dyDescent="0.75">
      <c r="E811">
        <v>805</v>
      </c>
      <c r="F811">
        <f t="shared" ca="1" si="48"/>
        <v>0.90612689988947148</v>
      </c>
      <c r="G811">
        <f t="shared" ca="1" si="49"/>
        <v>123.51907109474229</v>
      </c>
      <c r="H811">
        <f t="shared" ca="1" si="50"/>
        <v>23.519071094742287</v>
      </c>
      <c r="I811">
        <f t="shared" ca="1" si="51"/>
        <v>22.372032462243084</v>
      </c>
    </row>
    <row r="812" spans="5:9" x14ac:dyDescent="0.75">
      <c r="E812">
        <v>806</v>
      </c>
      <c r="F812">
        <f t="shared" ca="1" si="48"/>
        <v>0.11288543298188883</v>
      </c>
      <c r="G812">
        <f t="shared" ca="1" si="49"/>
        <v>105.39838069713676</v>
      </c>
      <c r="H812">
        <f t="shared" ca="1" si="50"/>
        <v>5.3983806971367585</v>
      </c>
      <c r="I812">
        <f t="shared" ca="1" si="51"/>
        <v>5.1350985637731625</v>
      </c>
    </row>
    <row r="813" spans="5:9" x14ac:dyDescent="0.75">
      <c r="E813">
        <v>807</v>
      </c>
      <c r="F813">
        <f t="shared" ca="1" si="48"/>
        <v>0.39020066958263516</v>
      </c>
      <c r="G813">
        <f t="shared" ca="1" si="49"/>
        <v>111.40924573829159</v>
      </c>
      <c r="H813">
        <f t="shared" ca="1" si="50"/>
        <v>11.409245738291588</v>
      </c>
      <c r="I813">
        <f t="shared" ca="1" si="51"/>
        <v>10.852810257622332</v>
      </c>
    </row>
    <row r="814" spans="5:9" x14ac:dyDescent="0.75">
      <c r="E814">
        <v>808</v>
      </c>
      <c r="F814">
        <f t="shared" ca="1" si="48"/>
        <v>1.1831223117068033</v>
      </c>
      <c r="G814">
        <f t="shared" ca="1" si="49"/>
        <v>130.55500710423081</v>
      </c>
      <c r="H814">
        <f t="shared" ca="1" si="50"/>
        <v>30.55500710423081</v>
      </c>
      <c r="I814">
        <f t="shared" ca="1" si="51"/>
        <v>29.064821823372704</v>
      </c>
    </row>
    <row r="815" spans="5:9" x14ac:dyDescent="0.75">
      <c r="E815">
        <v>809</v>
      </c>
      <c r="F815">
        <f t="shared" ca="1" si="48"/>
        <v>-0.4939667851126141</v>
      </c>
      <c r="G815">
        <f t="shared" ca="1" si="49"/>
        <v>93.351956541084562</v>
      </c>
      <c r="H815">
        <f t="shared" ca="1" si="50"/>
        <v>0</v>
      </c>
      <c r="I815">
        <f t="shared" ca="1" si="51"/>
        <v>0</v>
      </c>
    </row>
    <row r="816" spans="5:9" x14ac:dyDescent="0.75">
      <c r="E816">
        <v>810</v>
      </c>
      <c r="F816">
        <f t="shared" ca="1" si="48"/>
        <v>-1.3135855859049612</v>
      </c>
      <c r="G816">
        <f t="shared" ca="1" si="49"/>
        <v>79.237769185839809</v>
      </c>
      <c r="H816">
        <f t="shared" ca="1" si="50"/>
        <v>0</v>
      </c>
      <c r="I816">
        <f t="shared" ca="1" si="51"/>
        <v>0</v>
      </c>
    </row>
    <row r="817" spans="5:9" x14ac:dyDescent="0.75">
      <c r="E817">
        <v>811</v>
      </c>
      <c r="F817">
        <f t="shared" ca="1" si="48"/>
        <v>0.43010641131967081</v>
      </c>
      <c r="G817">
        <f t="shared" ca="1" si="49"/>
        <v>112.30197722821262</v>
      </c>
      <c r="H817">
        <f t="shared" ca="1" si="50"/>
        <v>12.301977228212621</v>
      </c>
      <c r="I817">
        <f t="shared" ca="1" si="51"/>
        <v>11.702002719013581</v>
      </c>
    </row>
    <row r="818" spans="5:9" x14ac:dyDescent="0.75">
      <c r="E818">
        <v>812</v>
      </c>
      <c r="F818">
        <f t="shared" ca="1" si="48"/>
        <v>-0.20978645598589596</v>
      </c>
      <c r="G818">
        <f t="shared" ca="1" si="49"/>
        <v>98.811391312304281</v>
      </c>
      <c r="H818">
        <f t="shared" ca="1" si="50"/>
        <v>0</v>
      </c>
      <c r="I818">
        <f t="shared" ca="1" si="51"/>
        <v>0</v>
      </c>
    </row>
    <row r="819" spans="5:9" x14ac:dyDescent="0.75">
      <c r="E819">
        <v>813</v>
      </c>
      <c r="F819">
        <f t="shared" ca="1" si="48"/>
        <v>-1.2823470994777928</v>
      </c>
      <c r="G819">
        <f t="shared" ca="1" si="49"/>
        <v>79.734372479455573</v>
      </c>
      <c r="H819">
        <f t="shared" ca="1" si="50"/>
        <v>0</v>
      </c>
      <c r="I819">
        <f t="shared" ca="1" si="51"/>
        <v>0</v>
      </c>
    </row>
    <row r="820" spans="5:9" x14ac:dyDescent="0.75">
      <c r="E820">
        <v>814</v>
      </c>
      <c r="F820">
        <f t="shared" ca="1" si="48"/>
        <v>0.65497316150464302</v>
      </c>
      <c r="G820">
        <f t="shared" ca="1" si="49"/>
        <v>117.46786634753778</v>
      </c>
      <c r="H820">
        <f t="shared" ca="1" si="50"/>
        <v>17.467866347537779</v>
      </c>
      <c r="I820">
        <f t="shared" ca="1" si="51"/>
        <v>16.615948453023751</v>
      </c>
    </row>
    <row r="821" spans="5:9" x14ac:dyDescent="0.75">
      <c r="E821">
        <v>815</v>
      </c>
      <c r="F821">
        <f t="shared" ca="1" si="48"/>
        <v>-0.67733485984787833</v>
      </c>
      <c r="G821">
        <f t="shared" ca="1" si="49"/>
        <v>89.990419441907051</v>
      </c>
      <c r="H821">
        <f t="shared" ca="1" si="50"/>
        <v>0</v>
      </c>
      <c r="I821">
        <f t="shared" ca="1" si="51"/>
        <v>0</v>
      </c>
    </row>
    <row r="822" spans="5:9" x14ac:dyDescent="0.75">
      <c r="E822">
        <v>816</v>
      </c>
      <c r="F822">
        <f t="shared" ca="1" si="48"/>
        <v>0.51314106163679063</v>
      </c>
      <c r="G822">
        <f t="shared" ca="1" si="49"/>
        <v>114.18254027970232</v>
      </c>
      <c r="H822">
        <f t="shared" ca="1" si="50"/>
        <v>14.182540279702323</v>
      </c>
      <c r="I822">
        <f t="shared" ca="1" si="51"/>
        <v>13.490849628219436</v>
      </c>
    </row>
    <row r="823" spans="5:9" x14ac:dyDescent="0.75">
      <c r="E823">
        <v>817</v>
      </c>
      <c r="F823">
        <f t="shared" ca="1" si="48"/>
        <v>-0.94445471104528389</v>
      </c>
      <c r="G823">
        <f t="shared" ca="1" si="49"/>
        <v>85.30893899405072</v>
      </c>
      <c r="H823">
        <f t="shared" ca="1" si="50"/>
        <v>0</v>
      </c>
      <c r="I823">
        <f t="shared" ca="1" si="51"/>
        <v>0</v>
      </c>
    </row>
    <row r="824" spans="5:9" x14ac:dyDescent="0.75">
      <c r="E824">
        <v>818</v>
      </c>
      <c r="F824">
        <f t="shared" ca="1" si="48"/>
        <v>0.62776269456684242</v>
      </c>
      <c r="G824">
        <f t="shared" ca="1" si="49"/>
        <v>116.83033158415238</v>
      </c>
      <c r="H824">
        <f t="shared" ca="1" si="50"/>
        <v>16.830331584152376</v>
      </c>
      <c r="I824">
        <f t="shared" ca="1" si="51"/>
        <v>16.009506626949456</v>
      </c>
    </row>
    <row r="825" spans="5:9" x14ac:dyDescent="0.75">
      <c r="E825">
        <v>819</v>
      </c>
      <c r="F825">
        <f t="shared" ca="1" si="48"/>
        <v>1.7874671310369645</v>
      </c>
      <c r="G825">
        <f t="shared" ca="1" si="49"/>
        <v>147.32832685285229</v>
      </c>
      <c r="H825">
        <f t="shared" ca="1" si="50"/>
        <v>47.328326852852285</v>
      </c>
      <c r="I825">
        <f t="shared" ca="1" si="51"/>
        <v>45.020097114820366</v>
      </c>
    </row>
    <row r="826" spans="5:9" x14ac:dyDescent="0.75">
      <c r="E826">
        <v>820</v>
      </c>
      <c r="F826">
        <f t="shared" ca="1" si="48"/>
        <v>-0.92470942800817768</v>
      </c>
      <c r="G826">
        <f t="shared" ca="1" si="49"/>
        <v>85.646494898260954</v>
      </c>
      <c r="H826">
        <f t="shared" ca="1" si="50"/>
        <v>0</v>
      </c>
      <c r="I826">
        <f t="shared" ca="1" si="51"/>
        <v>0</v>
      </c>
    </row>
    <row r="827" spans="5:9" x14ac:dyDescent="0.75">
      <c r="E827">
        <v>821</v>
      </c>
      <c r="F827">
        <f t="shared" ca="1" si="48"/>
        <v>-0.54865013373429938</v>
      </c>
      <c r="G827">
        <f t="shared" ca="1" si="49"/>
        <v>92.336559675364896</v>
      </c>
      <c r="H827">
        <f t="shared" ca="1" si="50"/>
        <v>0</v>
      </c>
      <c r="I827">
        <f t="shared" ca="1" si="51"/>
        <v>0</v>
      </c>
    </row>
    <row r="828" spans="5:9" x14ac:dyDescent="0.75">
      <c r="E828">
        <v>822</v>
      </c>
      <c r="F828">
        <f t="shared" ca="1" si="48"/>
        <v>1.0390910748386415</v>
      </c>
      <c r="G828">
        <f t="shared" ca="1" si="49"/>
        <v>126.84785814448334</v>
      </c>
      <c r="H828">
        <f t="shared" ca="1" si="50"/>
        <v>26.84785814448334</v>
      </c>
      <c r="I828">
        <f t="shared" ca="1" si="51"/>
        <v>25.538472651853695</v>
      </c>
    </row>
    <row r="829" spans="5:9" x14ac:dyDescent="0.75">
      <c r="E829">
        <v>823</v>
      </c>
      <c r="F829">
        <f t="shared" ca="1" si="48"/>
        <v>-1.3132597687792487</v>
      </c>
      <c r="G829">
        <f t="shared" ca="1" si="49"/>
        <v>79.242932758516829</v>
      </c>
      <c r="H829">
        <f t="shared" ca="1" si="50"/>
        <v>0</v>
      </c>
      <c r="I829">
        <f t="shared" ca="1" si="51"/>
        <v>0</v>
      </c>
    </row>
    <row r="830" spans="5:9" x14ac:dyDescent="0.75">
      <c r="E830">
        <v>824</v>
      </c>
      <c r="F830">
        <f t="shared" ca="1" si="48"/>
        <v>-0.47477768933400744</v>
      </c>
      <c r="G830">
        <f t="shared" ca="1" si="49"/>
        <v>93.710912832202538</v>
      </c>
      <c r="H830">
        <f t="shared" ca="1" si="50"/>
        <v>0</v>
      </c>
      <c r="I830">
        <f t="shared" ca="1" si="51"/>
        <v>0</v>
      </c>
    </row>
    <row r="831" spans="5:9" x14ac:dyDescent="0.75">
      <c r="E831">
        <v>825</v>
      </c>
      <c r="F831">
        <f t="shared" ca="1" si="48"/>
        <v>8.7397334199925111E-2</v>
      </c>
      <c r="G831">
        <f t="shared" ca="1" si="49"/>
        <v>104.86246693220971</v>
      </c>
      <c r="H831">
        <f t="shared" ca="1" si="50"/>
        <v>4.8624669322097134</v>
      </c>
      <c r="I831">
        <f t="shared" ca="1" si="51"/>
        <v>4.625321621579598</v>
      </c>
    </row>
    <row r="832" spans="5:9" x14ac:dyDescent="0.75">
      <c r="E832">
        <v>826</v>
      </c>
      <c r="F832">
        <f t="shared" ca="1" si="48"/>
        <v>-0.41048697120934152</v>
      </c>
      <c r="G832">
        <f t="shared" ca="1" si="49"/>
        <v>94.923641217996874</v>
      </c>
      <c r="H832">
        <f t="shared" ca="1" si="50"/>
        <v>0</v>
      </c>
      <c r="I832">
        <f t="shared" ca="1" si="51"/>
        <v>0</v>
      </c>
    </row>
    <row r="833" spans="5:9" x14ac:dyDescent="0.75">
      <c r="E833">
        <v>827</v>
      </c>
      <c r="F833">
        <f t="shared" ca="1" si="48"/>
        <v>9.4844007781313133E-2</v>
      </c>
      <c r="G833">
        <f t="shared" ca="1" si="49"/>
        <v>105.01875860106107</v>
      </c>
      <c r="H833">
        <f t="shared" ca="1" si="50"/>
        <v>5.0187586010610659</v>
      </c>
      <c r="I833">
        <f t="shared" ca="1" si="51"/>
        <v>4.7739908557953266</v>
      </c>
    </row>
    <row r="834" spans="5:9" x14ac:dyDescent="0.75">
      <c r="E834">
        <v>828</v>
      </c>
      <c r="F834">
        <f t="shared" ca="1" si="48"/>
        <v>-0.99577270225958237</v>
      </c>
      <c r="G834">
        <f t="shared" ca="1" si="49"/>
        <v>84.437840268253623</v>
      </c>
      <c r="H834">
        <f t="shared" ca="1" si="50"/>
        <v>0</v>
      </c>
      <c r="I834">
        <f t="shared" ca="1" si="51"/>
        <v>0</v>
      </c>
    </row>
    <row r="835" spans="5:9" x14ac:dyDescent="0.75">
      <c r="E835">
        <v>829</v>
      </c>
      <c r="F835">
        <f t="shared" ca="1" si="48"/>
        <v>-0.41149992554945525</v>
      </c>
      <c r="G835">
        <f t="shared" ca="1" si="49"/>
        <v>94.904412502973429</v>
      </c>
      <c r="H835">
        <f t="shared" ca="1" si="50"/>
        <v>0</v>
      </c>
      <c r="I835">
        <f t="shared" ca="1" si="51"/>
        <v>0</v>
      </c>
    </row>
    <row r="836" spans="5:9" x14ac:dyDescent="0.75">
      <c r="E836">
        <v>830</v>
      </c>
      <c r="F836">
        <f t="shared" ca="1" si="48"/>
        <v>-0.63771933284707694</v>
      </c>
      <c r="G836">
        <f t="shared" ca="1" si="49"/>
        <v>90.706255096071388</v>
      </c>
      <c r="H836">
        <f t="shared" ca="1" si="50"/>
        <v>0</v>
      </c>
      <c r="I836">
        <f t="shared" ca="1" si="51"/>
        <v>0</v>
      </c>
    </row>
    <row r="837" spans="5:9" x14ac:dyDescent="0.75">
      <c r="E837">
        <v>831</v>
      </c>
      <c r="F837">
        <f t="shared" ca="1" si="48"/>
        <v>-2.6450291683427395E-2</v>
      </c>
      <c r="G837">
        <f t="shared" ca="1" si="49"/>
        <v>102.50177624536695</v>
      </c>
      <c r="H837">
        <f t="shared" ca="1" si="50"/>
        <v>2.5017762453669548</v>
      </c>
      <c r="I837">
        <f t="shared" ca="1" si="51"/>
        <v>2.3797631781099655</v>
      </c>
    </row>
    <row r="838" spans="5:9" x14ac:dyDescent="0.75">
      <c r="E838">
        <v>832</v>
      </c>
      <c r="F838">
        <f t="shared" ca="1" si="48"/>
        <v>1.1216297399515411</v>
      </c>
      <c r="G838">
        <f t="shared" ca="1" si="49"/>
        <v>128.95920757161636</v>
      </c>
      <c r="H838">
        <f t="shared" ca="1" si="50"/>
        <v>28.959207571616361</v>
      </c>
      <c r="I838">
        <f t="shared" ca="1" si="51"/>
        <v>27.546850352345352</v>
      </c>
    </row>
    <row r="839" spans="5:9" x14ac:dyDescent="0.75">
      <c r="E839">
        <v>833</v>
      </c>
      <c r="F839">
        <f t="shared" ca="1" si="48"/>
        <v>-0.35615962816458852</v>
      </c>
      <c r="G839">
        <f t="shared" ca="1" si="49"/>
        <v>95.960654678171139</v>
      </c>
      <c r="H839">
        <f t="shared" ca="1" si="50"/>
        <v>0</v>
      </c>
      <c r="I839">
        <f t="shared" ca="1" si="51"/>
        <v>0</v>
      </c>
    </row>
    <row r="840" spans="5:9" x14ac:dyDescent="0.75">
      <c r="E840">
        <v>834</v>
      </c>
      <c r="F840">
        <f t="shared" ref="F840:F903" ca="1" si="52">NORMINV(RAND(), 0,1)</f>
        <v>0.21634818032528064</v>
      </c>
      <c r="G840">
        <f t="shared" ref="G840:G903" ca="1" si="53">$C$5*EXP(($C$6-0.5*$C$7^2)*$C$8+$C$7*SQRT($C$8)*F840)</f>
        <v>107.60206317719982</v>
      </c>
      <c r="H840">
        <f t="shared" ref="H840:H903" ca="1" si="54">MAX(G840-$C$9,0)</f>
        <v>7.6020631771998239</v>
      </c>
      <c r="I840">
        <f t="shared" ref="I840:I903" ca="1" si="55">EXP(-$C$6*$C$8)*H840</f>
        <v>7.2313061810658583</v>
      </c>
    </row>
    <row r="841" spans="5:9" x14ac:dyDescent="0.75">
      <c r="E841">
        <v>835</v>
      </c>
      <c r="F841">
        <f t="shared" ca="1" si="52"/>
        <v>-0.54186068758386696</v>
      </c>
      <c r="G841">
        <f t="shared" ca="1" si="53"/>
        <v>92.462027661826269</v>
      </c>
      <c r="H841">
        <f t="shared" ca="1" si="54"/>
        <v>0</v>
      </c>
      <c r="I841">
        <f t="shared" ca="1" si="55"/>
        <v>0</v>
      </c>
    </row>
    <row r="842" spans="5:9" x14ac:dyDescent="0.75">
      <c r="E842">
        <v>836</v>
      </c>
      <c r="F842">
        <f t="shared" ca="1" si="52"/>
        <v>-2.5500086718273511</v>
      </c>
      <c r="G842">
        <f t="shared" ca="1" si="53"/>
        <v>61.878231861052328</v>
      </c>
      <c r="H842">
        <f t="shared" ca="1" si="54"/>
        <v>0</v>
      </c>
      <c r="I842">
        <f t="shared" ca="1" si="55"/>
        <v>0</v>
      </c>
    </row>
    <row r="843" spans="5:9" x14ac:dyDescent="0.75">
      <c r="E843">
        <v>837</v>
      </c>
      <c r="F843">
        <f t="shared" ca="1" si="52"/>
        <v>-0.45457197263039972</v>
      </c>
      <c r="G843">
        <f t="shared" ca="1" si="53"/>
        <v>94.090378284274024</v>
      </c>
      <c r="H843">
        <f t="shared" ca="1" si="54"/>
        <v>0</v>
      </c>
      <c r="I843">
        <f t="shared" ca="1" si="55"/>
        <v>0</v>
      </c>
    </row>
    <row r="844" spans="5:9" x14ac:dyDescent="0.75">
      <c r="E844">
        <v>838</v>
      </c>
      <c r="F844">
        <f t="shared" ca="1" si="52"/>
        <v>-0.34825403707783714</v>
      </c>
      <c r="G844">
        <f t="shared" ca="1" si="53"/>
        <v>96.112499828364676</v>
      </c>
      <c r="H844">
        <f t="shared" ca="1" si="54"/>
        <v>0</v>
      </c>
      <c r="I844">
        <f t="shared" ca="1" si="55"/>
        <v>0</v>
      </c>
    </row>
    <row r="845" spans="5:9" x14ac:dyDescent="0.75">
      <c r="E845">
        <v>839</v>
      </c>
      <c r="F845">
        <f t="shared" ca="1" si="52"/>
        <v>0.1685196064629205</v>
      </c>
      <c r="G845">
        <f t="shared" ca="1" si="53"/>
        <v>106.57767982256989</v>
      </c>
      <c r="H845">
        <f t="shared" ca="1" si="54"/>
        <v>6.5776798225698911</v>
      </c>
      <c r="I845">
        <f t="shared" ca="1" si="55"/>
        <v>6.2568825921731159</v>
      </c>
    </row>
    <row r="846" spans="5:9" x14ac:dyDescent="0.75">
      <c r="E846">
        <v>840</v>
      </c>
      <c r="F846">
        <f t="shared" ca="1" si="52"/>
        <v>-1.0134913251051083</v>
      </c>
      <c r="G846">
        <f t="shared" ca="1" si="53"/>
        <v>84.139145377927321</v>
      </c>
      <c r="H846">
        <f t="shared" ca="1" si="54"/>
        <v>0</v>
      </c>
      <c r="I846">
        <f t="shared" ca="1" si="55"/>
        <v>0</v>
      </c>
    </row>
    <row r="847" spans="5:9" x14ac:dyDescent="0.75">
      <c r="E847">
        <v>841</v>
      </c>
      <c r="F847">
        <f t="shared" ca="1" si="52"/>
        <v>-1.7081795590680082</v>
      </c>
      <c r="G847">
        <f t="shared" ca="1" si="53"/>
        <v>73.224808257710265</v>
      </c>
      <c r="H847">
        <f t="shared" ca="1" si="54"/>
        <v>0</v>
      </c>
      <c r="I847">
        <f t="shared" ca="1" si="55"/>
        <v>0</v>
      </c>
    </row>
    <row r="848" spans="5:9" x14ac:dyDescent="0.75">
      <c r="E848">
        <v>842</v>
      </c>
      <c r="F848">
        <f t="shared" ca="1" si="52"/>
        <v>2.0759319007218062</v>
      </c>
      <c r="G848">
        <f t="shared" ca="1" si="53"/>
        <v>156.07810673261338</v>
      </c>
      <c r="H848">
        <f t="shared" ca="1" si="54"/>
        <v>56.078106732613378</v>
      </c>
      <c r="I848">
        <f t="shared" ca="1" si="55"/>
        <v>53.34314519435344</v>
      </c>
    </row>
    <row r="849" spans="5:9" x14ac:dyDescent="0.75">
      <c r="E849">
        <v>843</v>
      </c>
      <c r="F849">
        <f t="shared" ca="1" si="52"/>
        <v>0.41507755778371447</v>
      </c>
      <c r="G849">
        <f t="shared" ca="1" si="53"/>
        <v>111.96493003175422</v>
      </c>
      <c r="H849">
        <f t="shared" ca="1" si="54"/>
        <v>11.964930031754221</v>
      </c>
      <c r="I849">
        <f t="shared" ca="1" si="55"/>
        <v>11.381393508296878</v>
      </c>
    </row>
    <row r="850" spans="5:9" x14ac:dyDescent="0.75">
      <c r="E850">
        <v>844</v>
      </c>
      <c r="F850">
        <f t="shared" ca="1" si="52"/>
        <v>0.33999617567522111</v>
      </c>
      <c r="G850">
        <f t="shared" ca="1" si="53"/>
        <v>110.29619414912486</v>
      </c>
      <c r="H850">
        <f t="shared" ca="1" si="54"/>
        <v>10.296194149124858</v>
      </c>
      <c r="I850">
        <f t="shared" ca="1" si="55"/>
        <v>9.794042835019658</v>
      </c>
    </row>
    <row r="851" spans="5:9" x14ac:dyDescent="0.75">
      <c r="E851">
        <v>845</v>
      </c>
      <c r="F851">
        <f t="shared" ca="1" si="52"/>
        <v>1.1133316105442275</v>
      </c>
      <c r="G851">
        <f t="shared" ca="1" si="53"/>
        <v>128.74536103478533</v>
      </c>
      <c r="H851">
        <f t="shared" ca="1" si="54"/>
        <v>28.745361034785333</v>
      </c>
      <c r="I851">
        <f t="shared" ca="1" si="55"/>
        <v>27.343433234184101</v>
      </c>
    </row>
    <row r="852" spans="5:9" x14ac:dyDescent="0.75">
      <c r="E852">
        <v>846</v>
      </c>
      <c r="F852">
        <f t="shared" ca="1" si="52"/>
        <v>-0.7894709837934677</v>
      </c>
      <c r="G852">
        <f t="shared" ca="1" si="53"/>
        <v>87.99464754088882</v>
      </c>
      <c r="H852">
        <f t="shared" ca="1" si="54"/>
        <v>0</v>
      </c>
      <c r="I852">
        <f t="shared" ca="1" si="55"/>
        <v>0</v>
      </c>
    </row>
    <row r="853" spans="5:9" x14ac:dyDescent="0.75">
      <c r="E853">
        <v>847</v>
      </c>
      <c r="F853">
        <f t="shared" ca="1" si="52"/>
        <v>5.309738381907967E-2</v>
      </c>
      <c r="G853">
        <f t="shared" ca="1" si="53"/>
        <v>104.14557320301014</v>
      </c>
      <c r="H853">
        <f t="shared" ca="1" si="54"/>
        <v>4.1455732030101444</v>
      </c>
      <c r="I853">
        <f t="shared" ca="1" si="55"/>
        <v>3.9433912121249213</v>
      </c>
    </row>
    <row r="854" spans="5:9" x14ac:dyDescent="0.75">
      <c r="E854">
        <v>848</v>
      </c>
      <c r="F854">
        <f t="shared" ca="1" si="52"/>
        <v>-0.1335991756535902</v>
      </c>
      <c r="G854">
        <f t="shared" ca="1" si="53"/>
        <v>100.32855504970391</v>
      </c>
      <c r="H854">
        <f t="shared" ca="1" si="54"/>
        <v>0.32855504970390825</v>
      </c>
      <c r="I854">
        <f t="shared" ca="1" si="55"/>
        <v>0.31253123084665213</v>
      </c>
    </row>
    <row r="855" spans="5:9" x14ac:dyDescent="0.75">
      <c r="E855">
        <v>849</v>
      </c>
      <c r="F855">
        <f t="shared" ca="1" si="52"/>
        <v>-6.6520405104909544E-2</v>
      </c>
      <c r="G855">
        <f t="shared" ca="1" si="53"/>
        <v>101.68360747576821</v>
      </c>
      <c r="H855">
        <f t="shared" ca="1" si="54"/>
        <v>1.6836074757682127</v>
      </c>
      <c r="I855">
        <f t="shared" ca="1" si="55"/>
        <v>1.6014969702600967</v>
      </c>
    </row>
    <row r="856" spans="5:9" x14ac:dyDescent="0.75">
      <c r="E856">
        <v>850</v>
      </c>
      <c r="F856">
        <f t="shared" ca="1" si="52"/>
        <v>-1.0540844890184562</v>
      </c>
      <c r="G856">
        <f t="shared" ca="1" si="53"/>
        <v>83.458815963131087</v>
      </c>
      <c r="H856">
        <f t="shared" ca="1" si="54"/>
        <v>0</v>
      </c>
      <c r="I856">
        <f t="shared" ca="1" si="55"/>
        <v>0</v>
      </c>
    </row>
    <row r="857" spans="5:9" x14ac:dyDescent="0.75">
      <c r="E857">
        <v>851</v>
      </c>
      <c r="F857">
        <f t="shared" ca="1" si="52"/>
        <v>-0.44917924202841975</v>
      </c>
      <c r="G857">
        <f t="shared" ca="1" si="53"/>
        <v>94.191913842287505</v>
      </c>
      <c r="H857">
        <f t="shared" ca="1" si="54"/>
        <v>0</v>
      </c>
      <c r="I857">
        <f t="shared" ca="1" si="55"/>
        <v>0</v>
      </c>
    </row>
    <row r="858" spans="5:9" x14ac:dyDescent="0.75">
      <c r="E858">
        <v>852</v>
      </c>
      <c r="F858">
        <f t="shared" ca="1" si="52"/>
        <v>-1.4240394466033808</v>
      </c>
      <c r="G858">
        <f t="shared" ca="1" si="53"/>
        <v>77.506538199657214</v>
      </c>
      <c r="H858">
        <f t="shared" ca="1" si="54"/>
        <v>0</v>
      </c>
      <c r="I858">
        <f t="shared" ca="1" si="55"/>
        <v>0</v>
      </c>
    </row>
    <row r="859" spans="5:9" x14ac:dyDescent="0.75">
      <c r="E859">
        <v>853</v>
      </c>
      <c r="F859">
        <f t="shared" ca="1" si="52"/>
        <v>-1.4716637007259055</v>
      </c>
      <c r="G859">
        <f t="shared" ca="1" si="53"/>
        <v>76.771804653839141</v>
      </c>
      <c r="H859">
        <f t="shared" ca="1" si="54"/>
        <v>0</v>
      </c>
      <c r="I859">
        <f t="shared" ca="1" si="55"/>
        <v>0</v>
      </c>
    </row>
    <row r="860" spans="5:9" x14ac:dyDescent="0.75">
      <c r="E860">
        <v>854</v>
      </c>
      <c r="F860">
        <f t="shared" ca="1" si="52"/>
        <v>-0.36408775148611727</v>
      </c>
      <c r="G860">
        <f t="shared" ca="1" si="53"/>
        <v>95.808617665983078</v>
      </c>
      <c r="H860">
        <f t="shared" ca="1" si="54"/>
        <v>0</v>
      </c>
      <c r="I860">
        <f t="shared" ca="1" si="55"/>
        <v>0</v>
      </c>
    </row>
    <row r="861" spans="5:9" x14ac:dyDescent="0.75">
      <c r="E861">
        <v>855</v>
      </c>
      <c r="F861">
        <f t="shared" ca="1" si="52"/>
        <v>-1.4217769106014628</v>
      </c>
      <c r="G861">
        <f t="shared" ca="1" si="53"/>
        <v>77.541618402693004</v>
      </c>
      <c r="H861">
        <f t="shared" ca="1" si="54"/>
        <v>0</v>
      </c>
      <c r="I861">
        <f t="shared" ca="1" si="55"/>
        <v>0</v>
      </c>
    </row>
    <row r="862" spans="5:9" x14ac:dyDescent="0.75">
      <c r="E862">
        <v>856</v>
      </c>
      <c r="F862">
        <f t="shared" ca="1" si="52"/>
        <v>0.1331622650590254</v>
      </c>
      <c r="G862">
        <f t="shared" ca="1" si="53"/>
        <v>105.82667761394183</v>
      </c>
      <c r="H862">
        <f t="shared" ca="1" si="54"/>
        <v>5.8266776139418255</v>
      </c>
      <c r="I862">
        <f t="shared" ca="1" si="55"/>
        <v>5.5425071934610761</v>
      </c>
    </row>
    <row r="863" spans="5:9" x14ac:dyDescent="0.75">
      <c r="E863">
        <v>857</v>
      </c>
      <c r="F863">
        <f t="shared" ca="1" si="52"/>
        <v>0.44646419347235655</v>
      </c>
      <c r="G863">
        <f t="shared" ca="1" si="53"/>
        <v>112.66998112850759</v>
      </c>
      <c r="H863">
        <f t="shared" ca="1" si="54"/>
        <v>12.669981128507587</v>
      </c>
      <c r="I863">
        <f t="shared" ca="1" si="55"/>
        <v>12.052058857305179</v>
      </c>
    </row>
    <row r="864" spans="5:9" x14ac:dyDescent="0.75">
      <c r="E864">
        <v>858</v>
      </c>
      <c r="F864">
        <f t="shared" ca="1" si="52"/>
        <v>-1.3119734022459422</v>
      </c>
      <c r="G864">
        <f t="shared" ca="1" si="53"/>
        <v>79.263322472609261</v>
      </c>
      <c r="H864">
        <f t="shared" ca="1" si="54"/>
        <v>0</v>
      </c>
      <c r="I864">
        <f t="shared" ca="1" si="55"/>
        <v>0</v>
      </c>
    </row>
    <row r="865" spans="5:9" x14ac:dyDescent="0.75">
      <c r="E865">
        <v>859</v>
      </c>
      <c r="F865">
        <f t="shared" ca="1" si="52"/>
        <v>-2.8480656233068133</v>
      </c>
      <c r="G865">
        <f t="shared" ca="1" si="53"/>
        <v>58.29737469177936</v>
      </c>
      <c r="H865">
        <f t="shared" ca="1" si="54"/>
        <v>0</v>
      </c>
      <c r="I865">
        <f t="shared" ca="1" si="55"/>
        <v>0</v>
      </c>
    </row>
    <row r="866" spans="5:9" x14ac:dyDescent="0.75">
      <c r="E866">
        <v>860</v>
      </c>
      <c r="F866">
        <f t="shared" ca="1" si="52"/>
        <v>-1.5916590243715525E-2</v>
      </c>
      <c r="G866">
        <f t="shared" ca="1" si="53"/>
        <v>102.71794849640985</v>
      </c>
      <c r="H866">
        <f t="shared" ca="1" si="54"/>
        <v>2.7179484964098464</v>
      </c>
      <c r="I866">
        <f t="shared" ca="1" si="55"/>
        <v>2.5853925840625189</v>
      </c>
    </row>
    <row r="867" spans="5:9" x14ac:dyDescent="0.75">
      <c r="E867">
        <v>861</v>
      </c>
      <c r="F867">
        <f t="shared" ca="1" si="52"/>
        <v>0.69504932609880377</v>
      </c>
      <c r="G867">
        <f t="shared" ca="1" si="53"/>
        <v>118.4131820586984</v>
      </c>
      <c r="H867">
        <f t="shared" ca="1" si="54"/>
        <v>18.413182058698396</v>
      </c>
      <c r="I867">
        <f t="shared" ca="1" si="55"/>
        <v>17.515160572922547</v>
      </c>
    </row>
    <row r="868" spans="5:9" x14ac:dyDescent="0.75">
      <c r="E868">
        <v>862</v>
      </c>
      <c r="F868">
        <f t="shared" ca="1" si="52"/>
        <v>0.66872569262664761</v>
      </c>
      <c r="G868">
        <f t="shared" ca="1" si="53"/>
        <v>117.79140719167343</v>
      </c>
      <c r="H868">
        <f t="shared" ca="1" si="54"/>
        <v>17.791407191673429</v>
      </c>
      <c r="I868">
        <f t="shared" ca="1" si="55"/>
        <v>16.92371002399338</v>
      </c>
    </row>
    <row r="869" spans="5:9" x14ac:dyDescent="0.75">
      <c r="E869">
        <v>863</v>
      </c>
      <c r="F869">
        <f t="shared" ca="1" si="52"/>
        <v>-1.0931947333384073</v>
      </c>
      <c r="G869">
        <f t="shared" ca="1" si="53"/>
        <v>82.808543573283941</v>
      </c>
      <c r="H869">
        <f t="shared" ca="1" si="54"/>
        <v>0</v>
      </c>
      <c r="I869">
        <f t="shared" ca="1" si="55"/>
        <v>0</v>
      </c>
    </row>
    <row r="870" spans="5:9" x14ac:dyDescent="0.75">
      <c r="E870">
        <v>864</v>
      </c>
      <c r="F870">
        <f t="shared" ca="1" si="52"/>
        <v>1.1246595847999779</v>
      </c>
      <c r="G870">
        <f t="shared" ca="1" si="53"/>
        <v>129.03737653135025</v>
      </c>
      <c r="H870">
        <f t="shared" ca="1" si="54"/>
        <v>29.037376531350247</v>
      </c>
      <c r="I870">
        <f t="shared" ca="1" si="55"/>
        <v>27.621206966926835</v>
      </c>
    </row>
    <row r="871" spans="5:9" x14ac:dyDescent="0.75">
      <c r="E871">
        <v>865</v>
      </c>
      <c r="F871">
        <f t="shared" ca="1" si="52"/>
        <v>-0.45720124717356964</v>
      </c>
      <c r="G871">
        <f t="shared" ca="1" si="53"/>
        <v>94.040913403812965</v>
      </c>
      <c r="H871">
        <f t="shared" ca="1" si="54"/>
        <v>0</v>
      </c>
      <c r="I871">
        <f t="shared" ca="1" si="55"/>
        <v>0</v>
      </c>
    </row>
    <row r="872" spans="5:9" x14ac:dyDescent="0.75">
      <c r="E872">
        <v>866</v>
      </c>
      <c r="F872">
        <f t="shared" ca="1" si="52"/>
        <v>0.91735807772078859</v>
      </c>
      <c r="G872">
        <f t="shared" ca="1" si="53"/>
        <v>123.79683587111678</v>
      </c>
      <c r="H872">
        <f t="shared" ca="1" si="54"/>
        <v>23.796835871116784</v>
      </c>
      <c r="I872">
        <f t="shared" ca="1" si="55"/>
        <v>22.636250490620366</v>
      </c>
    </row>
    <row r="873" spans="5:9" x14ac:dyDescent="0.75">
      <c r="E873">
        <v>867</v>
      </c>
      <c r="F873">
        <f t="shared" ca="1" si="52"/>
        <v>-1.2441168529244031</v>
      </c>
      <c r="G873">
        <f t="shared" ca="1" si="53"/>
        <v>80.346362093059</v>
      </c>
      <c r="H873">
        <f t="shared" ca="1" si="54"/>
        <v>0</v>
      </c>
      <c r="I873">
        <f t="shared" ca="1" si="55"/>
        <v>0</v>
      </c>
    </row>
    <row r="874" spans="5:9" x14ac:dyDescent="0.75">
      <c r="E874">
        <v>868</v>
      </c>
      <c r="F874">
        <f t="shared" ca="1" si="52"/>
        <v>-0.84552327869924249</v>
      </c>
      <c r="G874">
        <f t="shared" ca="1" si="53"/>
        <v>87.013695886565728</v>
      </c>
      <c r="H874">
        <f t="shared" ca="1" si="54"/>
        <v>0</v>
      </c>
      <c r="I874">
        <f t="shared" ca="1" si="55"/>
        <v>0</v>
      </c>
    </row>
    <row r="875" spans="5:9" x14ac:dyDescent="0.75">
      <c r="E875">
        <v>869</v>
      </c>
      <c r="F875">
        <f t="shared" ca="1" si="52"/>
        <v>-0.575993099380539</v>
      </c>
      <c r="G875">
        <f t="shared" ca="1" si="53"/>
        <v>91.832986772171495</v>
      </c>
      <c r="H875">
        <f t="shared" ca="1" si="54"/>
        <v>0</v>
      </c>
      <c r="I875">
        <f t="shared" ca="1" si="55"/>
        <v>0</v>
      </c>
    </row>
    <row r="876" spans="5:9" x14ac:dyDescent="0.75">
      <c r="E876">
        <v>870</v>
      </c>
      <c r="F876">
        <f t="shared" ca="1" si="52"/>
        <v>-0.32850434471013124</v>
      </c>
      <c r="G876">
        <f t="shared" ca="1" si="53"/>
        <v>96.492889051669266</v>
      </c>
      <c r="H876">
        <f t="shared" ca="1" si="54"/>
        <v>0</v>
      </c>
      <c r="I876">
        <f t="shared" ca="1" si="55"/>
        <v>0</v>
      </c>
    </row>
    <row r="877" spans="5:9" x14ac:dyDescent="0.75">
      <c r="E877">
        <v>871</v>
      </c>
      <c r="F877">
        <f t="shared" ca="1" si="52"/>
        <v>0.51253382025253202</v>
      </c>
      <c r="G877">
        <f t="shared" ca="1" si="53"/>
        <v>114.16867384898288</v>
      </c>
      <c r="H877">
        <f t="shared" ca="1" si="54"/>
        <v>14.168673848982877</v>
      </c>
      <c r="I877">
        <f t="shared" ca="1" si="55"/>
        <v>13.477659471306298</v>
      </c>
    </row>
    <row r="878" spans="5:9" x14ac:dyDescent="0.75">
      <c r="E878">
        <v>872</v>
      </c>
      <c r="F878">
        <f t="shared" ca="1" si="52"/>
        <v>0.98837531151043456</v>
      </c>
      <c r="G878">
        <f t="shared" ca="1" si="53"/>
        <v>125.56772422627091</v>
      </c>
      <c r="H878">
        <f t="shared" ca="1" si="54"/>
        <v>25.567724226270911</v>
      </c>
      <c r="I878">
        <f t="shared" ca="1" si="55"/>
        <v>24.320771601548643</v>
      </c>
    </row>
    <row r="879" spans="5:9" x14ac:dyDescent="0.75">
      <c r="E879">
        <v>873</v>
      </c>
      <c r="F879">
        <f t="shared" ca="1" si="52"/>
        <v>0.36828358546916046</v>
      </c>
      <c r="G879">
        <f t="shared" ca="1" si="53"/>
        <v>110.92196134186618</v>
      </c>
      <c r="H879">
        <f t="shared" ca="1" si="54"/>
        <v>10.921961341866179</v>
      </c>
      <c r="I879">
        <f t="shared" ca="1" si="55"/>
        <v>10.389291001642412</v>
      </c>
    </row>
    <row r="880" spans="5:9" x14ac:dyDescent="0.75">
      <c r="E880">
        <v>874</v>
      </c>
      <c r="F880">
        <f t="shared" ca="1" si="52"/>
        <v>-0.30779783080723505</v>
      </c>
      <c r="G880">
        <f t="shared" ca="1" si="53"/>
        <v>96.893323910100449</v>
      </c>
      <c r="H880">
        <f t="shared" ca="1" si="54"/>
        <v>0</v>
      </c>
      <c r="I880">
        <f t="shared" ca="1" si="55"/>
        <v>0</v>
      </c>
    </row>
    <row r="881" spans="5:9" x14ac:dyDescent="0.75">
      <c r="E881">
        <v>875</v>
      </c>
      <c r="F881">
        <f t="shared" ca="1" si="52"/>
        <v>1.9478849047020086</v>
      </c>
      <c r="G881">
        <f t="shared" ca="1" si="53"/>
        <v>152.13178730272324</v>
      </c>
      <c r="H881">
        <f t="shared" ca="1" si="54"/>
        <v>52.131787302723239</v>
      </c>
      <c r="I881">
        <f t="shared" ca="1" si="55"/>
        <v>49.589290034163056</v>
      </c>
    </row>
    <row r="882" spans="5:9" x14ac:dyDescent="0.75">
      <c r="E882">
        <v>876</v>
      </c>
      <c r="F882">
        <f t="shared" ca="1" si="52"/>
        <v>-0.23744445720976015</v>
      </c>
      <c r="G882">
        <f t="shared" ca="1" si="53"/>
        <v>98.266315157510391</v>
      </c>
      <c r="H882">
        <f t="shared" ca="1" si="54"/>
        <v>0</v>
      </c>
      <c r="I882">
        <f t="shared" ca="1" si="55"/>
        <v>0</v>
      </c>
    </row>
    <row r="883" spans="5:9" x14ac:dyDescent="0.75">
      <c r="E883">
        <v>877</v>
      </c>
      <c r="F883">
        <f t="shared" ca="1" si="52"/>
        <v>-1.8203389267084933</v>
      </c>
      <c r="G883">
        <f t="shared" ca="1" si="53"/>
        <v>71.600524592194915</v>
      </c>
      <c r="H883">
        <f t="shared" ca="1" si="54"/>
        <v>0</v>
      </c>
      <c r="I883">
        <f t="shared" ca="1" si="55"/>
        <v>0</v>
      </c>
    </row>
    <row r="884" spans="5:9" x14ac:dyDescent="0.75">
      <c r="E884">
        <v>878</v>
      </c>
      <c r="F884">
        <f t="shared" ca="1" si="52"/>
        <v>1.543965089389411</v>
      </c>
      <c r="G884">
        <f t="shared" ca="1" si="53"/>
        <v>140.32528668955959</v>
      </c>
      <c r="H884">
        <f t="shared" ca="1" si="54"/>
        <v>40.32528668955959</v>
      </c>
      <c r="I884">
        <f t="shared" ca="1" si="55"/>
        <v>38.358599250536074</v>
      </c>
    </row>
    <row r="885" spans="5:9" x14ac:dyDescent="0.75">
      <c r="E885">
        <v>879</v>
      </c>
      <c r="F885">
        <f t="shared" ca="1" si="52"/>
        <v>-1.1236708965820488</v>
      </c>
      <c r="G885">
        <f t="shared" ca="1" si="53"/>
        <v>82.305341360089074</v>
      </c>
      <c r="H885">
        <f t="shared" ca="1" si="54"/>
        <v>0</v>
      </c>
      <c r="I885">
        <f t="shared" ca="1" si="55"/>
        <v>0</v>
      </c>
    </row>
    <row r="886" spans="5:9" x14ac:dyDescent="0.75">
      <c r="E886">
        <v>880</v>
      </c>
      <c r="F886">
        <f t="shared" ca="1" si="52"/>
        <v>-0.38835797114367604</v>
      </c>
      <c r="G886">
        <f t="shared" ca="1" si="53"/>
        <v>95.344685311750183</v>
      </c>
      <c r="H886">
        <f t="shared" ca="1" si="54"/>
        <v>0</v>
      </c>
      <c r="I886">
        <f t="shared" ca="1" si="55"/>
        <v>0</v>
      </c>
    </row>
    <row r="887" spans="5:9" x14ac:dyDescent="0.75">
      <c r="E887">
        <v>881</v>
      </c>
      <c r="F887">
        <f t="shared" ca="1" si="52"/>
        <v>1.4562629658222515</v>
      </c>
      <c r="G887">
        <f t="shared" ca="1" si="53"/>
        <v>137.88538259609544</v>
      </c>
      <c r="H887">
        <f t="shared" ca="1" si="54"/>
        <v>37.88538259609544</v>
      </c>
      <c r="I887">
        <f t="shared" ca="1" si="55"/>
        <v>36.03769068387323</v>
      </c>
    </row>
    <row r="888" spans="5:9" x14ac:dyDescent="0.75">
      <c r="E888">
        <v>882</v>
      </c>
      <c r="F888">
        <f t="shared" ca="1" si="52"/>
        <v>-1.25536075926226</v>
      </c>
      <c r="G888">
        <f t="shared" ca="1" si="53"/>
        <v>80.165883703334487</v>
      </c>
      <c r="H888">
        <f t="shared" ca="1" si="54"/>
        <v>0</v>
      </c>
      <c r="I888">
        <f t="shared" ca="1" si="55"/>
        <v>0</v>
      </c>
    </row>
    <row r="889" spans="5:9" x14ac:dyDescent="0.75">
      <c r="E889">
        <v>883</v>
      </c>
      <c r="F889">
        <f t="shared" ca="1" si="52"/>
        <v>-1.0316885669462084</v>
      </c>
      <c r="G889">
        <f t="shared" ca="1" si="53"/>
        <v>83.833481863258953</v>
      </c>
      <c r="H889">
        <f t="shared" ca="1" si="54"/>
        <v>0</v>
      </c>
      <c r="I889">
        <f t="shared" ca="1" si="55"/>
        <v>0</v>
      </c>
    </row>
    <row r="890" spans="5:9" x14ac:dyDescent="0.75">
      <c r="E890">
        <v>884</v>
      </c>
      <c r="F890">
        <f t="shared" ca="1" si="52"/>
        <v>-1.2200292939297352</v>
      </c>
      <c r="G890">
        <f t="shared" ca="1" si="53"/>
        <v>80.734365495516514</v>
      </c>
      <c r="H890">
        <f t="shared" ca="1" si="54"/>
        <v>0</v>
      </c>
      <c r="I890">
        <f t="shared" ca="1" si="55"/>
        <v>0</v>
      </c>
    </row>
    <row r="891" spans="5:9" x14ac:dyDescent="0.75">
      <c r="E891">
        <v>885</v>
      </c>
      <c r="F891">
        <f t="shared" ca="1" si="52"/>
        <v>0.99862254636188896</v>
      </c>
      <c r="G891">
        <f t="shared" ca="1" si="53"/>
        <v>125.82533250533841</v>
      </c>
      <c r="H891">
        <f t="shared" ca="1" si="54"/>
        <v>25.825332505338409</v>
      </c>
      <c r="I891">
        <f t="shared" ca="1" si="55"/>
        <v>24.565816176592637</v>
      </c>
    </row>
    <row r="892" spans="5:9" x14ac:dyDescent="0.75">
      <c r="E892">
        <v>886</v>
      </c>
      <c r="F892">
        <f t="shared" ca="1" si="52"/>
        <v>0.95165244749358924</v>
      </c>
      <c r="G892">
        <f t="shared" ca="1" si="53"/>
        <v>124.64886139192457</v>
      </c>
      <c r="H892">
        <f t="shared" ca="1" si="54"/>
        <v>24.648861391924569</v>
      </c>
      <c r="I892">
        <f t="shared" ca="1" si="55"/>
        <v>23.446722236438276</v>
      </c>
    </row>
    <row r="893" spans="5:9" x14ac:dyDescent="0.75">
      <c r="E893">
        <v>887</v>
      </c>
      <c r="F893">
        <f t="shared" ca="1" si="52"/>
        <v>8.0771328095168862E-2</v>
      </c>
      <c r="G893">
        <f t="shared" ca="1" si="53"/>
        <v>104.72359509988347</v>
      </c>
      <c r="H893">
        <f t="shared" ca="1" si="54"/>
        <v>4.7235950998834682</v>
      </c>
      <c r="I893">
        <f t="shared" ca="1" si="55"/>
        <v>4.4932226484365438</v>
      </c>
    </row>
    <row r="894" spans="5:9" x14ac:dyDescent="0.75">
      <c r="E894">
        <v>888</v>
      </c>
      <c r="F894">
        <f t="shared" ca="1" si="52"/>
        <v>-2.8599894485832274E-2</v>
      </c>
      <c r="G894">
        <f t="shared" ca="1" si="53"/>
        <v>102.45771809570405</v>
      </c>
      <c r="H894">
        <f t="shared" ca="1" si="54"/>
        <v>2.4577180957040525</v>
      </c>
      <c r="I894">
        <f t="shared" ca="1" si="55"/>
        <v>2.3378537697615567</v>
      </c>
    </row>
    <row r="895" spans="5:9" x14ac:dyDescent="0.75">
      <c r="E895">
        <v>889</v>
      </c>
      <c r="F895">
        <f t="shared" ca="1" si="52"/>
        <v>-0.14404371372503355</v>
      </c>
      <c r="G895">
        <f t="shared" ca="1" si="53"/>
        <v>100.11919670837518</v>
      </c>
      <c r="H895">
        <f t="shared" ca="1" si="54"/>
        <v>0.11919670837518481</v>
      </c>
      <c r="I895">
        <f t="shared" ca="1" si="55"/>
        <v>0.11338341631010648</v>
      </c>
    </row>
    <row r="896" spans="5:9" x14ac:dyDescent="0.75">
      <c r="E896">
        <v>890</v>
      </c>
      <c r="F896">
        <f t="shared" ca="1" si="52"/>
        <v>0.81419972850236677</v>
      </c>
      <c r="G896">
        <f t="shared" ca="1" si="53"/>
        <v>121.26886819478051</v>
      </c>
      <c r="H896">
        <f t="shared" ca="1" si="54"/>
        <v>21.268868194780509</v>
      </c>
      <c r="I896">
        <f t="shared" ca="1" si="55"/>
        <v>20.231573252702603</v>
      </c>
    </row>
    <row r="897" spans="5:9" x14ac:dyDescent="0.75">
      <c r="E897">
        <v>891</v>
      </c>
      <c r="F897">
        <f t="shared" ca="1" si="52"/>
        <v>0.43375498706088655</v>
      </c>
      <c r="G897">
        <f t="shared" ca="1" si="53"/>
        <v>112.38395558896185</v>
      </c>
      <c r="H897">
        <f t="shared" ca="1" si="54"/>
        <v>12.383955588961854</v>
      </c>
      <c r="I897">
        <f t="shared" ca="1" si="55"/>
        <v>11.779982947930584</v>
      </c>
    </row>
    <row r="898" spans="5:9" x14ac:dyDescent="0.75">
      <c r="E898">
        <v>892</v>
      </c>
      <c r="F898">
        <f t="shared" ca="1" si="52"/>
        <v>2.3606453224715813</v>
      </c>
      <c r="G898">
        <f t="shared" ca="1" si="53"/>
        <v>165.22352440291456</v>
      </c>
      <c r="H898">
        <f t="shared" ca="1" si="54"/>
        <v>65.223524402914563</v>
      </c>
      <c r="I898">
        <f t="shared" ca="1" si="55"/>
        <v>62.042535581692697</v>
      </c>
    </row>
    <row r="899" spans="5:9" x14ac:dyDescent="0.75">
      <c r="E899">
        <v>893</v>
      </c>
      <c r="F899">
        <f t="shared" ca="1" si="52"/>
        <v>-0.85375305887436215</v>
      </c>
      <c r="G899">
        <f t="shared" ca="1" si="53"/>
        <v>86.870592971552313</v>
      </c>
      <c r="H899">
        <f t="shared" ca="1" si="54"/>
        <v>0</v>
      </c>
      <c r="I899">
        <f t="shared" ca="1" si="55"/>
        <v>0</v>
      </c>
    </row>
    <row r="900" spans="5:9" x14ac:dyDescent="0.75">
      <c r="E900">
        <v>894</v>
      </c>
      <c r="F900">
        <f t="shared" ca="1" si="52"/>
        <v>1.2710700536353894</v>
      </c>
      <c r="G900">
        <f t="shared" ca="1" si="53"/>
        <v>132.87172600738563</v>
      </c>
      <c r="H900">
        <f t="shared" ca="1" si="54"/>
        <v>32.871726007385632</v>
      </c>
      <c r="I900">
        <f t="shared" ca="1" si="55"/>
        <v>31.268553012350587</v>
      </c>
    </row>
    <row r="901" spans="5:9" x14ac:dyDescent="0.75">
      <c r="E901">
        <v>895</v>
      </c>
      <c r="F901">
        <f t="shared" ca="1" si="52"/>
        <v>0.8652693365651386</v>
      </c>
      <c r="G901">
        <f t="shared" ca="1" si="53"/>
        <v>122.51384613870486</v>
      </c>
      <c r="H901">
        <f t="shared" ca="1" si="54"/>
        <v>22.513846138704864</v>
      </c>
      <c r="I901">
        <f t="shared" ca="1" si="55"/>
        <v>21.415832905817851</v>
      </c>
    </row>
    <row r="902" spans="5:9" x14ac:dyDescent="0.75">
      <c r="E902">
        <v>896</v>
      </c>
      <c r="F902">
        <f t="shared" ca="1" si="52"/>
        <v>1.5341237450984508</v>
      </c>
      <c r="G902">
        <f t="shared" ca="1" si="53"/>
        <v>140.04936043535841</v>
      </c>
      <c r="H902">
        <f t="shared" ca="1" si="54"/>
        <v>40.049360435358409</v>
      </c>
      <c r="I902">
        <f t="shared" ca="1" si="55"/>
        <v>38.096130078547645</v>
      </c>
    </row>
    <row r="903" spans="5:9" x14ac:dyDescent="0.75">
      <c r="E903">
        <v>897</v>
      </c>
      <c r="F903">
        <f t="shared" ca="1" si="52"/>
        <v>-1.5094836209293263</v>
      </c>
      <c r="G903">
        <f t="shared" ca="1" si="53"/>
        <v>76.193294627197176</v>
      </c>
      <c r="H903">
        <f t="shared" ca="1" si="54"/>
        <v>0</v>
      </c>
      <c r="I903">
        <f t="shared" ca="1" si="55"/>
        <v>0</v>
      </c>
    </row>
    <row r="904" spans="5:9" x14ac:dyDescent="0.75">
      <c r="E904">
        <v>898</v>
      </c>
      <c r="F904">
        <f t="shared" ref="F904:F967" ca="1" si="56">NORMINV(RAND(), 0,1)</f>
        <v>-2.6310549442919826</v>
      </c>
      <c r="G904">
        <f t="shared" ref="G904:G967" ca="1" si="57">$C$5*EXP(($C$6-0.5*$C$7^2)*$C$8+$C$7*SQRT($C$8)*F904)</f>
        <v>60.883317050484543</v>
      </c>
      <c r="H904">
        <f t="shared" ref="H904:H967" ca="1" si="58">MAX(G904-$C$9,0)</f>
        <v>0</v>
      </c>
      <c r="I904">
        <f t="shared" ref="I904:I967" ca="1" si="59">EXP(-$C$6*$C$8)*H904</f>
        <v>0</v>
      </c>
    </row>
    <row r="905" spans="5:9" x14ac:dyDescent="0.75">
      <c r="E905">
        <v>899</v>
      </c>
      <c r="F905">
        <f t="shared" ca="1" si="56"/>
        <v>-0.5804936035418522</v>
      </c>
      <c r="G905">
        <f t="shared" ca="1" si="57"/>
        <v>91.750365013883609</v>
      </c>
      <c r="H905">
        <f t="shared" ca="1" si="58"/>
        <v>0</v>
      </c>
      <c r="I905">
        <f t="shared" ca="1" si="59"/>
        <v>0</v>
      </c>
    </row>
    <row r="906" spans="5:9" x14ac:dyDescent="0.75">
      <c r="E906">
        <v>900</v>
      </c>
      <c r="F906">
        <f t="shared" ca="1" si="56"/>
        <v>1.2661721088202409</v>
      </c>
      <c r="G906">
        <f t="shared" ca="1" si="57"/>
        <v>132.74163006176963</v>
      </c>
      <c r="H906">
        <f t="shared" ca="1" si="58"/>
        <v>32.741630061769627</v>
      </c>
      <c r="I906">
        <f t="shared" ca="1" si="59"/>
        <v>31.1448019208724</v>
      </c>
    </row>
    <row r="907" spans="5:9" x14ac:dyDescent="0.75">
      <c r="E907">
        <v>901</v>
      </c>
      <c r="F907">
        <f t="shared" ca="1" si="56"/>
        <v>0.273204534570194</v>
      </c>
      <c r="G907">
        <f t="shared" ca="1" si="57"/>
        <v>108.83261861126374</v>
      </c>
      <c r="H907">
        <f t="shared" ca="1" si="58"/>
        <v>8.8326186112637401</v>
      </c>
      <c r="I907">
        <f t="shared" ca="1" si="59"/>
        <v>8.4018467184267038</v>
      </c>
    </row>
    <row r="908" spans="5:9" x14ac:dyDescent="0.75">
      <c r="E908">
        <v>902</v>
      </c>
      <c r="F908">
        <f t="shared" ca="1" si="56"/>
        <v>1.9511678988890393</v>
      </c>
      <c r="G908">
        <f t="shared" ca="1" si="57"/>
        <v>152.23170965826006</v>
      </c>
      <c r="H908">
        <f t="shared" ca="1" si="58"/>
        <v>52.231709658260058</v>
      </c>
      <c r="I908">
        <f t="shared" ca="1" si="59"/>
        <v>49.684339118915098</v>
      </c>
    </row>
    <row r="909" spans="5:9" x14ac:dyDescent="0.75">
      <c r="E909">
        <v>903</v>
      </c>
      <c r="F909">
        <f t="shared" ca="1" si="56"/>
        <v>0.54404917227473359</v>
      </c>
      <c r="G909">
        <f t="shared" ca="1" si="57"/>
        <v>114.8905596969327</v>
      </c>
      <c r="H909">
        <f t="shared" ca="1" si="58"/>
        <v>14.890559696932698</v>
      </c>
      <c r="I909">
        <f t="shared" ca="1" si="59"/>
        <v>14.164338531006816</v>
      </c>
    </row>
    <row r="910" spans="5:9" x14ac:dyDescent="0.75">
      <c r="E910">
        <v>904</v>
      </c>
      <c r="F910">
        <f t="shared" ca="1" si="56"/>
        <v>1.0120343442807107</v>
      </c>
      <c r="G910">
        <f t="shared" ca="1" si="57"/>
        <v>126.16329435683234</v>
      </c>
      <c r="H910">
        <f t="shared" ca="1" si="58"/>
        <v>26.163294356832338</v>
      </c>
      <c r="I910">
        <f t="shared" ca="1" si="59"/>
        <v>24.887295434092405</v>
      </c>
    </row>
    <row r="911" spans="5:9" x14ac:dyDescent="0.75">
      <c r="E911">
        <v>905</v>
      </c>
      <c r="F911">
        <f t="shared" ca="1" si="56"/>
        <v>0.68058242690199799</v>
      </c>
      <c r="G911">
        <f t="shared" ca="1" si="57"/>
        <v>118.07106292399368</v>
      </c>
      <c r="H911">
        <f t="shared" ca="1" si="58"/>
        <v>18.071062923993679</v>
      </c>
      <c r="I911">
        <f t="shared" ca="1" si="59"/>
        <v>17.189726785306696</v>
      </c>
    </row>
    <row r="912" spans="5:9" x14ac:dyDescent="0.75">
      <c r="E912">
        <v>906</v>
      </c>
      <c r="F912">
        <f t="shared" ca="1" si="56"/>
        <v>0.41783437657717243</v>
      </c>
      <c r="G912">
        <f t="shared" ca="1" si="57"/>
        <v>112.02668045832746</v>
      </c>
      <c r="H912">
        <f t="shared" ca="1" si="58"/>
        <v>12.026680458327462</v>
      </c>
      <c r="I912">
        <f t="shared" ca="1" si="59"/>
        <v>11.440132331028815</v>
      </c>
    </row>
    <row r="913" spans="5:9" x14ac:dyDescent="0.75">
      <c r="E913">
        <v>907</v>
      </c>
      <c r="F913">
        <f t="shared" ca="1" si="56"/>
        <v>1.8898144124319942</v>
      </c>
      <c r="G913">
        <f t="shared" ca="1" si="57"/>
        <v>150.37513446232458</v>
      </c>
      <c r="H913">
        <f t="shared" ca="1" si="58"/>
        <v>50.375134462324581</v>
      </c>
      <c r="I913">
        <f t="shared" ca="1" si="59"/>
        <v>47.918310163743094</v>
      </c>
    </row>
    <row r="914" spans="5:9" x14ac:dyDescent="0.75">
      <c r="E914">
        <v>908</v>
      </c>
      <c r="F914">
        <f t="shared" ca="1" si="56"/>
        <v>-0.77121576755000476</v>
      </c>
      <c r="G914">
        <f t="shared" ca="1" si="57"/>
        <v>88.316507008597085</v>
      </c>
      <c r="H914">
        <f t="shared" ca="1" si="58"/>
        <v>0</v>
      </c>
      <c r="I914">
        <f t="shared" ca="1" si="59"/>
        <v>0</v>
      </c>
    </row>
    <row r="915" spans="5:9" x14ac:dyDescent="0.75">
      <c r="E915">
        <v>909</v>
      </c>
      <c r="F915">
        <f t="shared" ca="1" si="56"/>
        <v>-0.41149466450224698</v>
      </c>
      <c r="G915">
        <f t="shared" ca="1" si="57"/>
        <v>94.90451236234486</v>
      </c>
      <c r="H915">
        <f t="shared" ca="1" si="58"/>
        <v>0</v>
      </c>
      <c r="I915">
        <f t="shared" ca="1" si="59"/>
        <v>0</v>
      </c>
    </row>
    <row r="916" spans="5:9" x14ac:dyDescent="0.75">
      <c r="E916">
        <v>910</v>
      </c>
      <c r="F916">
        <f t="shared" ca="1" si="56"/>
        <v>4.8870822052455055E-2</v>
      </c>
      <c r="G916">
        <f t="shared" ca="1" si="57"/>
        <v>104.05757486171998</v>
      </c>
      <c r="H916">
        <f t="shared" ca="1" si="58"/>
        <v>4.0575748617199849</v>
      </c>
      <c r="I916">
        <f t="shared" ca="1" si="59"/>
        <v>3.8596846005824657</v>
      </c>
    </row>
    <row r="917" spans="5:9" x14ac:dyDescent="0.75">
      <c r="E917">
        <v>911</v>
      </c>
      <c r="F917">
        <f t="shared" ca="1" si="56"/>
        <v>-1.0863473673361956</v>
      </c>
      <c r="G917">
        <f t="shared" ca="1" si="57"/>
        <v>82.922025341859779</v>
      </c>
      <c r="H917">
        <f t="shared" ca="1" si="58"/>
        <v>0</v>
      </c>
      <c r="I917">
        <f t="shared" ca="1" si="59"/>
        <v>0</v>
      </c>
    </row>
    <row r="918" spans="5:9" x14ac:dyDescent="0.75">
      <c r="E918">
        <v>912</v>
      </c>
      <c r="F918">
        <f t="shared" ca="1" si="56"/>
        <v>-2.1462556996620168</v>
      </c>
      <c r="G918">
        <f t="shared" ca="1" si="57"/>
        <v>67.082220995240988</v>
      </c>
      <c r="H918">
        <f t="shared" ca="1" si="58"/>
        <v>0</v>
      </c>
      <c r="I918">
        <f t="shared" ca="1" si="59"/>
        <v>0</v>
      </c>
    </row>
    <row r="919" spans="5:9" x14ac:dyDescent="0.75">
      <c r="E919">
        <v>913</v>
      </c>
      <c r="F919">
        <f t="shared" ca="1" si="56"/>
        <v>-1.4077529111857743</v>
      </c>
      <c r="G919">
        <f t="shared" ca="1" si="57"/>
        <v>77.759412416459028</v>
      </c>
      <c r="H919">
        <f t="shared" ca="1" si="58"/>
        <v>0</v>
      </c>
      <c r="I919">
        <f t="shared" ca="1" si="59"/>
        <v>0</v>
      </c>
    </row>
    <row r="920" spans="5:9" x14ac:dyDescent="0.75">
      <c r="E920">
        <v>914</v>
      </c>
      <c r="F920">
        <f t="shared" ca="1" si="56"/>
        <v>0.78341533016326437</v>
      </c>
      <c r="G920">
        <f t="shared" ca="1" si="57"/>
        <v>120.52452413558416</v>
      </c>
      <c r="H920">
        <f t="shared" ca="1" si="58"/>
        <v>20.524524135584159</v>
      </c>
      <c r="I920">
        <f t="shared" ca="1" si="59"/>
        <v>19.523531281642732</v>
      </c>
    </row>
    <row r="921" spans="5:9" x14ac:dyDescent="0.75">
      <c r="E921">
        <v>915</v>
      </c>
      <c r="F921">
        <f t="shared" ca="1" si="56"/>
        <v>2.0664732724278387</v>
      </c>
      <c r="G921">
        <f t="shared" ca="1" si="57"/>
        <v>155.78312886989519</v>
      </c>
      <c r="H921">
        <f t="shared" ca="1" si="58"/>
        <v>55.783128869895194</v>
      </c>
      <c r="I921">
        <f t="shared" ca="1" si="59"/>
        <v>53.062553571759572</v>
      </c>
    </row>
    <row r="922" spans="5:9" x14ac:dyDescent="0.75">
      <c r="E922">
        <v>916</v>
      </c>
      <c r="F922">
        <f t="shared" ca="1" si="56"/>
        <v>0.43720736769258778</v>
      </c>
      <c r="G922">
        <f t="shared" ca="1" si="57"/>
        <v>112.46158082338127</v>
      </c>
      <c r="H922">
        <f t="shared" ca="1" si="58"/>
        <v>12.461580823381269</v>
      </c>
      <c r="I922">
        <f t="shared" ca="1" si="59"/>
        <v>11.853822354994097</v>
      </c>
    </row>
    <row r="923" spans="5:9" x14ac:dyDescent="0.75">
      <c r="E923">
        <v>917</v>
      </c>
      <c r="F923">
        <f t="shared" ca="1" si="56"/>
        <v>0.63900215989633602</v>
      </c>
      <c r="G923">
        <f t="shared" ca="1" si="57"/>
        <v>117.09324907089405</v>
      </c>
      <c r="H923">
        <f t="shared" ca="1" si="58"/>
        <v>17.093249070894046</v>
      </c>
      <c r="I923">
        <f t="shared" ca="1" si="59"/>
        <v>16.259601476553907</v>
      </c>
    </row>
    <row r="924" spans="5:9" x14ac:dyDescent="0.75">
      <c r="E924">
        <v>918</v>
      </c>
      <c r="F924">
        <f t="shared" ca="1" si="56"/>
        <v>0.92427299315419964</v>
      </c>
      <c r="G924">
        <f t="shared" ca="1" si="57"/>
        <v>123.96816324543447</v>
      </c>
      <c r="H924">
        <f t="shared" ca="1" si="58"/>
        <v>23.968163245434468</v>
      </c>
      <c r="I924">
        <f t="shared" ca="1" si="59"/>
        <v>22.799222130293796</v>
      </c>
    </row>
    <row r="925" spans="5:9" x14ac:dyDescent="0.75">
      <c r="E925">
        <v>919</v>
      </c>
      <c r="F925">
        <f t="shared" ca="1" si="56"/>
        <v>-0.99683442103490383</v>
      </c>
      <c r="G925">
        <f t="shared" ca="1" si="57"/>
        <v>84.419912323692429</v>
      </c>
      <c r="H925">
        <f t="shared" ca="1" si="58"/>
        <v>0</v>
      </c>
      <c r="I925">
        <f t="shared" ca="1" si="59"/>
        <v>0</v>
      </c>
    </row>
    <row r="926" spans="5:9" x14ac:dyDescent="0.75">
      <c r="E926">
        <v>920</v>
      </c>
      <c r="F926">
        <f t="shared" ca="1" si="56"/>
        <v>-1.1364630975743015</v>
      </c>
      <c r="G926">
        <f t="shared" ca="1" si="57"/>
        <v>82.095037206220979</v>
      </c>
      <c r="H926">
        <f t="shared" ca="1" si="58"/>
        <v>0</v>
      </c>
      <c r="I926">
        <f t="shared" ca="1" si="59"/>
        <v>0</v>
      </c>
    </row>
    <row r="927" spans="5:9" x14ac:dyDescent="0.75">
      <c r="E927">
        <v>921</v>
      </c>
      <c r="F927">
        <f t="shared" ca="1" si="56"/>
        <v>-1.4046258515752432</v>
      </c>
      <c r="G927">
        <f t="shared" ca="1" si="57"/>
        <v>77.808059290622154</v>
      </c>
      <c r="H927">
        <f t="shared" ca="1" si="58"/>
        <v>0</v>
      </c>
      <c r="I927">
        <f t="shared" ca="1" si="59"/>
        <v>0</v>
      </c>
    </row>
    <row r="928" spans="5:9" x14ac:dyDescent="0.75">
      <c r="E928">
        <v>922</v>
      </c>
      <c r="F928">
        <f t="shared" ca="1" si="56"/>
        <v>1.5119204701807702</v>
      </c>
      <c r="G928">
        <f t="shared" ca="1" si="57"/>
        <v>139.42882834916114</v>
      </c>
      <c r="H928">
        <f t="shared" ca="1" si="58"/>
        <v>39.428828349161137</v>
      </c>
      <c r="I928">
        <f t="shared" ca="1" si="59"/>
        <v>37.505861699309989</v>
      </c>
    </row>
    <row r="929" spans="5:9" x14ac:dyDescent="0.75">
      <c r="E929">
        <v>923</v>
      </c>
      <c r="F929">
        <f t="shared" ca="1" si="56"/>
        <v>1.082733834321765</v>
      </c>
      <c r="G929">
        <f t="shared" ca="1" si="57"/>
        <v>127.95990246523058</v>
      </c>
      <c r="H929">
        <f t="shared" ca="1" si="58"/>
        <v>27.959902465230584</v>
      </c>
      <c r="I929">
        <f t="shared" ca="1" si="59"/>
        <v>26.596281931097383</v>
      </c>
    </row>
    <row r="930" spans="5:9" x14ac:dyDescent="0.75">
      <c r="E930">
        <v>924</v>
      </c>
      <c r="F930">
        <f t="shared" ca="1" si="56"/>
        <v>0.30805109128229397</v>
      </c>
      <c r="G930">
        <f t="shared" ca="1" si="57"/>
        <v>109.59375623633375</v>
      </c>
      <c r="H930">
        <f t="shared" ca="1" si="58"/>
        <v>9.5937562363337463</v>
      </c>
      <c r="I930">
        <f t="shared" ca="1" si="59"/>
        <v>9.1258632234878849</v>
      </c>
    </row>
    <row r="931" spans="5:9" x14ac:dyDescent="0.75">
      <c r="E931">
        <v>925</v>
      </c>
      <c r="F931">
        <f t="shared" ca="1" si="56"/>
        <v>-1.1447399484853902</v>
      </c>
      <c r="G931">
        <f t="shared" ca="1" si="57"/>
        <v>81.959251947962727</v>
      </c>
      <c r="H931">
        <f t="shared" ca="1" si="58"/>
        <v>0</v>
      </c>
      <c r="I931">
        <f t="shared" ca="1" si="59"/>
        <v>0</v>
      </c>
    </row>
    <row r="932" spans="5:9" x14ac:dyDescent="0.75">
      <c r="E932">
        <v>926</v>
      </c>
      <c r="F932">
        <f t="shared" ca="1" si="56"/>
        <v>-0.90935380642762798</v>
      </c>
      <c r="G932">
        <f t="shared" ca="1" si="57"/>
        <v>85.909930245627237</v>
      </c>
      <c r="H932">
        <f t="shared" ca="1" si="58"/>
        <v>0</v>
      </c>
      <c r="I932">
        <f t="shared" ca="1" si="59"/>
        <v>0</v>
      </c>
    </row>
    <row r="933" spans="5:9" x14ac:dyDescent="0.75">
      <c r="E933">
        <v>927</v>
      </c>
      <c r="F933">
        <f t="shared" ca="1" si="56"/>
        <v>0.25584466004574674</v>
      </c>
      <c r="G933">
        <f t="shared" ca="1" si="57"/>
        <v>108.4554096994753</v>
      </c>
      <c r="H933">
        <f t="shared" ca="1" si="58"/>
        <v>8.4554096994752967</v>
      </c>
      <c r="I933">
        <f t="shared" ca="1" si="59"/>
        <v>8.0430345023496415</v>
      </c>
    </row>
    <row r="934" spans="5:9" x14ac:dyDescent="0.75">
      <c r="E934">
        <v>928</v>
      </c>
      <c r="F934">
        <f t="shared" ca="1" si="56"/>
        <v>0.2053422147465799</v>
      </c>
      <c r="G934">
        <f t="shared" ca="1" si="57"/>
        <v>107.36547074484055</v>
      </c>
      <c r="H934">
        <f t="shared" ca="1" si="58"/>
        <v>7.3654707448405503</v>
      </c>
      <c r="I934">
        <f t="shared" ca="1" si="59"/>
        <v>7.0062524977915217</v>
      </c>
    </row>
    <row r="935" spans="5:9" x14ac:dyDescent="0.75">
      <c r="E935">
        <v>929</v>
      </c>
      <c r="F935">
        <f t="shared" ca="1" si="56"/>
        <v>-0.59202340423676136</v>
      </c>
      <c r="G935">
        <f t="shared" ca="1" si="57"/>
        <v>91.539036081116436</v>
      </c>
      <c r="H935">
        <f t="shared" ca="1" si="58"/>
        <v>0</v>
      </c>
      <c r="I935">
        <f t="shared" ca="1" si="59"/>
        <v>0</v>
      </c>
    </row>
    <row r="936" spans="5:9" x14ac:dyDescent="0.75">
      <c r="E936">
        <v>930</v>
      </c>
      <c r="F936">
        <f t="shared" ca="1" si="56"/>
        <v>6.1977640121501407E-2</v>
      </c>
      <c r="G936">
        <f t="shared" ca="1" si="57"/>
        <v>104.33070543307205</v>
      </c>
      <c r="H936">
        <f t="shared" ca="1" si="58"/>
        <v>4.3307054330720547</v>
      </c>
      <c r="I936">
        <f t="shared" ca="1" si="59"/>
        <v>4.1194944367832464</v>
      </c>
    </row>
    <row r="937" spans="5:9" x14ac:dyDescent="0.75">
      <c r="E937">
        <v>931</v>
      </c>
      <c r="F937">
        <f t="shared" ca="1" si="56"/>
        <v>-0.70460943665527354</v>
      </c>
      <c r="G937">
        <f t="shared" ca="1" si="57"/>
        <v>89.50086577135977</v>
      </c>
      <c r="H937">
        <f t="shared" ca="1" si="58"/>
        <v>0</v>
      </c>
      <c r="I937">
        <f t="shared" ca="1" si="59"/>
        <v>0</v>
      </c>
    </row>
    <row r="938" spans="5:9" x14ac:dyDescent="0.75">
      <c r="E938">
        <v>932</v>
      </c>
      <c r="F938">
        <f t="shared" ca="1" si="56"/>
        <v>1.1259731126301504</v>
      </c>
      <c r="G938">
        <f t="shared" ca="1" si="57"/>
        <v>129.07127982148808</v>
      </c>
      <c r="H938">
        <f t="shared" ca="1" si="58"/>
        <v>29.071279821488076</v>
      </c>
      <c r="I938">
        <f t="shared" ca="1" si="59"/>
        <v>27.653456774093321</v>
      </c>
    </row>
    <row r="939" spans="5:9" x14ac:dyDescent="0.75">
      <c r="E939">
        <v>933</v>
      </c>
      <c r="F939">
        <f t="shared" ca="1" si="56"/>
        <v>-0.1534902305522495</v>
      </c>
      <c r="G939">
        <f t="shared" ca="1" si="57"/>
        <v>99.930219746705689</v>
      </c>
      <c r="H939">
        <f t="shared" ca="1" si="58"/>
        <v>0</v>
      </c>
      <c r="I939">
        <f t="shared" ca="1" si="59"/>
        <v>0</v>
      </c>
    </row>
    <row r="940" spans="5:9" x14ac:dyDescent="0.75">
      <c r="E940">
        <v>934</v>
      </c>
      <c r="F940">
        <f t="shared" ca="1" si="56"/>
        <v>0.60326478421967666</v>
      </c>
      <c r="G940">
        <f t="shared" ca="1" si="57"/>
        <v>116.25931180780553</v>
      </c>
      <c r="H940">
        <f t="shared" ca="1" si="58"/>
        <v>16.259311807805531</v>
      </c>
      <c r="I940">
        <f t="shared" ca="1" si="59"/>
        <v>15.466335813716519</v>
      </c>
    </row>
    <row r="941" spans="5:9" x14ac:dyDescent="0.75">
      <c r="E941">
        <v>935</v>
      </c>
      <c r="F941">
        <f t="shared" ca="1" si="56"/>
        <v>2.3041665659200752</v>
      </c>
      <c r="G941">
        <f t="shared" ca="1" si="57"/>
        <v>163.36770174884657</v>
      </c>
      <c r="H941">
        <f t="shared" ca="1" si="58"/>
        <v>63.367701748846571</v>
      </c>
      <c r="I941">
        <f t="shared" ca="1" si="59"/>
        <v>60.277222466488212</v>
      </c>
    </row>
    <row r="942" spans="5:9" x14ac:dyDescent="0.75">
      <c r="E942">
        <v>936</v>
      </c>
      <c r="F942">
        <f t="shared" ca="1" si="56"/>
        <v>-1.3251437380612077</v>
      </c>
      <c r="G942">
        <f t="shared" ca="1" si="57"/>
        <v>79.054812293117166</v>
      </c>
      <c r="H942">
        <f t="shared" ca="1" si="58"/>
        <v>0</v>
      </c>
      <c r="I942">
        <f t="shared" ca="1" si="59"/>
        <v>0</v>
      </c>
    </row>
    <row r="943" spans="5:9" x14ac:dyDescent="0.75">
      <c r="E943">
        <v>937</v>
      </c>
      <c r="F943">
        <f t="shared" ca="1" si="56"/>
        <v>0.67421327071057202</v>
      </c>
      <c r="G943">
        <f t="shared" ca="1" si="57"/>
        <v>117.92075606881185</v>
      </c>
      <c r="H943">
        <f t="shared" ca="1" si="58"/>
        <v>17.920756068811855</v>
      </c>
      <c r="I943">
        <f t="shared" ca="1" si="59"/>
        <v>17.04675048195358</v>
      </c>
    </row>
    <row r="944" spans="5:9" x14ac:dyDescent="0.75">
      <c r="E944">
        <v>938</v>
      </c>
      <c r="F944">
        <f t="shared" ca="1" si="56"/>
        <v>-1.7513362905140648</v>
      </c>
      <c r="G944">
        <f t="shared" ca="1" si="57"/>
        <v>72.595499379065799</v>
      </c>
      <c r="H944">
        <f t="shared" ca="1" si="58"/>
        <v>0</v>
      </c>
      <c r="I944">
        <f t="shared" ca="1" si="59"/>
        <v>0</v>
      </c>
    </row>
    <row r="945" spans="5:9" x14ac:dyDescent="0.75">
      <c r="E945">
        <v>939</v>
      </c>
      <c r="F945">
        <f t="shared" ca="1" si="56"/>
        <v>-2.5485097863523869</v>
      </c>
      <c r="G945">
        <f t="shared" ca="1" si="57"/>
        <v>61.896784318304853</v>
      </c>
      <c r="H945">
        <f t="shared" ca="1" si="58"/>
        <v>0</v>
      </c>
      <c r="I945">
        <f t="shared" ca="1" si="59"/>
        <v>0</v>
      </c>
    </row>
    <row r="946" spans="5:9" x14ac:dyDescent="0.75">
      <c r="E946">
        <v>940</v>
      </c>
      <c r="F946">
        <f t="shared" ca="1" si="56"/>
        <v>-1.3632422205768975</v>
      </c>
      <c r="G946">
        <f t="shared" ca="1" si="57"/>
        <v>78.454727750770502</v>
      </c>
      <c r="H946">
        <f t="shared" ca="1" si="58"/>
        <v>0</v>
      </c>
      <c r="I946">
        <f t="shared" ca="1" si="59"/>
        <v>0</v>
      </c>
    </row>
    <row r="947" spans="5:9" x14ac:dyDescent="0.75">
      <c r="E947">
        <v>941</v>
      </c>
      <c r="F947">
        <f t="shared" ca="1" si="56"/>
        <v>-0.53147361128299064</v>
      </c>
      <c r="G947">
        <f t="shared" ca="1" si="57"/>
        <v>92.654309344376713</v>
      </c>
      <c r="H947">
        <f t="shared" ca="1" si="58"/>
        <v>0</v>
      </c>
      <c r="I947">
        <f t="shared" ca="1" si="59"/>
        <v>0</v>
      </c>
    </row>
    <row r="948" spans="5:9" x14ac:dyDescent="0.75">
      <c r="E948">
        <v>942</v>
      </c>
      <c r="F948">
        <f t="shared" ca="1" si="56"/>
        <v>0.422620726916976</v>
      </c>
      <c r="G948">
        <f t="shared" ca="1" si="57"/>
        <v>112.1339715914452</v>
      </c>
      <c r="H948">
        <f t="shared" ca="1" si="58"/>
        <v>12.133971591445203</v>
      </c>
      <c r="I948">
        <f t="shared" ca="1" si="59"/>
        <v>11.542190813838433</v>
      </c>
    </row>
    <row r="949" spans="5:9" x14ac:dyDescent="0.75">
      <c r="E949">
        <v>943</v>
      </c>
      <c r="F949">
        <f t="shared" ca="1" si="56"/>
        <v>-1.0702492843968894</v>
      </c>
      <c r="G949">
        <f t="shared" ca="1" si="57"/>
        <v>83.189432713760795</v>
      </c>
      <c r="H949">
        <f t="shared" ca="1" si="58"/>
        <v>0</v>
      </c>
      <c r="I949">
        <f t="shared" ca="1" si="59"/>
        <v>0</v>
      </c>
    </row>
    <row r="950" spans="5:9" x14ac:dyDescent="0.75">
      <c r="E950">
        <v>944</v>
      </c>
      <c r="F950">
        <f t="shared" ca="1" si="56"/>
        <v>1.6839232759266456</v>
      </c>
      <c r="G950">
        <f t="shared" ca="1" si="57"/>
        <v>144.30871243230141</v>
      </c>
      <c r="H950">
        <f t="shared" ca="1" si="58"/>
        <v>44.308712432301405</v>
      </c>
      <c r="I950">
        <f t="shared" ca="1" si="59"/>
        <v>42.147751027345699</v>
      </c>
    </row>
    <row r="951" spans="5:9" x14ac:dyDescent="0.75">
      <c r="E951">
        <v>945</v>
      </c>
      <c r="F951">
        <f t="shared" ca="1" si="56"/>
        <v>0.20234318242913882</v>
      </c>
      <c r="G951">
        <f t="shared" ca="1" si="57"/>
        <v>107.30109155099075</v>
      </c>
      <c r="H951">
        <f t="shared" ca="1" si="58"/>
        <v>7.3010915509907477</v>
      </c>
      <c r="I951">
        <f t="shared" ca="1" si="59"/>
        <v>6.9450131142759544</v>
      </c>
    </row>
    <row r="952" spans="5:9" x14ac:dyDescent="0.75">
      <c r="E952">
        <v>946</v>
      </c>
      <c r="F952">
        <f t="shared" ca="1" si="56"/>
        <v>0.40250251060505998</v>
      </c>
      <c r="G952">
        <f t="shared" ca="1" si="57"/>
        <v>111.68369098392567</v>
      </c>
      <c r="H952">
        <f t="shared" ca="1" si="58"/>
        <v>11.683690983925672</v>
      </c>
      <c r="I952">
        <f t="shared" ca="1" si="59"/>
        <v>11.113870650683799</v>
      </c>
    </row>
    <row r="953" spans="5:9" x14ac:dyDescent="0.75">
      <c r="E953">
        <v>947</v>
      </c>
      <c r="F953">
        <f t="shared" ca="1" si="56"/>
        <v>1.4833067660857638E-2</v>
      </c>
      <c r="G953">
        <f t="shared" ca="1" si="57"/>
        <v>103.35160332154985</v>
      </c>
      <c r="H953">
        <f t="shared" ca="1" si="58"/>
        <v>3.3516033215498453</v>
      </c>
      <c r="I953">
        <f t="shared" ca="1" si="59"/>
        <v>3.1881436987125409</v>
      </c>
    </row>
    <row r="954" spans="5:9" x14ac:dyDescent="0.75">
      <c r="E954">
        <v>948</v>
      </c>
      <c r="F954">
        <f t="shared" ca="1" si="56"/>
        <v>0.45612121592655674</v>
      </c>
      <c r="G954">
        <f t="shared" ca="1" si="57"/>
        <v>112.88780271912916</v>
      </c>
      <c r="H954">
        <f t="shared" ca="1" si="58"/>
        <v>12.887802719129155</v>
      </c>
      <c r="I954">
        <f t="shared" ca="1" si="59"/>
        <v>12.259257163595963</v>
      </c>
    </row>
    <row r="955" spans="5:9" x14ac:dyDescent="0.75">
      <c r="E955">
        <v>949</v>
      </c>
      <c r="F955">
        <f t="shared" ca="1" si="56"/>
        <v>0.44759795681340853</v>
      </c>
      <c r="G955">
        <f t="shared" ca="1" si="57"/>
        <v>112.69553224413804</v>
      </c>
      <c r="H955">
        <f t="shared" ca="1" si="58"/>
        <v>12.695532244138036</v>
      </c>
      <c r="I955">
        <f t="shared" ca="1" si="59"/>
        <v>12.076363830321682</v>
      </c>
    </row>
    <row r="956" spans="5:9" x14ac:dyDescent="0.75">
      <c r="E956">
        <v>950</v>
      </c>
      <c r="F956">
        <f t="shared" ca="1" si="56"/>
        <v>1.0405478911501449</v>
      </c>
      <c r="G956">
        <f t="shared" ca="1" si="57"/>
        <v>126.88482233499023</v>
      </c>
      <c r="H956">
        <f t="shared" ca="1" si="58"/>
        <v>26.884822334990233</v>
      </c>
      <c r="I956">
        <f t="shared" ca="1" si="59"/>
        <v>25.573634077516701</v>
      </c>
    </row>
    <row r="957" spans="5:9" x14ac:dyDescent="0.75">
      <c r="E957">
        <v>951</v>
      </c>
      <c r="F957">
        <f t="shared" ca="1" si="56"/>
        <v>0.64970833687592067</v>
      </c>
      <c r="G957">
        <f t="shared" ca="1" si="57"/>
        <v>117.34424190189662</v>
      </c>
      <c r="H957">
        <f t="shared" ca="1" si="58"/>
        <v>17.344241901896623</v>
      </c>
      <c r="I957">
        <f t="shared" ca="1" si="59"/>
        <v>16.498353242742294</v>
      </c>
    </row>
    <row r="958" spans="5:9" x14ac:dyDescent="0.75">
      <c r="E958">
        <v>952</v>
      </c>
      <c r="F958">
        <f t="shared" ca="1" si="56"/>
        <v>0.72304314170625683</v>
      </c>
      <c r="G958">
        <f t="shared" ca="1" si="57"/>
        <v>119.07800878253325</v>
      </c>
      <c r="H958">
        <f t="shared" ca="1" si="58"/>
        <v>19.078008782533246</v>
      </c>
      <c r="I958">
        <f t="shared" ca="1" si="59"/>
        <v>18.147563314828666</v>
      </c>
    </row>
    <row r="959" spans="5:9" x14ac:dyDescent="0.75">
      <c r="E959">
        <v>953</v>
      </c>
      <c r="F959">
        <f t="shared" ca="1" si="56"/>
        <v>0.55263915857717238</v>
      </c>
      <c r="G959">
        <f t="shared" ca="1" si="57"/>
        <v>115.08811101146688</v>
      </c>
      <c r="H959">
        <f t="shared" ca="1" si="58"/>
        <v>15.088111011466879</v>
      </c>
      <c r="I959">
        <f t="shared" ca="1" si="59"/>
        <v>14.352255154240526</v>
      </c>
    </row>
    <row r="960" spans="5:9" x14ac:dyDescent="0.75">
      <c r="E960">
        <v>954</v>
      </c>
      <c r="F960">
        <f t="shared" ca="1" si="56"/>
        <v>0.47173947865119331</v>
      </c>
      <c r="G960">
        <f t="shared" ca="1" si="57"/>
        <v>113.24097629999581</v>
      </c>
      <c r="H960">
        <f t="shared" ca="1" si="58"/>
        <v>13.240976299995808</v>
      </c>
      <c r="I960">
        <f t="shared" ca="1" si="59"/>
        <v>12.595206265672605</v>
      </c>
    </row>
    <row r="961" spans="5:9" x14ac:dyDescent="0.75">
      <c r="E961">
        <v>955</v>
      </c>
      <c r="F961">
        <f t="shared" ca="1" si="56"/>
        <v>-0.30967820146172387</v>
      </c>
      <c r="G961">
        <f t="shared" ca="1" si="57"/>
        <v>96.856891688558576</v>
      </c>
      <c r="H961">
        <f t="shared" ca="1" si="58"/>
        <v>0</v>
      </c>
      <c r="I961">
        <f t="shared" ca="1" si="59"/>
        <v>0</v>
      </c>
    </row>
    <row r="962" spans="5:9" x14ac:dyDescent="0.75">
      <c r="E962">
        <v>956</v>
      </c>
      <c r="F962">
        <f t="shared" ca="1" si="56"/>
        <v>-1.9322989971837674</v>
      </c>
      <c r="G962">
        <f t="shared" ca="1" si="57"/>
        <v>70.015061735305196</v>
      </c>
      <c r="H962">
        <f t="shared" ca="1" si="58"/>
        <v>0</v>
      </c>
      <c r="I962">
        <f t="shared" ca="1" si="59"/>
        <v>0</v>
      </c>
    </row>
    <row r="963" spans="5:9" x14ac:dyDescent="0.75">
      <c r="E963">
        <v>957</v>
      </c>
      <c r="F963">
        <f t="shared" ca="1" si="56"/>
        <v>-1.0519604782657594</v>
      </c>
      <c r="G963">
        <f t="shared" ca="1" si="57"/>
        <v>83.494276979058341</v>
      </c>
      <c r="H963">
        <f t="shared" ca="1" si="58"/>
        <v>0</v>
      </c>
      <c r="I963">
        <f t="shared" ca="1" si="59"/>
        <v>0</v>
      </c>
    </row>
    <row r="964" spans="5:9" x14ac:dyDescent="0.75">
      <c r="E964">
        <v>958</v>
      </c>
      <c r="F964">
        <f t="shared" ca="1" si="56"/>
        <v>-0.92514680401426053</v>
      </c>
      <c r="G964">
        <f t="shared" ca="1" si="57"/>
        <v>85.639003281556342</v>
      </c>
      <c r="H964">
        <f t="shared" ca="1" si="58"/>
        <v>0</v>
      </c>
      <c r="I964">
        <f t="shared" ca="1" si="59"/>
        <v>0</v>
      </c>
    </row>
    <row r="965" spans="5:9" x14ac:dyDescent="0.75">
      <c r="E965">
        <v>959</v>
      </c>
      <c r="F965">
        <f t="shared" ca="1" si="56"/>
        <v>-1.1913332829004735</v>
      </c>
      <c r="G965">
        <f t="shared" ca="1" si="57"/>
        <v>81.199048523492195</v>
      </c>
      <c r="H965">
        <f t="shared" ca="1" si="58"/>
        <v>0</v>
      </c>
      <c r="I965">
        <f t="shared" ca="1" si="59"/>
        <v>0</v>
      </c>
    </row>
    <row r="966" spans="5:9" x14ac:dyDescent="0.75">
      <c r="E966">
        <v>960</v>
      </c>
      <c r="F966">
        <f t="shared" ca="1" si="56"/>
        <v>0.40016557776418593</v>
      </c>
      <c r="G966">
        <f t="shared" ca="1" si="57"/>
        <v>111.63150372363788</v>
      </c>
      <c r="H966">
        <f t="shared" ca="1" si="58"/>
        <v>11.631503723637877</v>
      </c>
      <c r="I966">
        <f t="shared" ca="1" si="59"/>
        <v>11.06422859311397</v>
      </c>
    </row>
    <row r="967" spans="5:9" x14ac:dyDescent="0.75">
      <c r="E967">
        <v>961</v>
      </c>
      <c r="F967">
        <f t="shared" ca="1" si="56"/>
        <v>0.90925465744357992</v>
      </c>
      <c r="G967">
        <f t="shared" ca="1" si="57"/>
        <v>123.5963628087347</v>
      </c>
      <c r="H967">
        <f t="shared" ca="1" si="58"/>
        <v>23.596362808734696</v>
      </c>
      <c r="I967">
        <f t="shared" ca="1" si="59"/>
        <v>22.445554614862758</v>
      </c>
    </row>
    <row r="968" spans="5:9" x14ac:dyDescent="0.75">
      <c r="E968">
        <v>962</v>
      </c>
      <c r="F968">
        <f t="shared" ref="F968:F1006" ca="1" si="60">NORMINV(RAND(), 0,1)</f>
        <v>0.15565633358964132</v>
      </c>
      <c r="G968">
        <f t="shared" ref="G968:G1006" ca="1" si="61">$C$5*EXP(($C$6-0.5*$C$7^2)*$C$8+$C$7*SQRT($C$8)*F968)</f>
        <v>106.30384465969304</v>
      </c>
      <c r="H968">
        <f t="shared" ref="H968:H1006" ca="1" si="62">MAX(G968-$C$9,0)</f>
        <v>6.3038446596930413</v>
      </c>
      <c r="I968">
        <f t="shared" ref="I968:I1006" ca="1" si="63">EXP(-$C$6*$C$8)*H968</f>
        <v>5.9964025277817115</v>
      </c>
    </row>
    <row r="969" spans="5:9" x14ac:dyDescent="0.75">
      <c r="E969">
        <v>963</v>
      </c>
      <c r="F969">
        <f t="shared" ca="1" si="60"/>
        <v>-2.0615875228383351</v>
      </c>
      <c r="G969">
        <f t="shared" ca="1" si="61"/>
        <v>68.227839230581992</v>
      </c>
      <c r="H969">
        <f t="shared" ca="1" si="62"/>
        <v>0</v>
      </c>
      <c r="I969">
        <f t="shared" ca="1" si="63"/>
        <v>0</v>
      </c>
    </row>
    <row r="970" spans="5:9" x14ac:dyDescent="0.75">
      <c r="E970">
        <v>964</v>
      </c>
      <c r="F970">
        <f t="shared" ca="1" si="60"/>
        <v>-0.210574832683392</v>
      </c>
      <c r="G970">
        <f t="shared" ca="1" si="61"/>
        <v>98.795812420868501</v>
      </c>
      <c r="H970">
        <f t="shared" ca="1" si="62"/>
        <v>0</v>
      </c>
      <c r="I970">
        <f t="shared" ca="1" si="63"/>
        <v>0</v>
      </c>
    </row>
    <row r="971" spans="5:9" x14ac:dyDescent="0.75">
      <c r="E971">
        <v>965</v>
      </c>
      <c r="F971">
        <f t="shared" ca="1" si="60"/>
        <v>9.789406767143212E-2</v>
      </c>
      <c r="G971">
        <f t="shared" ca="1" si="61"/>
        <v>105.08284084520601</v>
      </c>
      <c r="H971">
        <f t="shared" ca="1" si="62"/>
        <v>5.0828408452060074</v>
      </c>
      <c r="I971">
        <f t="shared" ca="1" si="63"/>
        <v>4.8349477720140337</v>
      </c>
    </row>
    <row r="972" spans="5:9" x14ac:dyDescent="0.75">
      <c r="E972">
        <v>966</v>
      </c>
      <c r="F972">
        <f t="shared" ca="1" si="60"/>
        <v>0.30301402082369172</v>
      </c>
      <c r="G972">
        <f t="shared" ca="1" si="61"/>
        <v>109.48340553569487</v>
      </c>
      <c r="H972">
        <f t="shared" ca="1" si="62"/>
        <v>9.483405535694871</v>
      </c>
      <c r="I972">
        <f t="shared" ca="1" si="63"/>
        <v>9.0208943900259175</v>
      </c>
    </row>
    <row r="973" spans="5:9" x14ac:dyDescent="0.75">
      <c r="E973">
        <v>967</v>
      </c>
      <c r="F973">
        <f t="shared" ca="1" si="60"/>
        <v>-1.0323935295146744</v>
      </c>
      <c r="G973">
        <f t="shared" ca="1" si="61"/>
        <v>83.82166280313848</v>
      </c>
      <c r="H973">
        <f t="shared" ca="1" si="62"/>
        <v>0</v>
      </c>
      <c r="I973">
        <f t="shared" ca="1" si="63"/>
        <v>0</v>
      </c>
    </row>
    <row r="974" spans="5:9" x14ac:dyDescent="0.75">
      <c r="E974">
        <v>968</v>
      </c>
      <c r="F974">
        <f t="shared" ca="1" si="60"/>
        <v>0.93753624614110043</v>
      </c>
      <c r="G974">
        <f t="shared" ca="1" si="61"/>
        <v>124.2974440080459</v>
      </c>
      <c r="H974">
        <f t="shared" ca="1" si="62"/>
        <v>24.2974440080459</v>
      </c>
      <c r="I974">
        <f t="shared" ca="1" si="63"/>
        <v>23.112443680611825</v>
      </c>
    </row>
    <row r="975" spans="5:9" x14ac:dyDescent="0.75">
      <c r="E975">
        <v>969</v>
      </c>
      <c r="F975">
        <f t="shared" ca="1" si="60"/>
        <v>1.5674318519288069</v>
      </c>
      <c r="G975">
        <f t="shared" ca="1" si="61"/>
        <v>140.98543065815869</v>
      </c>
      <c r="H975">
        <f t="shared" ca="1" si="62"/>
        <v>40.985430658158691</v>
      </c>
      <c r="I975">
        <f t="shared" ca="1" si="63"/>
        <v>38.986547617874216</v>
      </c>
    </row>
    <row r="976" spans="5:9" x14ac:dyDescent="0.75">
      <c r="E976">
        <v>970</v>
      </c>
      <c r="F976">
        <f t="shared" ca="1" si="60"/>
        <v>-0.24153660972885085</v>
      </c>
      <c r="G976">
        <f t="shared" ca="1" si="61"/>
        <v>98.185923909499849</v>
      </c>
      <c r="H976">
        <f t="shared" ca="1" si="62"/>
        <v>0</v>
      </c>
      <c r="I976">
        <f t="shared" ca="1" si="63"/>
        <v>0</v>
      </c>
    </row>
    <row r="977" spans="5:9" x14ac:dyDescent="0.75">
      <c r="E977">
        <v>971</v>
      </c>
      <c r="F977">
        <f t="shared" ca="1" si="60"/>
        <v>0.47918052820804613</v>
      </c>
      <c r="G977">
        <f t="shared" ca="1" si="61"/>
        <v>113.40962810681691</v>
      </c>
      <c r="H977">
        <f t="shared" ca="1" si="62"/>
        <v>13.409628106816911</v>
      </c>
      <c r="I977">
        <f t="shared" ca="1" si="63"/>
        <v>12.755632826816049</v>
      </c>
    </row>
    <row r="978" spans="5:9" x14ac:dyDescent="0.75">
      <c r="E978">
        <v>972</v>
      </c>
      <c r="F978">
        <f t="shared" ca="1" si="60"/>
        <v>0.61060265692445492</v>
      </c>
      <c r="G978">
        <f t="shared" ca="1" si="61"/>
        <v>116.43005627343364</v>
      </c>
      <c r="H978">
        <f t="shared" ca="1" si="62"/>
        <v>16.430056273433635</v>
      </c>
      <c r="I978">
        <f t="shared" ca="1" si="63"/>
        <v>15.628752973492622</v>
      </c>
    </row>
    <row r="979" spans="5:9" x14ac:dyDescent="0.75">
      <c r="E979">
        <v>973</v>
      </c>
      <c r="F979">
        <f t="shared" ca="1" si="60"/>
        <v>-0.25100847011452188</v>
      </c>
      <c r="G979">
        <f t="shared" ca="1" si="61"/>
        <v>98.000099302922578</v>
      </c>
      <c r="H979">
        <f t="shared" ca="1" si="62"/>
        <v>0</v>
      </c>
      <c r="I979">
        <f t="shared" ca="1" si="63"/>
        <v>0</v>
      </c>
    </row>
    <row r="980" spans="5:9" x14ac:dyDescent="0.75">
      <c r="E980">
        <v>974</v>
      </c>
      <c r="F980">
        <f t="shared" ca="1" si="60"/>
        <v>1.2889165580585822</v>
      </c>
      <c r="G980">
        <f t="shared" ca="1" si="61"/>
        <v>133.34683257130561</v>
      </c>
      <c r="H980">
        <f t="shared" ca="1" si="62"/>
        <v>33.346832571305612</v>
      </c>
      <c r="I980">
        <f t="shared" ca="1" si="63"/>
        <v>31.720488355724701</v>
      </c>
    </row>
    <row r="981" spans="5:9" x14ac:dyDescent="0.75">
      <c r="E981">
        <v>975</v>
      </c>
      <c r="F981">
        <f t="shared" ca="1" si="60"/>
        <v>0.566741903904872</v>
      </c>
      <c r="G981">
        <f t="shared" ca="1" si="61"/>
        <v>115.41318089770928</v>
      </c>
      <c r="H981">
        <f t="shared" ca="1" si="62"/>
        <v>15.413180897709282</v>
      </c>
      <c r="I981">
        <f t="shared" ca="1" si="63"/>
        <v>14.661471195053398</v>
      </c>
    </row>
    <row r="982" spans="5:9" x14ac:dyDescent="0.75">
      <c r="E982">
        <v>976</v>
      </c>
      <c r="F982">
        <f t="shared" ca="1" si="60"/>
        <v>-0.1879972503390743</v>
      </c>
      <c r="G982">
        <f t="shared" ca="1" si="61"/>
        <v>99.242935274482377</v>
      </c>
      <c r="H982">
        <f t="shared" ca="1" si="62"/>
        <v>0</v>
      </c>
      <c r="I982">
        <f t="shared" ca="1" si="63"/>
        <v>0</v>
      </c>
    </row>
    <row r="983" spans="5:9" x14ac:dyDescent="0.75">
      <c r="E983">
        <v>977</v>
      </c>
      <c r="F983">
        <f t="shared" ca="1" si="60"/>
        <v>-1.2828309752033484</v>
      </c>
      <c r="G983">
        <f t="shared" ca="1" si="61"/>
        <v>79.726656547349776</v>
      </c>
      <c r="H983">
        <f t="shared" ca="1" si="62"/>
        <v>0</v>
      </c>
      <c r="I983">
        <f t="shared" ca="1" si="63"/>
        <v>0</v>
      </c>
    </row>
    <row r="984" spans="5:9" x14ac:dyDescent="0.75">
      <c r="E984">
        <v>978</v>
      </c>
      <c r="F984">
        <f t="shared" ca="1" si="60"/>
        <v>0.81373348385413213</v>
      </c>
      <c r="G984">
        <f t="shared" ca="1" si="61"/>
        <v>121.25756052984387</v>
      </c>
      <c r="H984">
        <f t="shared" ca="1" si="62"/>
        <v>21.257560529843872</v>
      </c>
      <c r="I984">
        <f t="shared" ca="1" si="63"/>
        <v>20.22081706909248</v>
      </c>
    </row>
    <row r="985" spans="5:9" x14ac:dyDescent="0.75">
      <c r="E985">
        <v>979</v>
      </c>
      <c r="F985">
        <f t="shared" ca="1" si="60"/>
        <v>0.11246811467600547</v>
      </c>
      <c r="G985">
        <f t="shared" ca="1" si="61"/>
        <v>105.38958412950367</v>
      </c>
      <c r="H985">
        <f t="shared" ca="1" si="62"/>
        <v>5.3895841295036746</v>
      </c>
      <c r="I985">
        <f t="shared" ca="1" si="63"/>
        <v>5.1267310098059617</v>
      </c>
    </row>
    <row r="986" spans="5:9" x14ac:dyDescent="0.75">
      <c r="E986">
        <v>980</v>
      </c>
      <c r="F986">
        <f t="shared" ca="1" si="60"/>
        <v>-0.3506360607499352</v>
      </c>
      <c r="G986">
        <f t="shared" ca="1" si="61"/>
        <v>96.066722283594871</v>
      </c>
      <c r="H986">
        <f t="shared" ca="1" si="62"/>
        <v>0</v>
      </c>
      <c r="I986">
        <f t="shared" ca="1" si="63"/>
        <v>0</v>
      </c>
    </row>
    <row r="987" spans="5:9" x14ac:dyDescent="0.75">
      <c r="E987">
        <v>981</v>
      </c>
      <c r="F987">
        <f t="shared" ca="1" si="60"/>
        <v>-0.71353898755596079</v>
      </c>
      <c r="G987">
        <f t="shared" ca="1" si="61"/>
        <v>89.341167909512222</v>
      </c>
      <c r="H987">
        <f t="shared" ca="1" si="62"/>
        <v>0</v>
      </c>
      <c r="I987">
        <f t="shared" ca="1" si="63"/>
        <v>0</v>
      </c>
    </row>
    <row r="988" spans="5:9" x14ac:dyDescent="0.75">
      <c r="E988">
        <v>982</v>
      </c>
      <c r="F988">
        <f t="shared" ca="1" si="60"/>
        <v>0.5426959614803033</v>
      </c>
      <c r="G988">
        <f t="shared" ca="1" si="61"/>
        <v>114.85946967514576</v>
      </c>
      <c r="H988">
        <f t="shared" ca="1" si="62"/>
        <v>14.85946967514576</v>
      </c>
      <c r="I988">
        <f t="shared" ca="1" si="63"/>
        <v>14.134764787474714</v>
      </c>
    </row>
    <row r="989" spans="5:9" x14ac:dyDescent="0.75">
      <c r="E989">
        <v>983</v>
      </c>
      <c r="F989">
        <f t="shared" ca="1" si="60"/>
        <v>-2.0511878875301774</v>
      </c>
      <c r="G989">
        <f t="shared" ca="1" si="61"/>
        <v>68.369895842237213</v>
      </c>
      <c r="H989">
        <f t="shared" ca="1" si="62"/>
        <v>0</v>
      </c>
      <c r="I989">
        <f t="shared" ca="1" si="63"/>
        <v>0</v>
      </c>
    </row>
    <row r="990" spans="5:9" x14ac:dyDescent="0.75">
      <c r="E990">
        <v>984</v>
      </c>
      <c r="F990">
        <f t="shared" ca="1" si="60"/>
        <v>-0.23167871950003405</v>
      </c>
      <c r="G990">
        <f t="shared" ca="1" si="61"/>
        <v>98.379696077190687</v>
      </c>
      <c r="H990">
        <f t="shared" ca="1" si="62"/>
        <v>0</v>
      </c>
      <c r="I990">
        <f t="shared" ca="1" si="63"/>
        <v>0</v>
      </c>
    </row>
    <row r="991" spans="5:9" x14ac:dyDescent="0.75">
      <c r="E991">
        <v>985</v>
      </c>
      <c r="F991">
        <f t="shared" ca="1" si="60"/>
        <v>-0.49208097369577425</v>
      </c>
      <c r="G991">
        <f t="shared" ca="1" si="61"/>
        <v>93.387172018727981</v>
      </c>
      <c r="H991">
        <f t="shared" ca="1" si="62"/>
        <v>0</v>
      </c>
      <c r="I991">
        <f t="shared" ca="1" si="63"/>
        <v>0</v>
      </c>
    </row>
    <row r="992" spans="5:9" x14ac:dyDescent="0.75">
      <c r="E992">
        <v>986</v>
      </c>
      <c r="F992">
        <f t="shared" ca="1" si="60"/>
        <v>0.18678357333446763</v>
      </c>
      <c r="G992">
        <f t="shared" ca="1" si="61"/>
        <v>106.96769795944385</v>
      </c>
      <c r="H992">
        <f t="shared" ca="1" si="62"/>
        <v>6.9676979594438535</v>
      </c>
      <c r="I992">
        <f t="shared" ca="1" si="63"/>
        <v>6.627879320056576</v>
      </c>
    </row>
    <row r="993" spans="5:9" x14ac:dyDescent="0.75">
      <c r="E993">
        <v>987</v>
      </c>
      <c r="F993">
        <f t="shared" ca="1" si="60"/>
        <v>8.5106733666154219E-2</v>
      </c>
      <c r="G993">
        <f t="shared" ca="1" si="61"/>
        <v>104.81443832993843</v>
      </c>
      <c r="H993">
        <f t="shared" ca="1" si="62"/>
        <v>4.8144383299384259</v>
      </c>
      <c r="I993">
        <f t="shared" ca="1" si="63"/>
        <v>4.5796354018815073</v>
      </c>
    </row>
    <row r="994" spans="5:9" x14ac:dyDescent="0.75">
      <c r="E994">
        <v>988</v>
      </c>
      <c r="F994">
        <f t="shared" ca="1" si="60"/>
        <v>0.84789134955270562</v>
      </c>
      <c r="G994">
        <f t="shared" ca="1" si="61"/>
        <v>122.08877644675067</v>
      </c>
      <c r="H994">
        <f t="shared" ca="1" si="62"/>
        <v>22.088776446750671</v>
      </c>
      <c r="I994">
        <f t="shared" ca="1" si="63"/>
        <v>21.011494107367568</v>
      </c>
    </row>
    <row r="995" spans="5:9" x14ac:dyDescent="0.75">
      <c r="E995">
        <v>989</v>
      </c>
      <c r="F995">
        <f t="shared" ca="1" si="60"/>
        <v>-1.7775798505781544E-2</v>
      </c>
      <c r="G995">
        <f t="shared" ca="1" si="61"/>
        <v>102.67976078503931</v>
      </c>
      <c r="H995">
        <f t="shared" ca="1" si="62"/>
        <v>2.6797607850393064</v>
      </c>
      <c r="I995">
        <f t="shared" ca="1" si="63"/>
        <v>2.5490673093525209</v>
      </c>
    </row>
    <row r="996" spans="5:9" x14ac:dyDescent="0.75">
      <c r="E996">
        <v>990</v>
      </c>
      <c r="F996">
        <f t="shared" ca="1" si="60"/>
        <v>0.88539835799801114</v>
      </c>
      <c r="G996">
        <f t="shared" ca="1" si="61"/>
        <v>123.00805703635295</v>
      </c>
      <c r="H996">
        <f t="shared" ca="1" si="62"/>
        <v>23.008057036352952</v>
      </c>
      <c r="I996">
        <f t="shared" ca="1" si="63"/>
        <v>21.885940853569622</v>
      </c>
    </row>
    <row r="997" spans="5:9" x14ac:dyDescent="0.75">
      <c r="E997">
        <v>991</v>
      </c>
      <c r="F997">
        <f t="shared" ca="1" si="60"/>
        <v>0.88637982177239638</v>
      </c>
      <c r="G997">
        <f t="shared" ca="1" si="61"/>
        <v>123.03220499669798</v>
      </c>
      <c r="H997">
        <f t="shared" ca="1" si="62"/>
        <v>23.032204996697985</v>
      </c>
      <c r="I997">
        <f t="shared" ca="1" si="63"/>
        <v>21.908911103991493</v>
      </c>
    </row>
    <row r="998" spans="5:9" x14ac:dyDescent="0.75">
      <c r="E998">
        <v>992</v>
      </c>
      <c r="F998">
        <f t="shared" ca="1" si="60"/>
        <v>-0.1814004863204412</v>
      </c>
      <c r="G998">
        <f t="shared" ca="1" si="61"/>
        <v>99.373958133068882</v>
      </c>
      <c r="H998">
        <f t="shared" ca="1" si="62"/>
        <v>0</v>
      </c>
      <c r="I998">
        <f t="shared" ca="1" si="63"/>
        <v>0</v>
      </c>
    </row>
    <row r="999" spans="5:9" x14ac:dyDescent="0.75">
      <c r="E999">
        <v>993</v>
      </c>
      <c r="F999">
        <f t="shared" ca="1" si="60"/>
        <v>0.99610507755225963</v>
      </c>
      <c r="G999">
        <f t="shared" ca="1" si="61"/>
        <v>125.76199618138975</v>
      </c>
      <c r="H999">
        <f t="shared" ca="1" si="62"/>
        <v>25.761996181389748</v>
      </c>
      <c r="I999">
        <f t="shared" ca="1" si="63"/>
        <v>24.505568801612963</v>
      </c>
    </row>
    <row r="1000" spans="5:9" x14ac:dyDescent="0.75">
      <c r="E1000">
        <v>994</v>
      </c>
      <c r="F1000">
        <f t="shared" ca="1" si="60"/>
        <v>-0.29356059980700433</v>
      </c>
      <c r="G1000">
        <f t="shared" ca="1" si="61"/>
        <v>97.169615613278353</v>
      </c>
      <c r="H1000">
        <f t="shared" ca="1" si="62"/>
        <v>0</v>
      </c>
      <c r="I1000">
        <f t="shared" ca="1" si="63"/>
        <v>0</v>
      </c>
    </row>
    <row r="1001" spans="5:9" x14ac:dyDescent="0.75">
      <c r="E1001">
        <v>995</v>
      </c>
      <c r="F1001">
        <f t="shared" ca="1" si="60"/>
        <v>0.42366429040893971</v>
      </c>
      <c r="G1001">
        <f t="shared" ca="1" si="61"/>
        <v>112.15737781774091</v>
      </c>
      <c r="H1001">
        <f t="shared" ca="1" si="62"/>
        <v>12.157377817740908</v>
      </c>
      <c r="I1001">
        <f t="shared" ca="1" si="63"/>
        <v>11.56445550500743</v>
      </c>
    </row>
    <row r="1002" spans="5:9" x14ac:dyDescent="0.75">
      <c r="E1002">
        <v>996</v>
      </c>
      <c r="F1002">
        <f t="shared" ca="1" si="60"/>
        <v>-0.44717269473894489</v>
      </c>
      <c r="G1002">
        <f t="shared" ca="1" si="61"/>
        <v>94.229721533954361</v>
      </c>
      <c r="H1002">
        <f t="shared" ca="1" si="62"/>
        <v>0</v>
      </c>
      <c r="I1002">
        <f t="shared" ca="1" si="63"/>
        <v>0</v>
      </c>
    </row>
    <row r="1003" spans="5:9" x14ac:dyDescent="0.75">
      <c r="E1003">
        <v>997</v>
      </c>
      <c r="F1003">
        <f t="shared" ca="1" si="60"/>
        <v>-0.13845333234672974</v>
      </c>
      <c r="G1003">
        <f t="shared" ca="1" si="61"/>
        <v>100.23120020951384</v>
      </c>
      <c r="H1003">
        <f t="shared" ca="1" si="62"/>
        <v>0.2312002095138439</v>
      </c>
      <c r="I1003">
        <f t="shared" ca="1" si="63"/>
        <v>0.21992444224029825</v>
      </c>
    </row>
    <row r="1004" spans="5:9" x14ac:dyDescent="0.75">
      <c r="E1004">
        <v>998</v>
      </c>
      <c r="F1004">
        <f t="shared" ca="1" si="60"/>
        <v>-0.27892429832940435</v>
      </c>
      <c r="G1004">
        <f t="shared" ca="1" si="61"/>
        <v>97.454473093581569</v>
      </c>
      <c r="H1004">
        <f t="shared" ca="1" si="62"/>
        <v>0</v>
      </c>
      <c r="I1004">
        <f t="shared" ca="1" si="63"/>
        <v>0</v>
      </c>
    </row>
    <row r="1005" spans="5:9" x14ac:dyDescent="0.75">
      <c r="E1005">
        <v>999</v>
      </c>
      <c r="F1005">
        <f t="shared" ca="1" si="60"/>
        <v>1.2073743633242064</v>
      </c>
      <c r="G1005">
        <f t="shared" ca="1" si="61"/>
        <v>131.18979069439254</v>
      </c>
      <c r="H1005">
        <f t="shared" ca="1" si="62"/>
        <v>31.189790694392542</v>
      </c>
      <c r="I1005">
        <f t="shared" ca="1" si="63"/>
        <v>29.668646652524743</v>
      </c>
    </row>
    <row r="1006" spans="5:9" x14ac:dyDescent="0.75">
      <c r="E1006">
        <v>1000</v>
      </c>
      <c r="F1006">
        <f t="shared" ca="1" si="60"/>
        <v>-1.2118600751242974</v>
      </c>
      <c r="G1006">
        <f t="shared" ca="1" si="61"/>
        <v>80.866380651589026</v>
      </c>
      <c r="H1006">
        <f t="shared" ca="1" si="62"/>
        <v>0</v>
      </c>
      <c r="I1006">
        <f t="shared" ca="1" si="63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ECA15-D135-4D35-B82F-335C97EB3BC9}">
  <sheetPr codeName="Hoja2"/>
  <dimension ref="B3:V1005"/>
  <sheetViews>
    <sheetView topLeftCell="R1" workbookViewId="0">
      <selection activeCell="C5" sqref="C5"/>
    </sheetView>
  </sheetViews>
  <sheetFormatPr baseColWidth="10" defaultRowHeight="14.75" x14ac:dyDescent="0.75"/>
  <sheetData>
    <row r="3" spans="2:22" x14ac:dyDescent="0.75">
      <c r="B3" t="s">
        <v>0</v>
      </c>
      <c r="C3">
        <v>100</v>
      </c>
    </row>
    <row r="4" spans="2:22" x14ac:dyDescent="0.75">
      <c r="B4" t="s">
        <v>1</v>
      </c>
      <c r="C4">
        <v>0.02</v>
      </c>
    </row>
    <row r="5" spans="2:22" x14ac:dyDescent="0.75">
      <c r="B5" t="s">
        <v>2</v>
      </c>
      <c r="C5">
        <v>0.2</v>
      </c>
      <c r="E5" t="s">
        <v>20</v>
      </c>
      <c r="F5">
        <v>0</v>
      </c>
      <c r="G5">
        <f>F5+$C$10</f>
        <v>0.1</v>
      </c>
      <c r="H5">
        <f t="shared" ref="H5:O5" si="0">G5+$C$10</f>
        <v>0.2</v>
      </c>
      <c r="I5">
        <f t="shared" si="0"/>
        <v>0.30000000000000004</v>
      </c>
      <c r="J5">
        <f t="shared" si="0"/>
        <v>0.4</v>
      </c>
      <c r="K5">
        <f t="shared" si="0"/>
        <v>0.5</v>
      </c>
      <c r="L5">
        <f t="shared" si="0"/>
        <v>0.6</v>
      </c>
      <c r="M5">
        <f t="shared" si="0"/>
        <v>0.7</v>
      </c>
      <c r="N5">
        <f>M5+$C$10</f>
        <v>0.79999999999999993</v>
      </c>
      <c r="O5">
        <f t="shared" si="0"/>
        <v>0.89999999999999991</v>
      </c>
      <c r="P5">
        <f>O5+$C$10</f>
        <v>0.99999999999999989</v>
      </c>
      <c r="Q5" t="s">
        <v>21</v>
      </c>
      <c r="R5" t="s">
        <v>22</v>
      </c>
      <c r="S5" t="s">
        <v>23</v>
      </c>
    </row>
    <row r="6" spans="2:22" x14ac:dyDescent="0.75">
      <c r="B6" t="s">
        <v>3</v>
      </c>
      <c r="C6">
        <v>1</v>
      </c>
      <c r="E6">
        <v>1</v>
      </c>
      <c r="F6">
        <v>100</v>
      </c>
      <c r="G6">
        <f ca="1">F6*EXP(($C$4-0.5*$C$5^2)*$C$10+$C$5*SQRT($C$10)*NORMINV(RAND(),0,1))</f>
        <v>108.24718223111869</v>
      </c>
      <c r="H6">
        <f t="shared" ref="H6:P6" ca="1" si="1">G6*EXP(($C$4-0.5*$C$5^2)*$C$10+$C$5*SQRT($C$10)*NORMINV(RAND(),0,1))</f>
        <v>111.60682438135102</v>
      </c>
      <c r="I6">
        <f t="shared" ca="1" si="1"/>
        <v>118.6793967888152</v>
      </c>
      <c r="J6">
        <f t="shared" ca="1" si="1"/>
        <v>124.785468728805</v>
      </c>
      <c r="K6">
        <f t="shared" ca="1" si="1"/>
        <v>122.85594682416617</v>
      </c>
      <c r="L6">
        <f t="shared" ca="1" si="1"/>
        <v>119.09776703455766</v>
      </c>
      <c r="M6">
        <f t="shared" ca="1" si="1"/>
        <v>118.14018754399291</v>
      </c>
      <c r="N6">
        <f t="shared" ca="1" si="1"/>
        <v>123.28667011045565</v>
      </c>
      <c r="O6">
        <f t="shared" ca="1" si="1"/>
        <v>117.65042318737132</v>
      </c>
      <c r="P6">
        <f t="shared" ca="1" si="1"/>
        <v>127.70959278650537</v>
      </c>
      <c r="Q6">
        <f ca="1">AVERAGE(F6:P6)</f>
        <v>117.45995087428537</v>
      </c>
      <c r="R6">
        <f ca="1">MAX(Q6-$C$7,0)</f>
        <v>17.459950874285369</v>
      </c>
      <c r="S6">
        <f ca="1">EXP(-$C$4*$C$6)*R6</f>
        <v>17.114220682975638</v>
      </c>
      <c r="U6" t="s">
        <v>24</v>
      </c>
    </row>
    <row r="7" spans="2:22" x14ac:dyDescent="0.75">
      <c r="B7" t="s">
        <v>4</v>
      </c>
      <c r="C7">
        <v>100</v>
      </c>
      <c r="E7">
        <v>2</v>
      </c>
      <c r="F7">
        <v>100</v>
      </c>
      <c r="G7">
        <f t="shared" ref="G7:J70" ca="1" si="2">F7*EXP(($C$4-0.5*$C$5^2)*$C$10+$C$5*SQRT($C$10)*NORMINV(RAND(),0,1))</f>
        <v>105.40647609925988</v>
      </c>
      <c r="H7">
        <f t="shared" ca="1" si="2"/>
        <v>95.165612156979265</v>
      </c>
      <c r="I7">
        <f t="shared" ca="1" si="2"/>
        <v>97.108956643845758</v>
      </c>
      <c r="J7">
        <f t="shared" ca="1" si="2"/>
        <v>87.567992492650404</v>
      </c>
      <c r="K7">
        <f t="shared" ref="K7:P7" ca="1" si="3">J7*EXP(($C$4-0.5*$C$5^2)*$C$10+$C$5*SQRT($C$10)*NORMINV(RAND(),0,1))</f>
        <v>88.86326363344935</v>
      </c>
      <c r="L7">
        <f t="shared" ca="1" si="3"/>
        <v>89.724842901057997</v>
      </c>
      <c r="M7">
        <f t="shared" ca="1" si="3"/>
        <v>96.178910484174025</v>
      </c>
      <c r="N7">
        <f t="shared" ca="1" si="3"/>
        <v>98.871140226780028</v>
      </c>
      <c r="O7">
        <f t="shared" ca="1" si="3"/>
        <v>102.91249605098471</v>
      </c>
      <c r="P7">
        <f t="shared" ca="1" si="3"/>
        <v>102.85975273308733</v>
      </c>
      <c r="Q7">
        <f t="shared" ref="Q7:Q70" ca="1" si="4">AVERAGE(F7:P7)</f>
        <v>96.787222129297149</v>
      </c>
      <c r="R7">
        <f t="shared" ref="R7:R70" ca="1" si="5">MAX(Q7-$C$7,0)</f>
        <v>0</v>
      </c>
      <c r="S7">
        <f t="shared" ref="S7:S70" ca="1" si="6">EXP(-$C$4*$C$6)*R7</f>
        <v>0</v>
      </c>
      <c r="U7">
        <f ca="1">AVERAGE(S6:S1005)</f>
        <v>5.0101355541282961</v>
      </c>
    </row>
    <row r="8" spans="2:22" x14ac:dyDescent="0.75">
      <c r="B8" t="s">
        <v>5</v>
      </c>
      <c r="C8">
        <v>0</v>
      </c>
      <c r="E8">
        <v>3</v>
      </c>
      <c r="F8">
        <v>100</v>
      </c>
      <c r="G8">
        <f t="shared" ca="1" si="2"/>
        <v>100.65884227973226</v>
      </c>
      <c r="H8">
        <f t="shared" ca="1" si="2"/>
        <v>99.202177278446257</v>
      </c>
      <c r="I8">
        <f t="shared" ca="1" si="2"/>
        <v>88.609767234407755</v>
      </c>
      <c r="J8">
        <f t="shared" ca="1" si="2"/>
        <v>89.740560342441299</v>
      </c>
      <c r="K8">
        <f t="shared" ref="K8:P8" ca="1" si="7">J8*EXP(($C$4-0.5*$C$5^2)*$C$10+$C$5*SQRT($C$10)*NORMINV(RAND(),0,1))</f>
        <v>90.875768029547842</v>
      </c>
      <c r="L8">
        <f t="shared" ca="1" si="7"/>
        <v>87.220312090685397</v>
      </c>
      <c r="M8">
        <f t="shared" ca="1" si="7"/>
        <v>87.451461726918225</v>
      </c>
      <c r="N8">
        <f t="shared" ca="1" si="7"/>
        <v>89.466596692643421</v>
      </c>
      <c r="O8">
        <f t="shared" ca="1" si="7"/>
        <v>86.087901244945058</v>
      </c>
      <c r="P8">
        <f t="shared" ca="1" si="7"/>
        <v>78.617982988281753</v>
      </c>
      <c r="Q8">
        <f t="shared" ca="1" si="4"/>
        <v>90.721033628004477</v>
      </c>
      <c r="R8">
        <f t="shared" ca="1" si="5"/>
        <v>0</v>
      </c>
      <c r="S8">
        <f t="shared" ca="1" si="6"/>
        <v>0</v>
      </c>
    </row>
    <row r="9" spans="2:22" x14ac:dyDescent="0.75">
      <c r="E9">
        <v>4</v>
      </c>
      <c r="F9">
        <v>100</v>
      </c>
      <c r="G9">
        <f t="shared" ca="1" si="2"/>
        <v>93.57138088577473</v>
      </c>
      <c r="H9">
        <f t="shared" ca="1" si="2"/>
        <v>82.332990473541386</v>
      </c>
      <c r="I9">
        <f t="shared" ca="1" si="2"/>
        <v>83.345867850858824</v>
      </c>
      <c r="J9">
        <f t="shared" ca="1" si="2"/>
        <v>82.898933459815439</v>
      </c>
      <c r="K9">
        <f t="shared" ref="K9:P9" ca="1" si="8">J9*EXP(($C$4-0.5*$C$5^2)*$C$10+$C$5*SQRT($C$10)*NORMINV(RAND(),0,1))</f>
        <v>85.20386987312348</v>
      </c>
      <c r="L9">
        <f t="shared" ca="1" si="8"/>
        <v>89.530803779853727</v>
      </c>
      <c r="M9">
        <f t="shared" ca="1" si="8"/>
        <v>82.012159416660793</v>
      </c>
      <c r="N9">
        <f t="shared" ca="1" si="8"/>
        <v>78.667940483510151</v>
      </c>
      <c r="O9">
        <f t="shared" ca="1" si="8"/>
        <v>88.105171771276503</v>
      </c>
      <c r="P9">
        <f t="shared" ca="1" si="8"/>
        <v>93.124523924508864</v>
      </c>
      <c r="Q9">
        <f t="shared" ca="1" si="4"/>
        <v>87.163058356265807</v>
      </c>
      <c r="R9">
        <f t="shared" ca="1" si="5"/>
        <v>0</v>
      </c>
      <c r="S9">
        <f t="shared" ca="1" si="6"/>
        <v>0</v>
      </c>
      <c r="U9" t="s">
        <v>27</v>
      </c>
    </row>
    <row r="10" spans="2:22" x14ac:dyDescent="0.75">
      <c r="B10" t="s">
        <v>19</v>
      </c>
      <c r="C10">
        <v>0.1</v>
      </c>
      <c r="E10">
        <v>5</v>
      </c>
      <c r="F10">
        <v>100</v>
      </c>
      <c r="G10">
        <f t="shared" ca="1" si="2"/>
        <v>96.67446018360512</v>
      </c>
      <c r="H10">
        <f t="shared" ca="1" si="2"/>
        <v>93.983381385237792</v>
      </c>
      <c r="I10">
        <f t="shared" ca="1" si="2"/>
        <v>96.290401283870153</v>
      </c>
      <c r="J10">
        <f t="shared" ca="1" si="2"/>
        <v>93.085668465108739</v>
      </c>
      <c r="K10">
        <f t="shared" ref="K10:P10" ca="1" si="9">J10*EXP(($C$4-0.5*$C$5^2)*$C$10+$C$5*SQRT($C$10)*NORMINV(RAND(),0,1))</f>
        <v>88.718474566242691</v>
      </c>
      <c r="L10">
        <f t="shared" ca="1" si="9"/>
        <v>86.534453694553036</v>
      </c>
      <c r="M10">
        <f t="shared" ca="1" si="9"/>
        <v>98.746063520969656</v>
      </c>
      <c r="N10">
        <f t="shared" ca="1" si="9"/>
        <v>95.473635343826629</v>
      </c>
      <c r="O10">
        <f t="shared" ca="1" si="9"/>
        <v>97.068016165520035</v>
      </c>
      <c r="P10">
        <f t="shared" ca="1" si="9"/>
        <v>90.88450402913162</v>
      </c>
      <c r="Q10">
        <f t="shared" ca="1" si="4"/>
        <v>94.314459876187769</v>
      </c>
      <c r="R10">
        <f t="shared" ca="1" si="5"/>
        <v>0</v>
      </c>
      <c r="S10">
        <f t="shared" ca="1" si="6"/>
        <v>0</v>
      </c>
      <c r="U10" t="s">
        <v>25</v>
      </c>
      <c r="V10">
        <v>0.05</v>
      </c>
    </row>
    <row r="11" spans="2:22" x14ac:dyDescent="0.75">
      <c r="E11">
        <v>6</v>
      </c>
      <c r="F11">
        <v>100</v>
      </c>
      <c r="G11">
        <f t="shared" ca="1" si="2"/>
        <v>112.98543026961245</v>
      </c>
      <c r="H11">
        <f t="shared" ca="1" si="2"/>
        <v>112.10962739499901</v>
      </c>
      <c r="I11">
        <f t="shared" ca="1" si="2"/>
        <v>118.79051490404549</v>
      </c>
      <c r="J11">
        <f t="shared" ca="1" si="2"/>
        <v>108.07272606331428</v>
      </c>
      <c r="K11">
        <f t="shared" ref="K11:P11" ca="1" si="10">J11*EXP(($C$4-0.5*$C$5^2)*$C$10+$C$5*SQRT($C$10)*NORMINV(RAND(),0,1))</f>
        <v>104.61066464390726</v>
      </c>
      <c r="L11">
        <f t="shared" ca="1" si="10"/>
        <v>109.83309196956731</v>
      </c>
      <c r="M11">
        <f t="shared" ca="1" si="10"/>
        <v>100.24737433765141</v>
      </c>
      <c r="N11">
        <f t="shared" ca="1" si="10"/>
        <v>94.683423611979123</v>
      </c>
      <c r="O11">
        <f t="shared" ca="1" si="10"/>
        <v>94.138974051888511</v>
      </c>
      <c r="P11">
        <f t="shared" ca="1" si="10"/>
        <v>90.297986853818998</v>
      </c>
      <c r="Q11">
        <f t="shared" ca="1" si="4"/>
        <v>104.16089219098036</v>
      </c>
      <c r="R11">
        <f t="shared" ca="1" si="5"/>
        <v>4.1608921909803627</v>
      </c>
      <c r="S11">
        <f t="shared" ca="1" si="6"/>
        <v>4.0785010053713897</v>
      </c>
      <c r="U11" t="s">
        <v>26</v>
      </c>
      <c r="V11" t="e">
        <f>CONFIDENCE(V10,V9,1000)</f>
        <v>#NUM!</v>
      </c>
    </row>
    <row r="12" spans="2:22" x14ac:dyDescent="0.75">
      <c r="E12">
        <v>7</v>
      </c>
      <c r="F12">
        <v>100</v>
      </c>
      <c r="G12">
        <f t="shared" ca="1" si="2"/>
        <v>106.60274360280413</v>
      </c>
      <c r="H12">
        <f t="shared" ca="1" si="2"/>
        <v>104.16511056154876</v>
      </c>
      <c r="I12">
        <f t="shared" ca="1" si="2"/>
        <v>94.529390074285857</v>
      </c>
      <c r="J12">
        <f t="shared" ca="1" si="2"/>
        <v>101.14775992169332</v>
      </c>
      <c r="K12">
        <f t="shared" ref="K12:P12" ca="1" si="11">J12*EXP(($C$4-0.5*$C$5^2)*$C$10+$C$5*SQRT($C$10)*NORMINV(RAND(),0,1))</f>
        <v>99.75262625087008</v>
      </c>
      <c r="L12">
        <f t="shared" ca="1" si="11"/>
        <v>105.18846603892479</v>
      </c>
      <c r="M12">
        <f t="shared" ca="1" si="11"/>
        <v>106.46554610182991</v>
      </c>
      <c r="N12">
        <f t="shared" ca="1" si="11"/>
        <v>99.806553536764909</v>
      </c>
      <c r="O12">
        <f t="shared" ca="1" si="11"/>
        <v>101.31611225250253</v>
      </c>
      <c r="P12">
        <f t="shared" ca="1" si="11"/>
        <v>97.480539475323766</v>
      </c>
      <c r="Q12">
        <f t="shared" ca="1" si="4"/>
        <v>101.49589525604982</v>
      </c>
      <c r="R12">
        <f t="shared" ca="1" si="5"/>
        <v>1.4958952560498204</v>
      </c>
      <c r="S12">
        <f t="shared" ca="1" si="6"/>
        <v>1.466274545385903</v>
      </c>
    </row>
    <row r="13" spans="2:22" x14ac:dyDescent="0.75">
      <c r="E13">
        <v>8</v>
      </c>
      <c r="F13">
        <v>100</v>
      </c>
      <c r="G13">
        <f t="shared" ca="1" si="2"/>
        <v>104.32541188198306</v>
      </c>
      <c r="H13">
        <f t="shared" ca="1" si="2"/>
        <v>99.238108641198295</v>
      </c>
      <c r="I13">
        <f t="shared" ca="1" si="2"/>
        <v>104.78171499579712</v>
      </c>
      <c r="J13">
        <f t="shared" ca="1" si="2"/>
        <v>104.48248953975636</v>
      </c>
      <c r="K13">
        <f t="shared" ref="K13:P13" ca="1" si="12">J13*EXP(($C$4-0.5*$C$5^2)*$C$10+$C$5*SQRT($C$10)*NORMINV(RAND(),0,1))</f>
        <v>108.98703711834493</v>
      </c>
      <c r="L13">
        <f t="shared" ca="1" si="12"/>
        <v>107.60022490332226</v>
      </c>
      <c r="M13">
        <f t="shared" ca="1" si="12"/>
        <v>110.97143977045751</v>
      </c>
      <c r="N13">
        <f t="shared" ca="1" si="12"/>
        <v>112.08373908182995</v>
      </c>
      <c r="O13">
        <f t="shared" ca="1" si="12"/>
        <v>115.52576105046622</v>
      </c>
      <c r="P13">
        <f t="shared" ca="1" si="12"/>
        <v>107.36096622027539</v>
      </c>
      <c r="Q13">
        <f t="shared" ca="1" si="4"/>
        <v>106.85062665485738</v>
      </c>
      <c r="R13">
        <f t="shared" ca="1" si="5"/>
        <v>6.8506266548573791</v>
      </c>
      <c r="S13">
        <f t="shared" ca="1" si="6"/>
        <v>6.7149751584110975</v>
      </c>
    </row>
    <row r="14" spans="2:22" x14ac:dyDescent="0.75">
      <c r="E14">
        <v>9</v>
      </c>
      <c r="F14">
        <v>100</v>
      </c>
      <c r="G14">
        <f t="shared" ca="1" si="2"/>
        <v>116.40772437264704</v>
      </c>
      <c r="H14">
        <f t="shared" ca="1" si="2"/>
        <v>107.07001651493503</v>
      </c>
      <c r="I14">
        <f t="shared" ca="1" si="2"/>
        <v>101.42461942929287</v>
      </c>
      <c r="J14">
        <f t="shared" ca="1" si="2"/>
        <v>105.73309881707765</v>
      </c>
      <c r="K14">
        <f t="shared" ref="K14:P14" ca="1" si="13">J14*EXP(($C$4-0.5*$C$5^2)*$C$10+$C$5*SQRT($C$10)*NORMINV(RAND(),0,1))</f>
        <v>92.891765982085857</v>
      </c>
      <c r="L14">
        <f t="shared" ca="1" si="13"/>
        <v>89.183527088191042</v>
      </c>
      <c r="M14">
        <f t="shared" ca="1" si="13"/>
        <v>101.3527855615629</v>
      </c>
      <c r="N14">
        <f t="shared" ca="1" si="13"/>
        <v>98.814261737884664</v>
      </c>
      <c r="O14">
        <f t="shared" ca="1" si="13"/>
        <v>91.177366146434949</v>
      </c>
      <c r="P14">
        <f t="shared" ca="1" si="13"/>
        <v>98.4833379177133</v>
      </c>
      <c r="Q14">
        <f t="shared" ca="1" si="4"/>
        <v>100.23077305162047</v>
      </c>
      <c r="R14">
        <f t="shared" ca="1" si="5"/>
        <v>0.23077305162047423</v>
      </c>
      <c r="S14">
        <f t="shared" ca="1" si="6"/>
        <v>0.2262034390333402</v>
      </c>
    </row>
    <row r="15" spans="2:22" x14ac:dyDescent="0.75">
      <c r="E15">
        <v>10</v>
      </c>
      <c r="F15">
        <v>100</v>
      </c>
      <c r="G15">
        <f t="shared" ca="1" si="2"/>
        <v>90.125816337980453</v>
      </c>
      <c r="H15">
        <f t="shared" ca="1" si="2"/>
        <v>88.071122575235648</v>
      </c>
      <c r="I15">
        <f t="shared" ca="1" si="2"/>
        <v>85.649538106999074</v>
      </c>
      <c r="J15">
        <f t="shared" ca="1" si="2"/>
        <v>81.367363813327785</v>
      </c>
      <c r="K15">
        <f t="shared" ref="K15:P15" ca="1" si="14">J15*EXP(($C$4-0.5*$C$5^2)*$C$10+$C$5*SQRT($C$10)*NORMINV(RAND(),0,1))</f>
        <v>84.788321479401517</v>
      </c>
      <c r="L15">
        <f t="shared" ca="1" si="14"/>
        <v>78.67339504192816</v>
      </c>
      <c r="M15">
        <f t="shared" ca="1" si="14"/>
        <v>75.331440293719609</v>
      </c>
      <c r="N15">
        <f t="shared" ca="1" si="14"/>
        <v>76.336511421250378</v>
      </c>
      <c r="O15">
        <f t="shared" ca="1" si="14"/>
        <v>80.806646946795908</v>
      </c>
      <c r="P15">
        <f t="shared" ca="1" si="14"/>
        <v>84.045055464194988</v>
      </c>
      <c r="Q15">
        <f t="shared" ca="1" si="4"/>
        <v>84.108655589166688</v>
      </c>
      <c r="R15">
        <f t="shared" ca="1" si="5"/>
        <v>0</v>
      </c>
      <c r="S15">
        <f t="shared" ca="1" si="6"/>
        <v>0</v>
      </c>
    </row>
    <row r="16" spans="2:22" x14ac:dyDescent="0.75">
      <c r="E16">
        <v>11</v>
      </c>
      <c r="F16">
        <v>100</v>
      </c>
      <c r="G16">
        <f t="shared" ca="1" si="2"/>
        <v>95.125849203424394</v>
      </c>
      <c r="H16">
        <f t="shared" ca="1" si="2"/>
        <v>92.508142804279757</v>
      </c>
      <c r="I16">
        <f t="shared" ca="1" si="2"/>
        <v>79.007595820115611</v>
      </c>
      <c r="J16">
        <f t="shared" ca="1" si="2"/>
        <v>73.819710586112123</v>
      </c>
      <c r="K16">
        <f t="shared" ref="K16:P16" ca="1" si="15">J16*EXP(($C$4-0.5*$C$5^2)*$C$10+$C$5*SQRT($C$10)*NORMINV(RAND(),0,1))</f>
        <v>71.359626510891445</v>
      </c>
      <c r="L16">
        <f t="shared" ca="1" si="15"/>
        <v>73.758707776623936</v>
      </c>
      <c r="M16">
        <f t="shared" ca="1" si="15"/>
        <v>77.332765215478332</v>
      </c>
      <c r="N16">
        <f t="shared" ca="1" si="15"/>
        <v>86.917039024257662</v>
      </c>
      <c r="O16">
        <f t="shared" ca="1" si="15"/>
        <v>85.177031189929977</v>
      </c>
      <c r="P16">
        <f t="shared" ca="1" si="15"/>
        <v>74.354191292889013</v>
      </c>
      <c r="Q16">
        <f t="shared" ca="1" si="4"/>
        <v>82.66915085672747</v>
      </c>
      <c r="R16">
        <f t="shared" ca="1" si="5"/>
        <v>0</v>
      </c>
      <c r="S16">
        <f t="shared" ca="1" si="6"/>
        <v>0</v>
      </c>
    </row>
    <row r="17" spans="5:19" x14ac:dyDescent="0.75">
      <c r="E17">
        <v>12</v>
      </c>
      <c r="F17">
        <v>100</v>
      </c>
      <c r="G17">
        <f t="shared" ca="1" si="2"/>
        <v>92.808388433293871</v>
      </c>
      <c r="H17">
        <f t="shared" ca="1" si="2"/>
        <v>92.578535193198022</v>
      </c>
      <c r="I17">
        <f t="shared" ca="1" si="2"/>
        <v>90.144186101522848</v>
      </c>
      <c r="J17">
        <f t="shared" ca="1" si="2"/>
        <v>100.92832356268219</v>
      </c>
      <c r="K17">
        <f t="shared" ref="K17:P17" ca="1" si="16">J17*EXP(($C$4-0.5*$C$5^2)*$C$10+$C$5*SQRT($C$10)*NORMINV(RAND(),0,1))</f>
        <v>96.857685811430557</v>
      </c>
      <c r="L17">
        <f t="shared" ca="1" si="16"/>
        <v>91.057663041894756</v>
      </c>
      <c r="M17">
        <f t="shared" ca="1" si="16"/>
        <v>92.196291179890622</v>
      </c>
      <c r="N17">
        <f t="shared" ca="1" si="16"/>
        <v>89.523278627658499</v>
      </c>
      <c r="O17">
        <f t="shared" ca="1" si="16"/>
        <v>95.224526089050073</v>
      </c>
      <c r="P17">
        <f t="shared" ca="1" si="16"/>
        <v>84.852331762299713</v>
      </c>
      <c r="Q17">
        <f t="shared" ca="1" si="4"/>
        <v>93.288291800265583</v>
      </c>
      <c r="R17">
        <f t="shared" ca="1" si="5"/>
        <v>0</v>
      </c>
      <c r="S17">
        <f t="shared" ca="1" si="6"/>
        <v>0</v>
      </c>
    </row>
    <row r="18" spans="5:19" x14ac:dyDescent="0.75">
      <c r="E18">
        <v>13</v>
      </c>
      <c r="F18">
        <v>100</v>
      </c>
      <c r="G18">
        <f t="shared" ca="1" si="2"/>
        <v>92.981077426992115</v>
      </c>
      <c r="H18">
        <f t="shared" ca="1" si="2"/>
        <v>100.91238370107695</v>
      </c>
      <c r="I18">
        <f t="shared" ca="1" si="2"/>
        <v>98.881282525350016</v>
      </c>
      <c r="J18">
        <f t="shared" ca="1" si="2"/>
        <v>101.11252111258183</v>
      </c>
      <c r="K18">
        <f t="shared" ref="K18:P18" ca="1" si="17">J18*EXP(($C$4-0.5*$C$5^2)*$C$10+$C$5*SQRT($C$10)*NORMINV(RAND(),0,1))</f>
        <v>101.94528121238193</v>
      </c>
      <c r="L18">
        <f t="shared" ca="1" si="17"/>
        <v>101.3946608538573</v>
      </c>
      <c r="M18">
        <f t="shared" ca="1" si="17"/>
        <v>92.387799068847173</v>
      </c>
      <c r="N18">
        <f t="shared" ca="1" si="17"/>
        <v>93.233559491499506</v>
      </c>
      <c r="O18">
        <f t="shared" ca="1" si="17"/>
        <v>85.926865308360092</v>
      </c>
      <c r="P18">
        <f t="shared" ca="1" si="17"/>
        <v>90.529585391596783</v>
      </c>
      <c r="Q18">
        <f t="shared" ca="1" si="4"/>
        <v>96.30045600841305</v>
      </c>
      <c r="R18">
        <f t="shared" ca="1" si="5"/>
        <v>0</v>
      </c>
      <c r="S18">
        <f t="shared" ca="1" si="6"/>
        <v>0</v>
      </c>
    </row>
    <row r="19" spans="5:19" x14ac:dyDescent="0.75">
      <c r="E19">
        <v>14</v>
      </c>
      <c r="F19">
        <v>100</v>
      </c>
      <c r="G19">
        <f t="shared" ca="1" si="2"/>
        <v>99.392603448061408</v>
      </c>
      <c r="H19">
        <f t="shared" ca="1" si="2"/>
        <v>105.32492640875951</v>
      </c>
      <c r="I19">
        <f t="shared" ca="1" si="2"/>
        <v>103.50965282084181</v>
      </c>
      <c r="J19">
        <f t="shared" ca="1" si="2"/>
        <v>99.428724966853707</v>
      </c>
      <c r="K19">
        <f t="shared" ref="K19:P19" ca="1" si="18">J19*EXP(($C$4-0.5*$C$5^2)*$C$10+$C$5*SQRT($C$10)*NORMINV(RAND(),0,1))</f>
        <v>94.340151767882162</v>
      </c>
      <c r="L19">
        <f t="shared" ca="1" si="18"/>
        <v>96.708257403884389</v>
      </c>
      <c r="M19">
        <f t="shared" ca="1" si="18"/>
        <v>95.609934518170675</v>
      </c>
      <c r="N19">
        <f t="shared" ca="1" si="18"/>
        <v>98.509213581585882</v>
      </c>
      <c r="O19">
        <f t="shared" ca="1" si="18"/>
        <v>111.31869328063067</v>
      </c>
      <c r="P19">
        <f t="shared" ca="1" si="18"/>
        <v>106.3410261364884</v>
      </c>
      <c r="Q19">
        <f t="shared" ca="1" si="4"/>
        <v>100.95301675755989</v>
      </c>
      <c r="R19">
        <f t="shared" ca="1" si="5"/>
        <v>0.95301675755989379</v>
      </c>
      <c r="S19">
        <f t="shared" ca="1" si="6"/>
        <v>0.93414576139931349</v>
      </c>
    </row>
    <row r="20" spans="5:19" x14ac:dyDescent="0.75">
      <c r="E20">
        <v>15</v>
      </c>
      <c r="F20">
        <v>100</v>
      </c>
      <c r="G20">
        <f t="shared" ca="1" si="2"/>
        <v>97.741824168941378</v>
      </c>
      <c r="H20">
        <f t="shared" ca="1" si="2"/>
        <v>105.48755416825732</v>
      </c>
      <c r="I20">
        <f t="shared" ca="1" si="2"/>
        <v>107.03685822745669</v>
      </c>
      <c r="J20">
        <f t="shared" ca="1" si="2"/>
        <v>98.175675921120941</v>
      </c>
      <c r="K20">
        <f t="shared" ref="K20:P20" ca="1" si="19">J20*EXP(($C$4-0.5*$C$5^2)*$C$10+$C$5*SQRT($C$10)*NORMINV(RAND(),0,1))</f>
        <v>96.346851888919076</v>
      </c>
      <c r="L20">
        <f t="shared" ca="1" si="19"/>
        <v>95.754756824768236</v>
      </c>
      <c r="M20">
        <f t="shared" ca="1" si="19"/>
        <v>97.479597336691654</v>
      </c>
      <c r="N20">
        <f t="shared" ca="1" si="19"/>
        <v>98.709894232018087</v>
      </c>
      <c r="O20">
        <f t="shared" ca="1" si="19"/>
        <v>98.242354352391118</v>
      </c>
      <c r="P20">
        <f t="shared" ca="1" si="19"/>
        <v>97.839942057298629</v>
      </c>
      <c r="Q20">
        <f t="shared" ca="1" si="4"/>
        <v>99.346846288896643</v>
      </c>
      <c r="R20">
        <f t="shared" ca="1" si="5"/>
        <v>0</v>
      </c>
      <c r="S20">
        <f t="shared" ca="1" si="6"/>
        <v>0</v>
      </c>
    </row>
    <row r="21" spans="5:19" x14ac:dyDescent="0.75">
      <c r="E21">
        <v>16</v>
      </c>
      <c r="F21">
        <v>100</v>
      </c>
      <c r="G21">
        <f t="shared" ca="1" si="2"/>
        <v>101.00112506193575</v>
      </c>
      <c r="H21">
        <f t="shared" ca="1" si="2"/>
        <v>100.7973867288318</v>
      </c>
      <c r="I21">
        <f t="shared" ca="1" si="2"/>
        <v>106.70697211681353</v>
      </c>
      <c r="J21">
        <f t="shared" ca="1" si="2"/>
        <v>111.72836378015209</v>
      </c>
      <c r="K21">
        <f t="shared" ref="K21:P21" ca="1" si="20">J21*EXP(($C$4-0.5*$C$5^2)*$C$10+$C$5*SQRT($C$10)*NORMINV(RAND(),0,1))</f>
        <v>113.56288807964992</v>
      </c>
      <c r="L21">
        <f t="shared" ca="1" si="20"/>
        <v>94.806367460664418</v>
      </c>
      <c r="M21">
        <f t="shared" ca="1" si="20"/>
        <v>95.742416069426326</v>
      </c>
      <c r="N21">
        <f t="shared" ca="1" si="20"/>
        <v>94.750728648398464</v>
      </c>
      <c r="O21">
        <f t="shared" ca="1" si="20"/>
        <v>99.119680255760741</v>
      </c>
      <c r="P21">
        <f t="shared" ca="1" si="20"/>
        <v>100.26379849001025</v>
      </c>
      <c r="Q21">
        <f t="shared" ca="1" si="4"/>
        <v>101.67997515378575</v>
      </c>
      <c r="R21">
        <f t="shared" ca="1" si="5"/>
        <v>1.6799751537857475</v>
      </c>
      <c r="S21">
        <f t="shared" ca="1" si="6"/>
        <v>1.6467094169291019</v>
      </c>
    </row>
    <row r="22" spans="5:19" x14ac:dyDescent="0.75">
      <c r="E22">
        <v>17</v>
      </c>
      <c r="F22">
        <v>100</v>
      </c>
      <c r="G22">
        <f t="shared" ca="1" si="2"/>
        <v>99.236804040462516</v>
      </c>
      <c r="H22">
        <f t="shared" ca="1" si="2"/>
        <v>104.84370821023204</v>
      </c>
      <c r="I22">
        <f t="shared" ca="1" si="2"/>
        <v>103.50285728941518</v>
      </c>
      <c r="J22">
        <f t="shared" ca="1" si="2"/>
        <v>102.64389973804903</v>
      </c>
      <c r="K22">
        <f t="shared" ref="K22:P22" ca="1" si="21">J22*EXP(($C$4-0.5*$C$5^2)*$C$10+$C$5*SQRT($C$10)*NORMINV(RAND(),0,1))</f>
        <v>105.31500521429933</v>
      </c>
      <c r="L22">
        <f t="shared" ca="1" si="21"/>
        <v>90.423346115841554</v>
      </c>
      <c r="M22">
        <f t="shared" ca="1" si="21"/>
        <v>82.523520590622255</v>
      </c>
      <c r="N22">
        <f t="shared" ca="1" si="21"/>
        <v>80.151317009732992</v>
      </c>
      <c r="O22">
        <f t="shared" ca="1" si="21"/>
        <v>71.122330726503947</v>
      </c>
      <c r="P22">
        <f t="shared" ca="1" si="21"/>
        <v>74.631497118900015</v>
      </c>
      <c r="Q22">
        <f t="shared" ca="1" si="4"/>
        <v>92.217662368550819</v>
      </c>
      <c r="R22">
        <f t="shared" ca="1" si="5"/>
        <v>0</v>
      </c>
      <c r="S22">
        <f t="shared" ca="1" si="6"/>
        <v>0</v>
      </c>
    </row>
    <row r="23" spans="5:19" x14ac:dyDescent="0.75">
      <c r="E23">
        <v>18</v>
      </c>
      <c r="F23">
        <v>100</v>
      </c>
      <c r="G23">
        <f t="shared" ca="1" si="2"/>
        <v>100.80784652225343</v>
      </c>
      <c r="H23">
        <f t="shared" ca="1" si="2"/>
        <v>98.29957889205933</v>
      </c>
      <c r="I23">
        <f t="shared" ca="1" si="2"/>
        <v>91.452808517655058</v>
      </c>
      <c r="J23">
        <f t="shared" ca="1" si="2"/>
        <v>97.893576463868555</v>
      </c>
      <c r="K23">
        <f t="shared" ref="K23:P23" ca="1" si="22">J23*EXP(($C$4-0.5*$C$5^2)*$C$10+$C$5*SQRT($C$10)*NORMINV(RAND(),0,1))</f>
        <v>103.28010552519329</v>
      </c>
      <c r="L23">
        <f t="shared" ca="1" si="22"/>
        <v>99.227463351936791</v>
      </c>
      <c r="M23">
        <f t="shared" ca="1" si="22"/>
        <v>96.989104549563521</v>
      </c>
      <c r="N23">
        <f t="shared" ca="1" si="22"/>
        <v>93.760647210877821</v>
      </c>
      <c r="O23">
        <f t="shared" ca="1" si="22"/>
        <v>98.586974170947286</v>
      </c>
      <c r="P23">
        <f t="shared" ca="1" si="22"/>
        <v>104.8018266188222</v>
      </c>
      <c r="Q23">
        <f t="shared" ca="1" si="4"/>
        <v>98.645448347561569</v>
      </c>
      <c r="R23">
        <f t="shared" ca="1" si="5"/>
        <v>0</v>
      </c>
      <c r="S23">
        <f t="shared" ca="1" si="6"/>
        <v>0</v>
      </c>
    </row>
    <row r="24" spans="5:19" x14ac:dyDescent="0.75">
      <c r="E24">
        <v>19</v>
      </c>
      <c r="F24">
        <v>100</v>
      </c>
      <c r="G24">
        <f t="shared" ca="1" si="2"/>
        <v>95.26857354665718</v>
      </c>
      <c r="H24">
        <f t="shared" ca="1" si="2"/>
        <v>93.897985717242392</v>
      </c>
      <c r="I24">
        <f t="shared" ca="1" si="2"/>
        <v>101.82031602053797</v>
      </c>
      <c r="J24">
        <f t="shared" ca="1" si="2"/>
        <v>105.15100094743973</v>
      </c>
      <c r="K24">
        <f t="shared" ref="K24:P24" ca="1" si="23">J24*EXP(($C$4-0.5*$C$5^2)*$C$10+$C$5*SQRT($C$10)*NORMINV(RAND(),0,1))</f>
        <v>107.46667577878887</v>
      </c>
      <c r="L24">
        <f t="shared" ca="1" si="23"/>
        <v>111.18972952330614</v>
      </c>
      <c r="M24">
        <f t="shared" ca="1" si="23"/>
        <v>114.0711472898207</v>
      </c>
      <c r="N24">
        <f t="shared" ca="1" si="23"/>
        <v>111.06527015004664</v>
      </c>
      <c r="O24">
        <f t="shared" ca="1" si="23"/>
        <v>103.62328933424837</v>
      </c>
      <c r="P24">
        <f t="shared" ca="1" si="23"/>
        <v>108.75573048872879</v>
      </c>
      <c r="Q24">
        <f t="shared" ca="1" si="4"/>
        <v>104.75542898152881</v>
      </c>
      <c r="R24">
        <f t="shared" ca="1" si="5"/>
        <v>4.7554289815288087</v>
      </c>
      <c r="S24">
        <f t="shared" ca="1" si="6"/>
        <v>4.6612651786990327</v>
      </c>
    </row>
    <row r="25" spans="5:19" x14ac:dyDescent="0.75">
      <c r="E25">
        <v>20</v>
      </c>
      <c r="F25">
        <v>100</v>
      </c>
      <c r="G25">
        <f t="shared" ca="1" si="2"/>
        <v>86.023108561971554</v>
      </c>
      <c r="H25">
        <f t="shared" ca="1" si="2"/>
        <v>90.21848761195497</v>
      </c>
      <c r="I25">
        <f t="shared" ca="1" si="2"/>
        <v>99.112074458036886</v>
      </c>
      <c r="J25">
        <f t="shared" ca="1" si="2"/>
        <v>99.670421410013006</v>
      </c>
      <c r="K25">
        <f t="shared" ref="K25:P25" ca="1" si="24">J25*EXP(($C$4-0.5*$C$5^2)*$C$10+$C$5*SQRT($C$10)*NORMINV(RAND(),0,1))</f>
        <v>98.736540751210981</v>
      </c>
      <c r="L25">
        <f t="shared" ca="1" si="24"/>
        <v>99.49407600649505</v>
      </c>
      <c r="M25">
        <f t="shared" ca="1" si="24"/>
        <v>104.7565398160442</v>
      </c>
      <c r="N25">
        <f t="shared" ca="1" si="24"/>
        <v>104.02956706023568</v>
      </c>
      <c r="O25">
        <f t="shared" ca="1" si="24"/>
        <v>115.33906732360163</v>
      </c>
      <c r="P25">
        <f t="shared" ca="1" si="24"/>
        <v>114.01472146863823</v>
      </c>
      <c r="Q25">
        <f t="shared" ca="1" si="4"/>
        <v>101.03587313347293</v>
      </c>
      <c r="R25">
        <f t="shared" ca="1" si="5"/>
        <v>1.0358731334729328</v>
      </c>
      <c r="S25">
        <f t="shared" ca="1" si="6"/>
        <v>1.01536147114428</v>
      </c>
    </row>
    <row r="26" spans="5:19" x14ac:dyDescent="0.75">
      <c r="E26">
        <v>21</v>
      </c>
      <c r="F26">
        <v>100</v>
      </c>
      <c r="G26">
        <f t="shared" ca="1" si="2"/>
        <v>97.556824054472258</v>
      </c>
      <c r="H26">
        <f t="shared" ca="1" si="2"/>
        <v>93.144179161073978</v>
      </c>
      <c r="I26">
        <f t="shared" ca="1" si="2"/>
        <v>93.754112059293078</v>
      </c>
      <c r="J26">
        <f t="shared" ca="1" si="2"/>
        <v>89.813129433070486</v>
      </c>
      <c r="K26">
        <f t="shared" ref="K26:P26" ca="1" si="25">J26*EXP(($C$4-0.5*$C$5^2)*$C$10+$C$5*SQRT($C$10)*NORMINV(RAND(),0,1))</f>
        <v>79.177501029197487</v>
      </c>
      <c r="L26">
        <f t="shared" ca="1" si="25"/>
        <v>77.66787496439548</v>
      </c>
      <c r="M26">
        <f t="shared" ca="1" si="25"/>
        <v>79.520077907450684</v>
      </c>
      <c r="N26">
        <f t="shared" ca="1" si="25"/>
        <v>92.679018673923409</v>
      </c>
      <c r="O26">
        <f t="shared" ca="1" si="25"/>
        <v>87.400167954870099</v>
      </c>
      <c r="P26">
        <f t="shared" ca="1" si="25"/>
        <v>89.899427154460142</v>
      </c>
      <c r="Q26">
        <f t="shared" ca="1" si="4"/>
        <v>89.146573853837012</v>
      </c>
      <c r="R26">
        <f t="shared" ca="1" si="5"/>
        <v>0</v>
      </c>
      <c r="S26">
        <f t="shared" ca="1" si="6"/>
        <v>0</v>
      </c>
    </row>
    <row r="27" spans="5:19" x14ac:dyDescent="0.75">
      <c r="E27">
        <v>22</v>
      </c>
      <c r="F27">
        <v>100</v>
      </c>
      <c r="G27">
        <f t="shared" ca="1" si="2"/>
        <v>97.471033364242288</v>
      </c>
      <c r="H27">
        <f t="shared" ca="1" si="2"/>
        <v>113.57633603932409</v>
      </c>
      <c r="I27">
        <f t="shared" ca="1" si="2"/>
        <v>107.60579435257927</v>
      </c>
      <c r="J27">
        <f t="shared" ca="1" si="2"/>
        <v>104.81614675508089</v>
      </c>
      <c r="K27">
        <f t="shared" ref="K27:P27" ca="1" si="26">J27*EXP(($C$4-0.5*$C$5^2)*$C$10+$C$5*SQRT($C$10)*NORMINV(RAND(),0,1))</f>
        <v>102.90167970911125</v>
      </c>
      <c r="L27">
        <f t="shared" ca="1" si="26"/>
        <v>96.100937950903358</v>
      </c>
      <c r="M27">
        <f t="shared" ca="1" si="26"/>
        <v>97.514710795789597</v>
      </c>
      <c r="N27">
        <f t="shared" ca="1" si="26"/>
        <v>98.377555711903753</v>
      </c>
      <c r="O27">
        <f t="shared" ca="1" si="26"/>
        <v>97.669643105094991</v>
      </c>
      <c r="P27">
        <f t="shared" ca="1" si="26"/>
        <v>104.78485705791863</v>
      </c>
      <c r="Q27">
        <f t="shared" ca="1" si="4"/>
        <v>101.89260862199529</v>
      </c>
      <c r="R27">
        <f t="shared" ca="1" si="5"/>
        <v>1.8926086219952936</v>
      </c>
      <c r="S27">
        <f t="shared" ca="1" si="6"/>
        <v>1.8551324603687129</v>
      </c>
    </row>
    <row r="28" spans="5:19" x14ac:dyDescent="0.75">
      <c r="E28">
        <v>23</v>
      </c>
      <c r="F28">
        <v>100</v>
      </c>
      <c r="G28">
        <f t="shared" ca="1" si="2"/>
        <v>103.9760294782281</v>
      </c>
      <c r="H28">
        <f t="shared" ca="1" si="2"/>
        <v>89.967058554247316</v>
      </c>
      <c r="I28">
        <f t="shared" ca="1" si="2"/>
        <v>93.673962800820945</v>
      </c>
      <c r="J28">
        <f t="shared" ca="1" si="2"/>
        <v>90.563788855482727</v>
      </c>
      <c r="K28">
        <f t="shared" ref="K28:P28" ca="1" si="27">J28*EXP(($C$4-0.5*$C$5^2)*$C$10+$C$5*SQRT($C$10)*NORMINV(RAND(),0,1))</f>
        <v>87.358656540467564</v>
      </c>
      <c r="L28">
        <f t="shared" ca="1" si="27"/>
        <v>87.295648359590828</v>
      </c>
      <c r="M28">
        <f t="shared" ca="1" si="27"/>
        <v>77.660206398176911</v>
      </c>
      <c r="N28">
        <f t="shared" ca="1" si="27"/>
        <v>78.416728404250605</v>
      </c>
      <c r="O28">
        <f t="shared" ca="1" si="27"/>
        <v>70.558376830295487</v>
      </c>
      <c r="P28">
        <f t="shared" ca="1" si="27"/>
        <v>70.203556033940487</v>
      </c>
      <c r="Q28">
        <f t="shared" ca="1" si="4"/>
        <v>86.334001114136456</v>
      </c>
      <c r="R28">
        <f t="shared" ca="1" si="5"/>
        <v>0</v>
      </c>
      <c r="S28">
        <f t="shared" ca="1" si="6"/>
        <v>0</v>
      </c>
    </row>
    <row r="29" spans="5:19" x14ac:dyDescent="0.75">
      <c r="E29">
        <v>24</v>
      </c>
      <c r="F29">
        <v>100</v>
      </c>
      <c r="G29">
        <f t="shared" ca="1" si="2"/>
        <v>101.7650922515775</v>
      </c>
      <c r="H29">
        <f t="shared" ca="1" si="2"/>
        <v>103.24909046328266</v>
      </c>
      <c r="I29">
        <f t="shared" ca="1" si="2"/>
        <v>104.65843610761216</v>
      </c>
      <c r="J29">
        <f t="shared" ca="1" si="2"/>
        <v>114.67085432917621</v>
      </c>
      <c r="K29">
        <f t="shared" ref="K29:P29" ca="1" si="28">J29*EXP(($C$4-0.5*$C$5^2)*$C$10+$C$5*SQRT($C$10)*NORMINV(RAND(),0,1))</f>
        <v>111.21873276032306</v>
      </c>
      <c r="L29">
        <f t="shared" ca="1" si="28"/>
        <v>106.11570248631487</v>
      </c>
      <c r="M29">
        <f t="shared" ca="1" si="28"/>
        <v>103.67975251606249</v>
      </c>
      <c r="N29">
        <f t="shared" ca="1" si="28"/>
        <v>111.74561361714004</v>
      </c>
      <c r="O29">
        <f t="shared" ca="1" si="28"/>
        <v>124.97950942693396</v>
      </c>
      <c r="P29">
        <f t="shared" ca="1" si="28"/>
        <v>129.45675057232711</v>
      </c>
      <c r="Q29">
        <f t="shared" ca="1" si="4"/>
        <v>110.13995768461363</v>
      </c>
      <c r="R29">
        <f t="shared" ca="1" si="5"/>
        <v>10.139957684613634</v>
      </c>
      <c r="S29">
        <f t="shared" ca="1" si="6"/>
        <v>9.9391730698449212</v>
      </c>
    </row>
    <row r="30" spans="5:19" x14ac:dyDescent="0.75">
      <c r="E30">
        <v>25</v>
      </c>
      <c r="F30">
        <v>100</v>
      </c>
      <c r="G30">
        <f t="shared" ca="1" si="2"/>
        <v>111.44327720860079</v>
      </c>
      <c r="H30">
        <f t="shared" ca="1" si="2"/>
        <v>108.78552971010997</v>
      </c>
      <c r="I30">
        <f t="shared" ca="1" si="2"/>
        <v>111.81249300243802</v>
      </c>
      <c r="J30">
        <f t="shared" ca="1" si="2"/>
        <v>105.12874584977504</v>
      </c>
      <c r="K30">
        <f t="shared" ref="K30:P30" ca="1" si="29">J30*EXP(($C$4-0.5*$C$5^2)*$C$10+$C$5*SQRT($C$10)*NORMINV(RAND(),0,1))</f>
        <v>99.74252168248222</v>
      </c>
      <c r="L30">
        <f t="shared" ca="1" si="29"/>
        <v>98.953615487188387</v>
      </c>
      <c r="M30">
        <f t="shared" ca="1" si="29"/>
        <v>97.123228698942285</v>
      </c>
      <c r="N30">
        <f t="shared" ca="1" si="29"/>
        <v>93.356253994714336</v>
      </c>
      <c r="O30">
        <f t="shared" ca="1" si="29"/>
        <v>92.509088518354204</v>
      </c>
      <c r="P30">
        <f t="shared" ca="1" si="29"/>
        <v>89.127440225529313</v>
      </c>
      <c r="Q30">
        <f t="shared" ca="1" si="4"/>
        <v>100.72565403437585</v>
      </c>
      <c r="R30">
        <f t="shared" ca="1" si="5"/>
        <v>0.72565403437585019</v>
      </c>
      <c r="S30">
        <f t="shared" ca="1" si="6"/>
        <v>0.71128512177490288</v>
      </c>
    </row>
    <row r="31" spans="5:19" x14ac:dyDescent="0.75">
      <c r="E31">
        <v>26</v>
      </c>
      <c r="F31">
        <v>100</v>
      </c>
      <c r="G31">
        <f t="shared" ca="1" si="2"/>
        <v>102.78479871024047</v>
      </c>
      <c r="H31">
        <f t="shared" ca="1" si="2"/>
        <v>100.59211885290482</v>
      </c>
      <c r="I31">
        <f t="shared" ca="1" si="2"/>
        <v>96.036469629980772</v>
      </c>
      <c r="J31">
        <f t="shared" ca="1" si="2"/>
        <v>89.536960726133827</v>
      </c>
      <c r="K31">
        <f t="shared" ref="K31:P31" ca="1" si="30">J31*EXP(($C$4-0.5*$C$5^2)*$C$10+$C$5*SQRT($C$10)*NORMINV(RAND(),0,1))</f>
        <v>89.710991565347754</v>
      </c>
      <c r="L31">
        <f t="shared" ca="1" si="30"/>
        <v>94.744588515218794</v>
      </c>
      <c r="M31">
        <f t="shared" ca="1" si="30"/>
        <v>93.316380891003902</v>
      </c>
      <c r="N31">
        <f t="shared" ca="1" si="30"/>
        <v>106.0477612063417</v>
      </c>
      <c r="O31">
        <f t="shared" ca="1" si="30"/>
        <v>113.99802465424168</v>
      </c>
      <c r="P31">
        <f t="shared" ca="1" si="30"/>
        <v>117.89922632915599</v>
      </c>
      <c r="Q31">
        <f t="shared" ca="1" si="4"/>
        <v>100.42430191641543</v>
      </c>
      <c r="R31">
        <f t="shared" ca="1" si="5"/>
        <v>0.42430191641543047</v>
      </c>
      <c r="S31">
        <f t="shared" ca="1" si="6"/>
        <v>0.41590017555191872</v>
      </c>
    </row>
    <row r="32" spans="5:19" x14ac:dyDescent="0.75">
      <c r="E32">
        <v>27</v>
      </c>
      <c r="F32">
        <v>100</v>
      </c>
      <c r="G32">
        <f t="shared" ca="1" si="2"/>
        <v>92.697225724380644</v>
      </c>
      <c r="H32">
        <f t="shared" ca="1" si="2"/>
        <v>91.930129541266581</v>
      </c>
      <c r="I32">
        <f t="shared" ca="1" si="2"/>
        <v>87.811965901386543</v>
      </c>
      <c r="J32">
        <f t="shared" ca="1" si="2"/>
        <v>89.983663098210286</v>
      </c>
      <c r="K32">
        <f t="shared" ref="K32:P32" ca="1" si="31">J32*EXP(($C$4-0.5*$C$5^2)*$C$10+$C$5*SQRT($C$10)*NORMINV(RAND(),0,1))</f>
        <v>91.903242168424185</v>
      </c>
      <c r="L32">
        <f t="shared" ca="1" si="31"/>
        <v>90.835840412963748</v>
      </c>
      <c r="M32">
        <f t="shared" ca="1" si="31"/>
        <v>85.729289603065027</v>
      </c>
      <c r="N32">
        <f t="shared" ca="1" si="31"/>
        <v>82.211796950987051</v>
      </c>
      <c r="O32">
        <f t="shared" ca="1" si="31"/>
        <v>70.317909256047912</v>
      </c>
      <c r="P32">
        <f t="shared" ca="1" si="31"/>
        <v>67.314664921891307</v>
      </c>
      <c r="Q32">
        <f t="shared" ca="1" si="4"/>
        <v>86.430520688965757</v>
      </c>
      <c r="R32">
        <f t="shared" ca="1" si="5"/>
        <v>0</v>
      </c>
      <c r="S32">
        <f t="shared" ca="1" si="6"/>
        <v>0</v>
      </c>
    </row>
    <row r="33" spans="5:19" x14ac:dyDescent="0.75">
      <c r="E33">
        <v>28</v>
      </c>
      <c r="F33">
        <v>100</v>
      </c>
      <c r="G33">
        <f t="shared" ca="1" si="2"/>
        <v>97.328784259170803</v>
      </c>
      <c r="H33">
        <f t="shared" ca="1" si="2"/>
        <v>105.49680447600763</v>
      </c>
      <c r="I33">
        <f t="shared" ca="1" si="2"/>
        <v>109.23190188099642</v>
      </c>
      <c r="J33">
        <f t="shared" ca="1" si="2"/>
        <v>111.3064629492752</v>
      </c>
      <c r="K33">
        <f t="shared" ref="K33:P33" ca="1" si="32">J33*EXP(($C$4-0.5*$C$5^2)*$C$10+$C$5*SQRT($C$10)*NORMINV(RAND(),0,1))</f>
        <v>107.28224582168599</v>
      </c>
      <c r="L33">
        <f t="shared" ca="1" si="32"/>
        <v>113.59113883712376</v>
      </c>
      <c r="M33">
        <f t="shared" ca="1" si="32"/>
        <v>117.59065946858539</v>
      </c>
      <c r="N33">
        <f t="shared" ca="1" si="32"/>
        <v>105.16845928322194</v>
      </c>
      <c r="O33">
        <f t="shared" ca="1" si="32"/>
        <v>102.24307572470512</v>
      </c>
      <c r="P33">
        <f t="shared" ca="1" si="32"/>
        <v>104.70493745554894</v>
      </c>
      <c r="Q33">
        <f t="shared" ca="1" si="4"/>
        <v>106.72222455966556</v>
      </c>
      <c r="R33">
        <f t="shared" ca="1" si="5"/>
        <v>6.7222245596655625</v>
      </c>
      <c r="S33">
        <f t="shared" ca="1" si="6"/>
        <v>6.5891155950542712</v>
      </c>
    </row>
    <row r="34" spans="5:19" x14ac:dyDescent="0.75">
      <c r="E34">
        <v>29</v>
      </c>
      <c r="F34">
        <v>100</v>
      </c>
      <c r="G34">
        <f t="shared" ca="1" si="2"/>
        <v>115.64435775882158</v>
      </c>
      <c r="H34">
        <f t="shared" ca="1" si="2"/>
        <v>117.73893130996501</v>
      </c>
      <c r="I34">
        <f t="shared" ca="1" si="2"/>
        <v>119.04539089578897</v>
      </c>
      <c r="J34">
        <f t="shared" ca="1" si="2"/>
        <v>112.56548688023079</v>
      </c>
      <c r="K34">
        <f t="shared" ref="K34:P34" ca="1" si="33">J34*EXP(($C$4-0.5*$C$5^2)*$C$10+$C$5*SQRT($C$10)*NORMINV(RAND(),0,1))</f>
        <v>108.53131475829855</v>
      </c>
      <c r="L34">
        <f t="shared" ca="1" si="33"/>
        <v>106.96169525350544</v>
      </c>
      <c r="M34">
        <f t="shared" ca="1" si="33"/>
        <v>106.07220454504369</v>
      </c>
      <c r="N34">
        <f t="shared" ca="1" si="33"/>
        <v>102.65499246352496</v>
      </c>
      <c r="O34">
        <f t="shared" ca="1" si="33"/>
        <v>110.18352847801602</v>
      </c>
      <c r="P34">
        <f t="shared" ca="1" si="33"/>
        <v>106.48504519423756</v>
      </c>
      <c r="Q34">
        <f t="shared" ca="1" si="4"/>
        <v>109.62572250340295</v>
      </c>
      <c r="R34">
        <f t="shared" ca="1" si="5"/>
        <v>9.6257225034029545</v>
      </c>
      <c r="S34">
        <f t="shared" ca="1" si="6"/>
        <v>9.4351204274545548</v>
      </c>
    </row>
    <row r="35" spans="5:19" x14ac:dyDescent="0.75">
      <c r="E35">
        <v>30</v>
      </c>
      <c r="F35">
        <v>100</v>
      </c>
      <c r="G35">
        <f t="shared" ca="1" si="2"/>
        <v>115.82782831554201</v>
      </c>
      <c r="H35">
        <f t="shared" ca="1" si="2"/>
        <v>107.78647599442117</v>
      </c>
      <c r="I35">
        <f t="shared" ca="1" si="2"/>
        <v>111.88111607865378</v>
      </c>
      <c r="J35">
        <f t="shared" ca="1" si="2"/>
        <v>114.14375492944139</v>
      </c>
      <c r="K35">
        <f t="shared" ref="K35:P35" ca="1" si="34">J35*EXP(($C$4-0.5*$C$5^2)*$C$10+$C$5*SQRT($C$10)*NORMINV(RAND(),0,1))</f>
        <v>114.31416892748814</v>
      </c>
      <c r="L35">
        <f t="shared" ca="1" si="34"/>
        <v>112.87486994818312</v>
      </c>
      <c r="M35">
        <f t="shared" ca="1" si="34"/>
        <v>113.01558091396633</v>
      </c>
      <c r="N35">
        <f t="shared" ca="1" si="34"/>
        <v>113.90925255332792</v>
      </c>
      <c r="O35">
        <f t="shared" ca="1" si="34"/>
        <v>106.91583034599523</v>
      </c>
      <c r="P35">
        <f t="shared" ca="1" si="34"/>
        <v>103.21093575350726</v>
      </c>
      <c r="Q35">
        <f t="shared" ca="1" si="4"/>
        <v>110.35271034186603</v>
      </c>
      <c r="R35">
        <f t="shared" ca="1" si="5"/>
        <v>10.352710341866029</v>
      </c>
      <c r="S35">
        <f t="shared" ca="1" si="6"/>
        <v>10.147712942226207</v>
      </c>
    </row>
    <row r="36" spans="5:19" x14ac:dyDescent="0.75">
      <c r="E36">
        <v>31</v>
      </c>
      <c r="F36">
        <v>100</v>
      </c>
      <c r="G36">
        <f t="shared" ca="1" si="2"/>
        <v>106.6303451927855</v>
      </c>
      <c r="H36">
        <f t="shared" ca="1" si="2"/>
        <v>110.59589933898563</v>
      </c>
      <c r="I36">
        <f t="shared" ca="1" si="2"/>
        <v>106.18515142606803</v>
      </c>
      <c r="J36">
        <f t="shared" ca="1" si="2"/>
        <v>109.15903263293333</v>
      </c>
      <c r="K36">
        <f t="shared" ref="K36:P36" ca="1" si="35">J36*EXP(($C$4-0.5*$C$5^2)*$C$10+$C$5*SQRT($C$10)*NORMINV(RAND(),0,1))</f>
        <v>111.23842076106864</v>
      </c>
      <c r="L36">
        <f t="shared" ca="1" si="35"/>
        <v>112.9740375707057</v>
      </c>
      <c r="M36">
        <f t="shared" ca="1" si="35"/>
        <v>108.47763646422347</v>
      </c>
      <c r="N36">
        <f t="shared" ca="1" si="35"/>
        <v>112.98610517621091</v>
      </c>
      <c r="O36">
        <f t="shared" ca="1" si="35"/>
        <v>102.78933100276154</v>
      </c>
      <c r="P36">
        <f t="shared" ca="1" si="35"/>
        <v>87.636622435389484</v>
      </c>
      <c r="Q36">
        <f t="shared" ca="1" si="4"/>
        <v>106.24296200010293</v>
      </c>
      <c r="R36">
        <f t="shared" ca="1" si="5"/>
        <v>6.2429620001029349</v>
      </c>
      <c r="S36">
        <f t="shared" ca="1" si="6"/>
        <v>6.1193430700053844</v>
      </c>
    </row>
    <row r="37" spans="5:19" x14ac:dyDescent="0.75">
      <c r="E37">
        <v>32</v>
      </c>
      <c r="F37">
        <v>100</v>
      </c>
      <c r="G37">
        <f t="shared" ca="1" si="2"/>
        <v>92.726530918204446</v>
      </c>
      <c r="H37">
        <f t="shared" ca="1" si="2"/>
        <v>102.17028886999942</v>
      </c>
      <c r="I37">
        <f t="shared" ca="1" si="2"/>
        <v>107.91896138800804</v>
      </c>
      <c r="J37">
        <f t="shared" ca="1" si="2"/>
        <v>100.78722919789401</v>
      </c>
      <c r="K37">
        <f t="shared" ref="K37:P37" ca="1" si="36">J37*EXP(($C$4-0.5*$C$5^2)*$C$10+$C$5*SQRT($C$10)*NORMINV(RAND(),0,1))</f>
        <v>100.97290349093072</v>
      </c>
      <c r="L37">
        <f t="shared" ca="1" si="36"/>
        <v>102.28583479820414</v>
      </c>
      <c r="M37">
        <f t="shared" ca="1" si="36"/>
        <v>104.52727706666306</v>
      </c>
      <c r="N37">
        <f t="shared" ca="1" si="36"/>
        <v>107.37758329761266</v>
      </c>
      <c r="O37">
        <f t="shared" ca="1" si="36"/>
        <v>101.83541101573209</v>
      </c>
      <c r="P37">
        <f t="shared" ca="1" si="36"/>
        <v>95.414570618821116</v>
      </c>
      <c r="Q37">
        <f t="shared" ca="1" si="4"/>
        <v>101.45605369655181</v>
      </c>
      <c r="R37">
        <f t="shared" ca="1" si="5"/>
        <v>1.4560536965518054</v>
      </c>
      <c r="S37">
        <f t="shared" ca="1" si="6"/>
        <v>1.4272219016234764</v>
      </c>
    </row>
    <row r="38" spans="5:19" x14ac:dyDescent="0.75">
      <c r="E38">
        <v>33</v>
      </c>
      <c r="F38">
        <v>100</v>
      </c>
      <c r="G38">
        <f t="shared" ca="1" si="2"/>
        <v>100.50015822653495</v>
      </c>
      <c r="H38">
        <f t="shared" ca="1" si="2"/>
        <v>109.24793235923376</v>
      </c>
      <c r="I38">
        <f t="shared" ca="1" si="2"/>
        <v>109.68175484324325</v>
      </c>
      <c r="J38">
        <f t="shared" ca="1" si="2"/>
        <v>110.30098227685482</v>
      </c>
      <c r="K38">
        <f t="shared" ref="K38:P38" ca="1" si="37">J38*EXP(($C$4-0.5*$C$5^2)*$C$10+$C$5*SQRT($C$10)*NORMINV(RAND(),0,1))</f>
        <v>120.88555079425899</v>
      </c>
      <c r="L38">
        <f t="shared" ca="1" si="37"/>
        <v>126.20404834998695</v>
      </c>
      <c r="M38">
        <f t="shared" ca="1" si="37"/>
        <v>138.03653809881089</v>
      </c>
      <c r="N38">
        <f t="shared" ca="1" si="37"/>
        <v>136.73763556715511</v>
      </c>
      <c r="O38">
        <f t="shared" ca="1" si="37"/>
        <v>138.76223643054772</v>
      </c>
      <c r="P38">
        <f t="shared" ca="1" si="37"/>
        <v>135.69165019600283</v>
      </c>
      <c r="Q38">
        <f t="shared" ca="1" si="4"/>
        <v>120.54986246751174</v>
      </c>
      <c r="R38">
        <f t="shared" ca="1" si="5"/>
        <v>20.549862467511744</v>
      </c>
      <c r="S38">
        <f t="shared" ca="1" si="6"/>
        <v>20.142947927291296</v>
      </c>
    </row>
    <row r="39" spans="5:19" x14ac:dyDescent="0.75">
      <c r="E39">
        <v>34</v>
      </c>
      <c r="F39">
        <v>100</v>
      </c>
      <c r="G39">
        <f t="shared" ca="1" si="2"/>
        <v>100.97799663944356</v>
      </c>
      <c r="H39">
        <f t="shared" ca="1" si="2"/>
        <v>98.985219165966811</v>
      </c>
      <c r="I39">
        <f t="shared" ca="1" si="2"/>
        <v>102.67645272082891</v>
      </c>
      <c r="J39">
        <f t="shared" ca="1" si="2"/>
        <v>112.07135494625565</v>
      </c>
      <c r="K39">
        <f t="shared" ref="K39:P39" ca="1" si="38">J39*EXP(($C$4-0.5*$C$5^2)*$C$10+$C$5*SQRT($C$10)*NORMINV(RAND(),0,1))</f>
        <v>120.32591178418245</v>
      </c>
      <c r="L39">
        <f t="shared" ca="1" si="38"/>
        <v>126.62167673413543</v>
      </c>
      <c r="M39">
        <f t="shared" ca="1" si="38"/>
        <v>135.92699645411372</v>
      </c>
      <c r="N39">
        <f t="shared" ca="1" si="38"/>
        <v>133.84823541733127</v>
      </c>
      <c r="O39">
        <f t="shared" ca="1" si="38"/>
        <v>131.63408973977732</v>
      </c>
      <c r="P39">
        <f t="shared" ca="1" si="38"/>
        <v>126.87028176677504</v>
      </c>
      <c r="Q39">
        <f t="shared" ca="1" si="4"/>
        <v>117.26711048807366</v>
      </c>
      <c r="R39">
        <f t="shared" ca="1" si="5"/>
        <v>17.267110488073655</v>
      </c>
      <c r="S39">
        <f t="shared" ca="1" si="6"/>
        <v>16.925198792250956</v>
      </c>
    </row>
    <row r="40" spans="5:19" x14ac:dyDescent="0.75">
      <c r="E40">
        <v>35</v>
      </c>
      <c r="F40">
        <v>100</v>
      </c>
      <c r="G40">
        <f t="shared" ca="1" si="2"/>
        <v>94.176651588630719</v>
      </c>
      <c r="H40">
        <f t="shared" ca="1" si="2"/>
        <v>88.01759324792171</v>
      </c>
      <c r="I40">
        <f t="shared" ca="1" si="2"/>
        <v>86.744743747291324</v>
      </c>
      <c r="J40">
        <f t="shared" ca="1" si="2"/>
        <v>89.78929508706581</v>
      </c>
      <c r="K40">
        <f t="shared" ref="K40:P40" ca="1" si="39">J40*EXP(($C$4-0.5*$C$5^2)*$C$10+$C$5*SQRT($C$10)*NORMINV(RAND(),0,1))</f>
        <v>98.947365222350683</v>
      </c>
      <c r="L40">
        <f t="shared" ca="1" si="39"/>
        <v>105.99115894253777</v>
      </c>
      <c r="M40">
        <f t="shared" ca="1" si="39"/>
        <v>100.64248732349515</v>
      </c>
      <c r="N40">
        <f t="shared" ca="1" si="39"/>
        <v>98.805773259400979</v>
      </c>
      <c r="O40">
        <f t="shared" ca="1" si="39"/>
        <v>101.29245001410085</v>
      </c>
      <c r="P40">
        <f t="shared" ca="1" si="39"/>
        <v>112.30298518015628</v>
      </c>
      <c r="Q40">
        <f t="shared" ca="1" si="4"/>
        <v>97.882773055722836</v>
      </c>
      <c r="R40">
        <f t="shared" ca="1" si="5"/>
        <v>0</v>
      </c>
      <c r="S40">
        <f t="shared" ca="1" si="6"/>
        <v>0</v>
      </c>
    </row>
    <row r="41" spans="5:19" x14ac:dyDescent="0.75">
      <c r="E41">
        <v>36</v>
      </c>
      <c r="F41">
        <v>100</v>
      </c>
      <c r="G41">
        <f t="shared" ca="1" si="2"/>
        <v>101.94631105696124</v>
      </c>
      <c r="H41">
        <f t="shared" ca="1" si="2"/>
        <v>100.53115077459469</v>
      </c>
      <c r="I41">
        <f t="shared" ca="1" si="2"/>
        <v>114.7402348553253</v>
      </c>
      <c r="J41">
        <f t="shared" ca="1" si="2"/>
        <v>121.9097767060511</v>
      </c>
      <c r="K41">
        <f t="shared" ref="K41:P41" ca="1" si="40">J41*EXP(($C$4-0.5*$C$5^2)*$C$10+$C$5*SQRT($C$10)*NORMINV(RAND(),0,1))</f>
        <v>116.90936133649669</v>
      </c>
      <c r="L41">
        <f t="shared" ca="1" si="40"/>
        <v>119.5744791865839</v>
      </c>
      <c r="M41">
        <f t="shared" ca="1" si="40"/>
        <v>110.57482549516833</v>
      </c>
      <c r="N41">
        <f t="shared" ca="1" si="40"/>
        <v>98.124495384210846</v>
      </c>
      <c r="O41">
        <f t="shared" ca="1" si="40"/>
        <v>103.21294362325294</v>
      </c>
      <c r="P41">
        <f t="shared" ca="1" si="40"/>
        <v>93.671921404441036</v>
      </c>
      <c r="Q41">
        <f t="shared" ca="1" si="4"/>
        <v>107.38140907482601</v>
      </c>
      <c r="R41">
        <f t="shared" ca="1" si="5"/>
        <v>7.3814090748260099</v>
      </c>
      <c r="S41">
        <f t="shared" ca="1" si="6"/>
        <v>7.2352473822788985</v>
      </c>
    </row>
    <row r="42" spans="5:19" x14ac:dyDescent="0.75">
      <c r="E42">
        <v>37</v>
      </c>
      <c r="F42">
        <v>100</v>
      </c>
      <c r="G42">
        <f t="shared" ca="1" si="2"/>
        <v>96.850609979449843</v>
      </c>
      <c r="H42">
        <f t="shared" ca="1" si="2"/>
        <v>103.43379059481106</v>
      </c>
      <c r="I42">
        <f t="shared" ca="1" si="2"/>
        <v>114.66325827838972</v>
      </c>
      <c r="J42">
        <f t="shared" ca="1" si="2"/>
        <v>113.54543887945982</v>
      </c>
      <c r="K42">
        <f t="shared" ref="K42:P42" ca="1" si="41">J42*EXP(($C$4-0.5*$C$5^2)*$C$10+$C$5*SQRT($C$10)*NORMINV(RAND(),0,1))</f>
        <v>104.60848584302228</v>
      </c>
      <c r="L42">
        <f t="shared" ca="1" si="41"/>
        <v>110.56259121775527</v>
      </c>
      <c r="M42">
        <f t="shared" ca="1" si="41"/>
        <v>113.24846044718601</v>
      </c>
      <c r="N42">
        <f t="shared" ca="1" si="41"/>
        <v>115.39393155275553</v>
      </c>
      <c r="O42">
        <f t="shared" ca="1" si="41"/>
        <v>111.68159568494178</v>
      </c>
      <c r="P42">
        <f t="shared" ca="1" si="41"/>
        <v>106.3604315896701</v>
      </c>
      <c r="Q42">
        <f t="shared" ca="1" si="4"/>
        <v>108.21350855158558</v>
      </c>
      <c r="R42">
        <f t="shared" ca="1" si="5"/>
        <v>8.2135085515855764</v>
      </c>
      <c r="S42">
        <f t="shared" ca="1" si="6"/>
        <v>8.050870185457871</v>
      </c>
    </row>
    <row r="43" spans="5:19" x14ac:dyDescent="0.75">
      <c r="E43">
        <v>38</v>
      </c>
      <c r="F43">
        <v>100</v>
      </c>
      <c r="G43">
        <f t="shared" ca="1" si="2"/>
        <v>99.577055945964261</v>
      </c>
      <c r="H43">
        <f t="shared" ca="1" si="2"/>
        <v>101.346162037052</v>
      </c>
      <c r="I43">
        <f t="shared" ca="1" si="2"/>
        <v>107.9630214866641</v>
      </c>
      <c r="J43">
        <f t="shared" ca="1" si="2"/>
        <v>108.08088138107185</v>
      </c>
      <c r="K43">
        <f t="shared" ref="K43:P43" ca="1" si="42">J43*EXP(($C$4-0.5*$C$5^2)*$C$10+$C$5*SQRT($C$10)*NORMINV(RAND(),0,1))</f>
        <v>107.31499444152344</v>
      </c>
      <c r="L43">
        <f t="shared" ca="1" si="42"/>
        <v>104.24437394362045</v>
      </c>
      <c r="M43">
        <f t="shared" ca="1" si="42"/>
        <v>110.76979373072693</v>
      </c>
      <c r="N43">
        <f t="shared" ca="1" si="42"/>
        <v>93.425424406577093</v>
      </c>
      <c r="O43">
        <f t="shared" ca="1" si="42"/>
        <v>88.334265537569877</v>
      </c>
      <c r="P43">
        <f t="shared" ca="1" si="42"/>
        <v>89.574856033907793</v>
      </c>
      <c r="Q43">
        <f t="shared" ca="1" si="4"/>
        <v>100.96643899497072</v>
      </c>
      <c r="R43">
        <f t="shared" ca="1" si="5"/>
        <v>0.96643899497071573</v>
      </c>
      <c r="S43">
        <f t="shared" ca="1" si="6"/>
        <v>0.94730222070220949</v>
      </c>
    </row>
    <row r="44" spans="5:19" x14ac:dyDescent="0.75">
      <c r="E44">
        <v>39</v>
      </c>
      <c r="F44">
        <v>100</v>
      </c>
      <c r="G44">
        <f t="shared" ca="1" si="2"/>
        <v>105.48696704416527</v>
      </c>
      <c r="H44">
        <f t="shared" ca="1" si="2"/>
        <v>110.70382774820719</v>
      </c>
      <c r="I44">
        <f t="shared" ca="1" si="2"/>
        <v>104.53210590844128</v>
      </c>
      <c r="J44">
        <f t="shared" ca="1" si="2"/>
        <v>98.644992564959182</v>
      </c>
      <c r="K44">
        <f t="shared" ref="K44:P44" ca="1" si="43">J44*EXP(($C$4-0.5*$C$5^2)*$C$10+$C$5*SQRT($C$10)*NORMINV(RAND(),0,1))</f>
        <v>104.45972122656072</v>
      </c>
      <c r="L44">
        <f t="shared" ca="1" si="43"/>
        <v>107.61452737017461</v>
      </c>
      <c r="M44">
        <f t="shared" ca="1" si="43"/>
        <v>111.536618993064</v>
      </c>
      <c r="N44">
        <f t="shared" ca="1" si="43"/>
        <v>121.3417685082357</v>
      </c>
      <c r="O44">
        <f t="shared" ca="1" si="43"/>
        <v>116.58438308024043</v>
      </c>
      <c r="P44">
        <f t="shared" ca="1" si="43"/>
        <v>120.43371301408743</v>
      </c>
      <c r="Q44">
        <f t="shared" ca="1" si="4"/>
        <v>109.212602314376</v>
      </c>
      <c r="R44">
        <f t="shared" ca="1" si="5"/>
        <v>9.2126023143759994</v>
      </c>
      <c r="S44">
        <f t="shared" ca="1" si="6"/>
        <v>9.0301805662540975</v>
      </c>
    </row>
    <row r="45" spans="5:19" x14ac:dyDescent="0.75">
      <c r="E45">
        <v>40</v>
      </c>
      <c r="F45">
        <v>100</v>
      </c>
      <c r="G45">
        <f t="shared" ca="1" si="2"/>
        <v>102.16376215642012</v>
      </c>
      <c r="H45">
        <f t="shared" ca="1" si="2"/>
        <v>102.23945785157422</v>
      </c>
      <c r="I45">
        <f t="shared" ca="1" si="2"/>
        <v>109.60189136066147</v>
      </c>
      <c r="J45">
        <f t="shared" ca="1" si="2"/>
        <v>109.55024920569427</v>
      </c>
      <c r="K45">
        <f t="shared" ref="K45:P45" ca="1" si="44">J45*EXP(($C$4-0.5*$C$5^2)*$C$10+$C$5*SQRT($C$10)*NORMINV(RAND(),0,1))</f>
        <v>102.04811564131457</v>
      </c>
      <c r="L45">
        <f t="shared" ca="1" si="44"/>
        <v>97.185921250143153</v>
      </c>
      <c r="M45">
        <f t="shared" ca="1" si="44"/>
        <v>103.897856517517</v>
      </c>
      <c r="N45">
        <f t="shared" ca="1" si="44"/>
        <v>103.38350140557084</v>
      </c>
      <c r="O45">
        <f t="shared" ca="1" si="44"/>
        <v>102.39199937557369</v>
      </c>
      <c r="P45">
        <f t="shared" ca="1" si="44"/>
        <v>98.323970565823188</v>
      </c>
      <c r="Q45">
        <f t="shared" ca="1" si="4"/>
        <v>102.79879321184477</v>
      </c>
      <c r="R45">
        <f t="shared" ca="1" si="5"/>
        <v>2.7987932118447674</v>
      </c>
      <c r="S45">
        <f t="shared" ca="1" si="6"/>
        <v>2.7433733931101933</v>
      </c>
    </row>
    <row r="46" spans="5:19" x14ac:dyDescent="0.75">
      <c r="E46">
        <v>41</v>
      </c>
      <c r="F46">
        <v>100</v>
      </c>
      <c r="G46">
        <f t="shared" ca="1" si="2"/>
        <v>94.155487361355867</v>
      </c>
      <c r="H46">
        <f t="shared" ca="1" si="2"/>
        <v>103.30326502541702</v>
      </c>
      <c r="I46">
        <f t="shared" ca="1" si="2"/>
        <v>99.171269873251291</v>
      </c>
      <c r="J46">
        <f t="shared" ca="1" si="2"/>
        <v>110.85298513886416</v>
      </c>
      <c r="K46">
        <f t="shared" ref="K46:P46" ca="1" si="45">J46*EXP(($C$4-0.5*$C$5^2)*$C$10+$C$5*SQRT($C$10)*NORMINV(RAND(),0,1))</f>
        <v>115.46170852213419</v>
      </c>
      <c r="L46">
        <f t="shared" ca="1" si="45"/>
        <v>100.82309120126136</v>
      </c>
      <c r="M46">
        <f t="shared" ca="1" si="45"/>
        <v>87.806241407679863</v>
      </c>
      <c r="N46">
        <f t="shared" ca="1" si="45"/>
        <v>85.068447669700333</v>
      </c>
      <c r="O46">
        <f t="shared" ca="1" si="45"/>
        <v>85.175248223140571</v>
      </c>
      <c r="P46">
        <f t="shared" ca="1" si="45"/>
        <v>88.6174622692144</v>
      </c>
      <c r="Q46">
        <f t="shared" ca="1" si="4"/>
        <v>97.312291517456273</v>
      </c>
      <c r="R46">
        <f t="shared" ca="1" si="5"/>
        <v>0</v>
      </c>
      <c r="S46">
        <f t="shared" ca="1" si="6"/>
        <v>0</v>
      </c>
    </row>
    <row r="47" spans="5:19" x14ac:dyDescent="0.75">
      <c r="E47">
        <v>42</v>
      </c>
      <c r="F47">
        <v>100</v>
      </c>
      <c r="G47">
        <f t="shared" ca="1" si="2"/>
        <v>107.32365296696122</v>
      </c>
      <c r="H47">
        <f t="shared" ca="1" si="2"/>
        <v>123.10205071201621</v>
      </c>
      <c r="I47">
        <f t="shared" ca="1" si="2"/>
        <v>127.89264724391653</v>
      </c>
      <c r="J47">
        <f t="shared" ca="1" si="2"/>
        <v>131.14541354521032</v>
      </c>
      <c r="K47">
        <f t="shared" ref="K47:P47" ca="1" si="46">J47*EXP(($C$4-0.5*$C$5^2)*$C$10+$C$5*SQRT($C$10)*NORMINV(RAND(),0,1))</f>
        <v>138.62749345178506</v>
      </c>
      <c r="L47">
        <f t="shared" ca="1" si="46"/>
        <v>140.86159514714851</v>
      </c>
      <c r="M47">
        <f t="shared" ca="1" si="46"/>
        <v>133.46485863446512</v>
      </c>
      <c r="N47">
        <f t="shared" ca="1" si="46"/>
        <v>137.40239365477061</v>
      </c>
      <c r="O47">
        <f t="shared" ca="1" si="46"/>
        <v>133.36407659362709</v>
      </c>
      <c r="P47">
        <f t="shared" ca="1" si="46"/>
        <v>122.11592314453232</v>
      </c>
      <c r="Q47">
        <f t="shared" ca="1" si="4"/>
        <v>126.84546409949392</v>
      </c>
      <c r="R47">
        <f t="shared" ca="1" si="5"/>
        <v>26.845464099493924</v>
      </c>
      <c r="S47">
        <f t="shared" ca="1" si="6"/>
        <v>26.313888294628072</v>
      </c>
    </row>
    <row r="48" spans="5:19" x14ac:dyDescent="0.75">
      <c r="E48">
        <v>43</v>
      </c>
      <c r="F48">
        <v>100</v>
      </c>
      <c r="G48">
        <f t="shared" ca="1" si="2"/>
        <v>112.01098961143681</v>
      </c>
      <c r="H48">
        <f t="shared" ca="1" si="2"/>
        <v>99.008789612088364</v>
      </c>
      <c r="I48">
        <f t="shared" ca="1" si="2"/>
        <v>106.36004301076822</v>
      </c>
      <c r="J48">
        <f t="shared" ca="1" si="2"/>
        <v>93.360042267368883</v>
      </c>
      <c r="K48">
        <f t="shared" ref="K48:P48" ca="1" si="47">J48*EXP(($C$4-0.5*$C$5^2)*$C$10+$C$5*SQRT($C$10)*NORMINV(RAND(),0,1))</f>
        <v>96.690238048494692</v>
      </c>
      <c r="L48">
        <f t="shared" ca="1" si="47"/>
        <v>89.384329920860395</v>
      </c>
      <c r="M48">
        <f t="shared" ca="1" si="47"/>
        <v>74.763770047914434</v>
      </c>
      <c r="N48">
        <f t="shared" ca="1" si="47"/>
        <v>84.670567835827214</v>
      </c>
      <c r="O48">
        <f t="shared" ca="1" si="47"/>
        <v>83.104614055322855</v>
      </c>
      <c r="P48">
        <f t="shared" ca="1" si="47"/>
        <v>90.204670626801388</v>
      </c>
      <c r="Q48">
        <f t="shared" ca="1" si="4"/>
        <v>93.596186821534857</v>
      </c>
      <c r="R48">
        <f t="shared" ca="1" si="5"/>
        <v>0</v>
      </c>
      <c r="S48">
        <f t="shared" ca="1" si="6"/>
        <v>0</v>
      </c>
    </row>
    <row r="49" spans="5:19" x14ac:dyDescent="0.75">
      <c r="E49">
        <v>44</v>
      </c>
      <c r="F49">
        <v>100</v>
      </c>
      <c r="G49">
        <f t="shared" ca="1" si="2"/>
        <v>100.67257003353242</v>
      </c>
      <c r="H49">
        <f t="shared" ca="1" si="2"/>
        <v>102.28887219079267</v>
      </c>
      <c r="I49">
        <f t="shared" ca="1" si="2"/>
        <v>99.574434510434443</v>
      </c>
      <c r="J49">
        <f t="shared" ca="1" si="2"/>
        <v>112.32762112191163</v>
      </c>
      <c r="K49">
        <f t="shared" ref="K49:P49" ca="1" si="48">J49*EXP(($C$4-0.5*$C$5^2)*$C$10+$C$5*SQRT($C$10)*NORMINV(RAND(),0,1))</f>
        <v>120.04768409299346</v>
      </c>
      <c r="L49">
        <f t="shared" ca="1" si="48"/>
        <v>121.70595821151892</v>
      </c>
      <c r="M49">
        <f t="shared" ca="1" si="48"/>
        <v>125.47631306755821</v>
      </c>
      <c r="N49">
        <f t="shared" ca="1" si="48"/>
        <v>127.4800705342352</v>
      </c>
      <c r="O49">
        <f t="shared" ca="1" si="48"/>
        <v>130.75563327039123</v>
      </c>
      <c r="P49">
        <f t="shared" ca="1" si="48"/>
        <v>142.85940113034209</v>
      </c>
      <c r="Q49">
        <f t="shared" ca="1" si="4"/>
        <v>116.65350528761002</v>
      </c>
      <c r="R49">
        <f t="shared" ca="1" si="5"/>
        <v>16.653505287610017</v>
      </c>
      <c r="S49">
        <f t="shared" ca="1" si="6"/>
        <v>16.323743788822373</v>
      </c>
    </row>
    <row r="50" spans="5:19" x14ac:dyDescent="0.75">
      <c r="E50">
        <v>45</v>
      </c>
      <c r="F50">
        <v>100</v>
      </c>
      <c r="G50">
        <f t="shared" ca="1" si="2"/>
        <v>104.57889336622802</v>
      </c>
      <c r="H50">
        <f t="shared" ca="1" si="2"/>
        <v>106.02427427938005</v>
      </c>
      <c r="I50">
        <f t="shared" ca="1" si="2"/>
        <v>101.22901068483968</v>
      </c>
      <c r="J50">
        <f t="shared" ca="1" si="2"/>
        <v>102.82069782194026</v>
      </c>
      <c r="K50">
        <f t="shared" ref="K50:P50" ca="1" si="49">J50*EXP(($C$4-0.5*$C$5^2)*$C$10+$C$5*SQRT($C$10)*NORMINV(RAND(),0,1))</f>
        <v>102.43570383351909</v>
      </c>
      <c r="L50">
        <f t="shared" ca="1" si="49"/>
        <v>115.23551947580181</v>
      </c>
      <c r="M50">
        <f t="shared" ca="1" si="49"/>
        <v>118.13637626547782</v>
      </c>
      <c r="N50">
        <f t="shared" ca="1" si="49"/>
        <v>115.73025310910964</v>
      </c>
      <c r="O50">
        <f t="shared" ca="1" si="49"/>
        <v>116.03579951386845</v>
      </c>
      <c r="P50">
        <f t="shared" ca="1" si="49"/>
        <v>114.7818479563124</v>
      </c>
      <c r="Q50">
        <f t="shared" ca="1" si="4"/>
        <v>108.81894330058884</v>
      </c>
      <c r="R50">
        <f t="shared" ca="1" si="5"/>
        <v>8.8189433005888418</v>
      </c>
      <c r="S50">
        <f t="shared" ca="1" si="6"/>
        <v>8.6443165232046795</v>
      </c>
    </row>
    <row r="51" spans="5:19" x14ac:dyDescent="0.75">
      <c r="E51">
        <v>46</v>
      </c>
      <c r="F51">
        <v>100</v>
      </c>
      <c r="G51">
        <f t="shared" ca="1" si="2"/>
        <v>97.279094344262688</v>
      </c>
      <c r="H51">
        <f t="shared" ca="1" si="2"/>
        <v>96.52497836128731</v>
      </c>
      <c r="I51">
        <f t="shared" ca="1" si="2"/>
        <v>88.916826166026752</v>
      </c>
      <c r="J51">
        <f t="shared" ca="1" si="2"/>
        <v>86.803916783351283</v>
      </c>
      <c r="K51">
        <f t="shared" ref="K51:P51" ca="1" si="50">J51*EXP(($C$4-0.5*$C$5^2)*$C$10+$C$5*SQRT($C$10)*NORMINV(RAND(),0,1))</f>
        <v>98.01360221710047</v>
      </c>
      <c r="L51">
        <f t="shared" ca="1" si="50"/>
        <v>92.840899686118533</v>
      </c>
      <c r="M51">
        <f t="shared" ca="1" si="50"/>
        <v>98.218956789825214</v>
      </c>
      <c r="N51">
        <f t="shared" ca="1" si="50"/>
        <v>96.576742205480571</v>
      </c>
      <c r="O51">
        <f t="shared" ca="1" si="50"/>
        <v>99.988208874666441</v>
      </c>
      <c r="P51">
        <f t="shared" ca="1" si="50"/>
        <v>113.71665946502782</v>
      </c>
      <c r="Q51">
        <f t="shared" ca="1" si="4"/>
        <v>97.170898626649745</v>
      </c>
      <c r="R51">
        <f t="shared" ca="1" si="5"/>
        <v>0</v>
      </c>
      <c r="S51">
        <f t="shared" ca="1" si="6"/>
        <v>0</v>
      </c>
    </row>
    <row r="52" spans="5:19" x14ac:dyDescent="0.75">
      <c r="E52">
        <v>47</v>
      </c>
      <c r="F52">
        <v>100</v>
      </c>
      <c r="G52">
        <f t="shared" ca="1" si="2"/>
        <v>99.066423248907256</v>
      </c>
      <c r="H52">
        <f t="shared" ca="1" si="2"/>
        <v>92.278944340515665</v>
      </c>
      <c r="I52">
        <f t="shared" ca="1" si="2"/>
        <v>101.96483183782053</v>
      </c>
      <c r="J52">
        <f t="shared" ca="1" si="2"/>
        <v>93.642336614669517</v>
      </c>
      <c r="K52">
        <f t="shared" ref="K52:P52" ca="1" si="51">J52*EXP(($C$4-0.5*$C$5^2)*$C$10+$C$5*SQRT($C$10)*NORMINV(RAND(),0,1))</f>
        <v>86.285414962201756</v>
      </c>
      <c r="L52">
        <f t="shared" ca="1" si="51"/>
        <v>93.110448113682679</v>
      </c>
      <c r="M52">
        <f t="shared" ca="1" si="51"/>
        <v>100.44225719992335</v>
      </c>
      <c r="N52">
        <f t="shared" ca="1" si="51"/>
        <v>99.78556998713195</v>
      </c>
      <c r="O52">
        <f t="shared" ca="1" si="51"/>
        <v>101.10244645211442</v>
      </c>
      <c r="P52">
        <f t="shared" ca="1" si="51"/>
        <v>103.02370419449089</v>
      </c>
      <c r="Q52">
        <f t="shared" ca="1" si="4"/>
        <v>97.336579722859824</v>
      </c>
      <c r="R52">
        <f t="shared" ca="1" si="5"/>
        <v>0</v>
      </c>
      <c r="S52">
        <f t="shared" ca="1" si="6"/>
        <v>0</v>
      </c>
    </row>
    <row r="53" spans="5:19" x14ac:dyDescent="0.75">
      <c r="E53">
        <v>48</v>
      </c>
      <c r="F53">
        <v>100</v>
      </c>
      <c r="G53">
        <f t="shared" ca="1" si="2"/>
        <v>104.49574344082319</v>
      </c>
      <c r="H53">
        <f t="shared" ca="1" si="2"/>
        <v>111.16145404743597</v>
      </c>
      <c r="I53">
        <f t="shared" ca="1" si="2"/>
        <v>114.86953119232601</v>
      </c>
      <c r="J53">
        <f t="shared" ca="1" si="2"/>
        <v>122.52460727310221</v>
      </c>
      <c r="K53">
        <f t="shared" ref="K53:P53" ca="1" si="52">J53*EXP(($C$4-0.5*$C$5^2)*$C$10+$C$5*SQRT($C$10)*NORMINV(RAND(),0,1))</f>
        <v>121.78760138668397</v>
      </c>
      <c r="L53">
        <f t="shared" ca="1" si="52"/>
        <v>147.03760591369479</v>
      </c>
      <c r="M53">
        <f t="shared" ca="1" si="52"/>
        <v>135.25732093492451</v>
      </c>
      <c r="N53">
        <f t="shared" ca="1" si="52"/>
        <v>138.84363779648518</v>
      </c>
      <c r="O53">
        <f t="shared" ca="1" si="52"/>
        <v>133.33252781805987</v>
      </c>
      <c r="P53">
        <f t="shared" ca="1" si="52"/>
        <v>130.42670040859372</v>
      </c>
      <c r="Q53">
        <f t="shared" ca="1" si="4"/>
        <v>123.61243001928447</v>
      </c>
      <c r="R53">
        <f t="shared" ca="1" si="5"/>
        <v>23.612430019284474</v>
      </c>
      <c r="S53">
        <f t="shared" ca="1" si="6"/>
        <v>23.144872578451242</v>
      </c>
    </row>
    <row r="54" spans="5:19" x14ac:dyDescent="0.75">
      <c r="E54">
        <v>49</v>
      </c>
      <c r="F54">
        <v>100</v>
      </c>
      <c r="G54">
        <f t="shared" ca="1" si="2"/>
        <v>102.72216223424924</v>
      </c>
      <c r="H54">
        <f t="shared" ca="1" si="2"/>
        <v>97.669091606492032</v>
      </c>
      <c r="I54">
        <f t="shared" ca="1" si="2"/>
        <v>102.91544914451998</v>
      </c>
      <c r="J54">
        <f t="shared" ca="1" si="2"/>
        <v>105.12247830932948</v>
      </c>
      <c r="K54">
        <f t="shared" ref="K54:P54" ca="1" si="53">J54*EXP(($C$4-0.5*$C$5^2)*$C$10+$C$5*SQRT($C$10)*NORMINV(RAND(),0,1))</f>
        <v>103.63918169824296</v>
      </c>
      <c r="L54">
        <f t="shared" ca="1" si="53"/>
        <v>106.60439226089052</v>
      </c>
      <c r="M54">
        <f t="shared" ca="1" si="53"/>
        <v>114.70749501524793</v>
      </c>
      <c r="N54">
        <f t="shared" ca="1" si="53"/>
        <v>107.93716313917487</v>
      </c>
      <c r="O54">
        <f t="shared" ca="1" si="53"/>
        <v>98.001399610796767</v>
      </c>
      <c r="P54">
        <f t="shared" ca="1" si="53"/>
        <v>102.99430548482381</v>
      </c>
      <c r="Q54">
        <f t="shared" ca="1" si="4"/>
        <v>103.84664713670617</v>
      </c>
      <c r="R54">
        <f t="shared" ca="1" si="5"/>
        <v>3.8466471367061672</v>
      </c>
      <c r="S54">
        <f t="shared" ca="1" si="6"/>
        <v>3.7704784200786139</v>
      </c>
    </row>
    <row r="55" spans="5:19" x14ac:dyDescent="0.75">
      <c r="E55">
        <v>50</v>
      </c>
      <c r="F55">
        <v>100</v>
      </c>
      <c r="G55">
        <f t="shared" ca="1" si="2"/>
        <v>96.904563811641836</v>
      </c>
      <c r="H55">
        <f t="shared" ca="1" si="2"/>
        <v>88.907850071415396</v>
      </c>
      <c r="I55">
        <f t="shared" ca="1" si="2"/>
        <v>81.718821164799152</v>
      </c>
      <c r="J55">
        <f t="shared" ca="1" si="2"/>
        <v>86.232136667769879</v>
      </c>
      <c r="K55">
        <f t="shared" ref="K55:P55" ca="1" si="54">J55*EXP(($C$4-0.5*$C$5^2)*$C$10+$C$5*SQRT($C$10)*NORMINV(RAND(),0,1))</f>
        <v>88.478030676873985</v>
      </c>
      <c r="L55">
        <f t="shared" ca="1" si="54"/>
        <v>102.05957795582302</v>
      </c>
      <c r="M55">
        <f t="shared" ca="1" si="54"/>
        <v>103.51062655863332</v>
      </c>
      <c r="N55">
        <f t="shared" ca="1" si="54"/>
        <v>102.75964120681031</v>
      </c>
      <c r="O55">
        <f t="shared" ca="1" si="54"/>
        <v>102.43619121434661</v>
      </c>
      <c r="P55">
        <f t="shared" ca="1" si="54"/>
        <v>103.1467797129196</v>
      </c>
      <c r="Q55">
        <f t="shared" ca="1" si="4"/>
        <v>96.014019912821198</v>
      </c>
      <c r="R55">
        <f t="shared" ca="1" si="5"/>
        <v>0</v>
      </c>
      <c r="S55">
        <f t="shared" ca="1" si="6"/>
        <v>0</v>
      </c>
    </row>
    <row r="56" spans="5:19" x14ac:dyDescent="0.75">
      <c r="E56">
        <v>51</v>
      </c>
      <c r="F56">
        <v>100</v>
      </c>
      <c r="G56">
        <f t="shared" ca="1" si="2"/>
        <v>103.2258670175141</v>
      </c>
      <c r="H56">
        <f t="shared" ca="1" si="2"/>
        <v>101.36151051665428</v>
      </c>
      <c r="I56">
        <f t="shared" ca="1" si="2"/>
        <v>109.45888514667119</v>
      </c>
      <c r="J56">
        <f t="shared" ca="1" si="2"/>
        <v>114.00172988821865</v>
      </c>
      <c r="K56">
        <f t="shared" ref="K56:P56" ca="1" si="55">J56*EXP(($C$4-0.5*$C$5^2)*$C$10+$C$5*SQRT($C$10)*NORMINV(RAND(),0,1))</f>
        <v>116.35739803155892</v>
      </c>
      <c r="L56">
        <f t="shared" ca="1" si="55"/>
        <v>122.30613701252494</v>
      </c>
      <c r="M56">
        <f t="shared" ca="1" si="55"/>
        <v>125.34522014458103</v>
      </c>
      <c r="N56">
        <f t="shared" ca="1" si="55"/>
        <v>131.29957859083822</v>
      </c>
      <c r="O56">
        <f t="shared" ca="1" si="55"/>
        <v>131.50459419749382</v>
      </c>
      <c r="P56">
        <f t="shared" ca="1" si="55"/>
        <v>124.04537722348603</v>
      </c>
      <c r="Q56">
        <f t="shared" ca="1" si="4"/>
        <v>116.2642088881401</v>
      </c>
      <c r="R56">
        <f t="shared" ca="1" si="5"/>
        <v>16.264208888140104</v>
      </c>
      <c r="S56">
        <f t="shared" ca="1" si="6"/>
        <v>15.942155974538867</v>
      </c>
    </row>
    <row r="57" spans="5:19" x14ac:dyDescent="0.75">
      <c r="E57">
        <v>52</v>
      </c>
      <c r="F57">
        <v>100</v>
      </c>
      <c r="G57">
        <f t="shared" ca="1" si="2"/>
        <v>92.052762006767495</v>
      </c>
      <c r="H57">
        <f t="shared" ca="1" si="2"/>
        <v>86.217843138941404</v>
      </c>
      <c r="I57">
        <f t="shared" ca="1" si="2"/>
        <v>85.550529915877505</v>
      </c>
      <c r="J57">
        <f t="shared" ca="1" si="2"/>
        <v>100.35833961454374</v>
      </c>
      <c r="K57">
        <f t="shared" ref="K57:P57" ca="1" si="56">J57*EXP(($C$4-0.5*$C$5^2)*$C$10+$C$5*SQRT($C$10)*NORMINV(RAND(),0,1))</f>
        <v>87.297401700596481</v>
      </c>
      <c r="L57">
        <f t="shared" ca="1" si="56"/>
        <v>82.228636302125309</v>
      </c>
      <c r="M57">
        <f t="shared" ca="1" si="56"/>
        <v>88.890607006294047</v>
      </c>
      <c r="N57">
        <f t="shared" ca="1" si="56"/>
        <v>86.446147070185376</v>
      </c>
      <c r="O57">
        <f t="shared" ca="1" si="56"/>
        <v>79.592250668756094</v>
      </c>
      <c r="P57">
        <f t="shared" ca="1" si="56"/>
        <v>80.260469029558493</v>
      </c>
      <c r="Q57">
        <f t="shared" ca="1" si="4"/>
        <v>88.081362404876913</v>
      </c>
      <c r="R57">
        <f t="shared" ca="1" si="5"/>
        <v>0</v>
      </c>
      <c r="S57">
        <f t="shared" ca="1" si="6"/>
        <v>0</v>
      </c>
    </row>
    <row r="58" spans="5:19" x14ac:dyDescent="0.75">
      <c r="E58">
        <v>53</v>
      </c>
      <c r="F58">
        <v>100</v>
      </c>
      <c r="G58">
        <f t="shared" ca="1" si="2"/>
        <v>99.249940652573031</v>
      </c>
      <c r="H58">
        <f t="shared" ca="1" si="2"/>
        <v>94.903891359559111</v>
      </c>
      <c r="I58">
        <f t="shared" ca="1" si="2"/>
        <v>93.657529929851094</v>
      </c>
      <c r="J58">
        <f t="shared" ca="1" si="2"/>
        <v>91.837956680118637</v>
      </c>
      <c r="K58">
        <f t="shared" ref="K58:P58" ca="1" si="57">J58*EXP(($C$4-0.5*$C$5^2)*$C$10+$C$5*SQRT($C$10)*NORMINV(RAND(),0,1))</f>
        <v>89.658198518606227</v>
      </c>
      <c r="L58">
        <f t="shared" ca="1" si="57"/>
        <v>86.425388854183581</v>
      </c>
      <c r="M58">
        <f t="shared" ca="1" si="57"/>
        <v>87.598629429563175</v>
      </c>
      <c r="N58">
        <f t="shared" ca="1" si="57"/>
        <v>87.435489315765849</v>
      </c>
      <c r="O58">
        <f t="shared" ca="1" si="57"/>
        <v>96.506800047787308</v>
      </c>
      <c r="P58">
        <f t="shared" ca="1" si="57"/>
        <v>92.588880461883278</v>
      </c>
      <c r="Q58">
        <f t="shared" ca="1" si="4"/>
        <v>92.714791386353753</v>
      </c>
      <c r="R58">
        <f t="shared" ca="1" si="5"/>
        <v>0</v>
      </c>
      <c r="S58">
        <f t="shared" ca="1" si="6"/>
        <v>0</v>
      </c>
    </row>
    <row r="59" spans="5:19" x14ac:dyDescent="0.75">
      <c r="E59">
        <v>54</v>
      </c>
      <c r="F59">
        <v>100</v>
      </c>
      <c r="G59">
        <f t="shared" ca="1" si="2"/>
        <v>104.69241429475848</v>
      </c>
      <c r="H59">
        <f t="shared" ca="1" si="2"/>
        <v>102.4534735868359</v>
      </c>
      <c r="I59">
        <f t="shared" ca="1" si="2"/>
        <v>104.56285193451306</v>
      </c>
      <c r="J59">
        <f t="shared" ca="1" si="2"/>
        <v>101.68249061302333</v>
      </c>
      <c r="K59">
        <f t="shared" ref="K59:P59" ca="1" si="58">J59*EXP(($C$4-0.5*$C$5^2)*$C$10+$C$5*SQRT($C$10)*NORMINV(RAND(),0,1))</f>
        <v>101.73585331094488</v>
      </c>
      <c r="L59">
        <f t="shared" ca="1" si="58"/>
        <v>102.74598294057952</v>
      </c>
      <c r="M59">
        <f t="shared" ca="1" si="58"/>
        <v>104.34693591055778</v>
      </c>
      <c r="N59">
        <f t="shared" ca="1" si="58"/>
        <v>109.39134612271356</v>
      </c>
      <c r="O59">
        <f t="shared" ca="1" si="58"/>
        <v>118.37223628939498</v>
      </c>
      <c r="P59">
        <f t="shared" ca="1" si="58"/>
        <v>113.60119671042938</v>
      </c>
      <c r="Q59">
        <f t="shared" ca="1" si="4"/>
        <v>105.78043470125007</v>
      </c>
      <c r="R59">
        <f t="shared" ca="1" si="5"/>
        <v>5.7804347012500727</v>
      </c>
      <c r="S59">
        <f t="shared" ca="1" si="6"/>
        <v>5.6659744253016511</v>
      </c>
    </row>
    <row r="60" spans="5:19" x14ac:dyDescent="0.75">
      <c r="E60">
        <v>55</v>
      </c>
      <c r="F60">
        <v>100</v>
      </c>
      <c r="G60">
        <f t="shared" ca="1" si="2"/>
        <v>105.9902524480068</v>
      </c>
      <c r="H60">
        <f t="shared" ca="1" si="2"/>
        <v>114.42652014892559</v>
      </c>
      <c r="I60">
        <f t="shared" ca="1" si="2"/>
        <v>112.79325592924667</v>
      </c>
      <c r="J60">
        <f t="shared" ca="1" si="2"/>
        <v>116.16352130324837</v>
      </c>
      <c r="K60">
        <f t="shared" ref="K60:P60" ca="1" si="59">J60*EXP(($C$4-0.5*$C$5^2)*$C$10+$C$5*SQRT($C$10)*NORMINV(RAND(),0,1))</f>
        <v>110.36130565092922</v>
      </c>
      <c r="L60">
        <f t="shared" ca="1" si="59"/>
        <v>111.68057721795201</v>
      </c>
      <c r="M60">
        <f t="shared" ca="1" si="59"/>
        <v>119.91368190544597</v>
      </c>
      <c r="N60">
        <f t="shared" ca="1" si="59"/>
        <v>109.62253565839548</v>
      </c>
      <c r="O60">
        <f t="shared" ca="1" si="59"/>
        <v>107.40593209234102</v>
      </c>
      <c r="P60">
        <f t="shared" ca="1" si="59"/>
        <v>97.49419409418735</v>
      </c>
      <c r="Q60">
        <f t="shared" ca="1" si="4"/>
        <v>109.62288876806169</v>
      </c>
      <c r="R60">
        <f t="shared" ca="1" si="5"/>
        <v>9.622888768061685</v>
      </c>
      <c r="S60">
        <f t="shared" ca="1" si="6"/>
        <v>9.4323428038325403</v>
      </c>
    </row>
    <row r="61" spans="5:19" x14ac:dyDescent="0.75">
      <c r="E61">
        <v>56</v>
      </c>
      <c r="F61">
        <v>100</v>
      </c>
      <c r="G61">
        <f t="shared" ca="1" si="2"/>
        <v>98.267130603698007</v>
      </c>
      <c r="H61">
        <f t="shared" ca="1" si="2"/>
        <v>103.89235921255981</v>
      </c>
      <c r="I61">
        <f t="shared" ca="1" si="2"/>
        <v>120.50348009552323</v>
      </c>
      <c r="J61">
        <f t="shared" ca="1" si="2"/>
        <v>142.3625182403816</v>
      </c>
      <c r="K61">
        <f t="shared" ref="K61:P61" ca="1" si="60">J61*EXP(($C$4-0.5*$C$5^2)*$C$10+$C$5*SQRT($C$10)*NORMINV(RAND(),0,1))</f>
        <v>146.09811617980213</v>
      </c>
      <c r="L61">
        <f t="shared" ca="1" si="60"/>
        <v>157.2153407055637</v>
      </c>
      <c r="M61">
        <f t="shared" ca="1" si="60"/>
        <v>170.95985298104506</v>
      </c>
      <c r="N61">
        <f t="shared" ca="1" si="60"/>
        <v>165.72753143842576</v>
      </c>
      <c r="O61">
        <f t="shared" ca="1" si="60"/>
        <v>172.98864190919335</v>
      </c>
      <c r="P61">
        <f t="shared" ca="1" si="60"/>
        <v>180.00835921597258</v>
      </c>
      <c r="Q61">
        <f t="shared" ca="1" si="4"/>
        <v>141.63848459837865</v>
      </c>
      <c r="R61">
        <f t="shared" ca="1" si="5"/>
        <v>41.638484598378653</v>
      </c>
      <c r="S61">
        <f t="shared" ca="1" si="6"/>
        <v>40.813987361834521</v>
      </c>
    </row>
    <row r="62" spans="5:19" x14ac:dyDescent="0.75">
      <c r="E62">
        <v>57</v>
      </c>
      <c r="F62">
        <v>100</v>
      </c>
      <c r="G62">
        <f t="shared" ca="1" si="2"/>
        <v>106.07043677916612</v>
      </c>
      <c r="H62">
        <f t="shared" ca="1" si="2"/>
        <v>99.636005621474354</v>
      </c>
      <c r="I62">
        <f t="shared" ca="1" si="2"/>
        <v>97.111007414135386</v>
      </c>
      <c r="J62">
        <f t="shared" ca="1" si="2"/>
        <v>92.445401748884819</v>
      </c>
      <c r="K62">
        <f t="shared" ref="K62:P62" ca="1" si="61">J62*EXP(($C$4-0.5*$C$5^2)*$C$10+$C$5*SQRT($C$10)*NORMINV(RAND(),0,1))</f>
        <v>88.578624987904291</v>
      </c>
      <c r="L62">
        <f t="shared" ca="1" si="61"/>
        <v>90.13279393138896</v>
      </c>
      <c r="M62">
        <f t="shared" ca="1" si="61"/>
        <v>80.524577701497506</v>
      </c>
      <c r="N62">
        <f t="shared" ca="1" si="61"/>
        <v>76.429228820404589</v>
      </c>
      <c r="O62">
        <f t="shared" ca="1" si="61"/>
        <v>72.813271504005741</v>
      </c>
      <c r="P62">
        <f t="shared" ca="1" si="61"/>
        <v>77.483578506921987</v>
      </c>
      <c r="Q62">
        <f t="shared" ca="1" si="4"/>
        <v>89.202266092343962</v>
      </c>
      <c r="R62">
        <f t="shared" ca="1" si="5"/>
        <v>0</v>
      </c>
      <c r="S62">
        <f t="shared" ca="1" si="6"/>
        <v>0</v>
      </c>
    </row>
    <row r="63" spans="5:19" x14ac:dyDescent="0.75">
      <c r="E63">
        <v>58</v>
      </c>
      <c r="F63">
        <v>100</v>
      </c>
      <c r="G63">
        <f t="shared" ca="1" si="2"/>
        <v>88.790184188066988</v>
      </c>
      <c r="H63">
        <f t="shared" ca="1" si="2"/>
        <v>102.30928540358049</v>
      </c>
      <c r="I63">
        <f t="shared" ca="1" si="2"/>
        <v>109.3239618562171</v>
      </c>
      <c r="J63">
        <f t="shared" ca="1" si="2"/>
        <v>103.2108807919215</v>
      </c>
      <c r="K63">
        <f t="shared" ref="K63:P63" ca="1" si="62">J63*EXP(($C$4-0.5*$C$5^2)*$C$10+$C$5*SQRT($C$10)*NORMINV(RAND(),0,1))</f>
        <v>109.11695795890496</v>
      </c>
      <c r="L63">
        <f t="shared" ca="1" si="62"/>
        <v>106.33404390053516</v>
      </c>
      <c r="M63">
        <f t="shared" ca="1" si="62"/>
        <v>120.29433034897968</v>
      </c>
      <c r="N63">
        <f t="shared" ca="1" si="62"/>
        <v>108.64268997403191</v>
      </c>
      <c r="O63">
        <f t="shared" ca="1" si="62"/>
        <v>103.38551487031063</v>
      </c>
      <c r="P63">
        <f t="shared" ca="1" si="62"/>
        <v>98.213855426280261</v>
      </c>
      <c r="Q63">
        <f t="shared" ca="1" si="4"/>
        <v>104.51106406534808</v>
      </c>
      <c r="R63">
        <f t="shared" ca="1" si="5"/>
        <v>4.51106406534808</v>
      </c>
      <c r="S63">
        <f t="shared" ca="1" si="6"/>
        <v>4.4217390120559656</v>
      </c>
    </row>
    <row r="64" spans="5:19" x14ac:dyDescent="0.75">
      <c r="E64">
        <v>59</v>
      </c>
      <c r="F64">
        <v>100</v>
      </c>
      <c r="G64">
        <f t="shared" ca="1" si="2"/>
        <v>101.28288735197451</v>
      </c>
      <c r="H64">
        <f t="shared" ca="1" si="2"/>
        <v>101.14578549979744</v>
      </c>
      <c r="I64">
        <f t="shared" ca="1" si="2"/>
        <v>102.72186528404428</v>
      </c>
      <c r="J64">
        <f t="shared" ca="1" si="2"/>
        <v>105.1015584833782</v>
      </c>
      <c r="K64">
        <f t="shared" ref="K64:P64" ca="1" si="63">J64*EXP(($C$4-0.5*$C$5^2)*$C$10+$C$5*SQRT($C$10)*NORMINV(RAND(),0,1))</f>
        <v>95.788398715987867</v>
      </c>
      <c r="L64">
        <f t="shared" ca="1" si="63"/>
        <v>98.781004229000203</v>
      </c>
      <c r="M64">
        <f t="shared" ca="1" si="63"/>
        <v>91.834249741515862</v>
      </c>
      <c r="N64">
        <f t="shared" ca="1" si="63"/>
        <v>96.644258721890907</v>
      </c>
      <c r="O64">
        <f t="shared" ca="1" si="63"/>
        <v>94.876192092759794</v>
      </c>
      <c r="P64">
        <f t="shared" ca="1" si="63"/>
        <v>83.68375351220331</v>
      </c>
      <c r="Q64">
        <f t="shared" ca="1" si="4"/>
        <v>97.44181396659566</v>
      </c>
      <c r="R64">
        <f t="shared" ca="1" si="5"/>
        <v>0</v>
      </c>
      <c r="S64">
        <f t="shared" ca="1" si="6"/>
        <v>0</v>
      </c>
    </row>
    <row r="65" spans="5:19" x14ac:dyDescent="0.75">
      <c r="E65">
        <v>60</v>
      </c>
      <c r="F65">
        <v>100</v>
      </c>
      <c r="G65">
        <f t="shared" ca="1" si="2"/>
        <v>98.451672037907755</v>
      </c>
      <c r="H65">
        <f t="shared" ca="1" si="2"/>
        <v>113.24594062157774</v>
      </c>
      <c r="I65">
        <f t="shared" ca="1" si="2"/>
        <v>116.19282502435628</v>
      </c>
      <c r="J65">
        <f t="shared" ca="1" si="2"/>
        <v>116.32921303862841</v>
      </c>
      <c r="K65">
        <f t="shared" ref="K65:P65" ca="1" si="64">J65*EXP(($C$4-0.5*$C$5^2)*$C$10+$C$5*SQRT($C$10)*NORMINV(RAND(),0,1))</f>
        <v>111.84474924467715</v>
      </c>
      <c r="L65">
        <f t="shared" ca="1" si="64"/>
        <v>131.66787457077552</v>
      </c>
      <c r="M65">
        <f t="shared" ca="1" si="64"/>
        <v>132.74742559747108</v>
      </c>
      <c r="N65">
        <f t="shared" ca="1" si="64"/>
        <v>131.35619214824831</v>
      </c>
      <c r="O65">
        <f t="shared" ca="1" si="64"/>
        <v>136.80280419265168</v>
      </c>
      <c r="P65">
        <f t="shared" ca="1" si="64"/>
        <v>127.77898467490708</v>
      </c>
      <c r="Q65">
        <f t="shared" ca="1" si="4"/>
        <v>119.67433465010919</v>
      </c>
      <c r="R65">
        <f t="shared" ca="1" si="5"/>
        <v>19.674334650109188</v>
      </c>
      <c r="S65">
        <f t="shared" ca="1" si="6"/>
        <v>19.284756722230149</v>
      </c>
    </row>
    <row r="66" spans="5:19" x14ac:dyDescent="0.75">
      <c r="E66">
        <v>61</v>
      </c>
      <c r="F66">
        <v>100</v>
      </c>
      <c r="G66">
        <f t="shared" ca="1" si="2"/>
        <v>119.87473469632334</v>
      </c>
      <c r="H66">
        <f t="shared" ca="1" si="2"/>
        <v>119.2971954948695</v>
      </c>
      <c r="I66">
        <f t="shared" ca="1" si="2"/>
        <v>133.15529326952171</v>
      </c>
      <c r="J66">
        <f t="shared" ca="1" si="2"/>
        <v>134.55092876941831</v>
      </c>
      <c r="K66">
        <f t="shared" ref="K66:P66" ca="1" si="65">J66*EXP(($C$4-0.5*$C$5^2)*$C$10+$C$5*SQRT($C$10)*NORMINV(RAND(),0,1))</f>
        <v>133.95296033678045</v>
      </c>
      <c r="L66">
        <f t="shared" ca="1" si="65"/>
        <v>135.97447990640464</v>
      </c>
      <c r="M66">
        <f t="shared" ca="1" si="65"/>
        <v>135.79380407905253</v>
      </c>
      <c r="N66">
        <f t="shared" ca="1" si="65"/>
        <v>143.72698192656699</v>
      </c>
      <c r="O66">
        <f t="shared" ca="1" si="65"/>
        <v>140.39991879915237</v>
      </c>
      <c r="P66">
        <f t="shared" ca="1" si="65"/>
        <v>149.58259871165677</v>
      </c>
      <c r="Q66">
        <f t="shared" ca="1" si="4"/>
        <v>131.48262690815881</v>
      </c>
      <c r="R66">
        <f t="shared" ca="1" si="5"/>
        <v>31.482626908158807</v>
      </c>
      <c r="S66">
        <f t="shared" ca="1" si="6"/>
        <v>30.859229127588815</v>
      </c>
    </row>
    <row r="67" spans="5:19" x14ac:dyDescent="0.75">
      <c r="E67">
        <v>62</v>
      </c>
      <c r="F67">
        <v>100</v>
      </c>
      <c r="G67">
        <f t="shared" ca="1" si="2"/>
        <v>88.395468153742343</v>
      </c>
      <c r="H67">
        <f t="shared" ca="1" si="2"/>
        <v>82.345779769737987</v>
      </c>
      <c r="I67">
        <f t="shared" ca="1" si="2"/>
        <v>81.197054604417744</v>
      </c>
      <c r="J67">
        <f t="shared" ca="1" si="2"/>
        <v>81.672606960210487</v>
      </c>
      <c r="K67">
        <f t="shared" ref="K67:P67" ca="1" si="66">J67*EXP(($C$4-0.5*$C$5^2)*$C$10+$C$5*SQRT($C$10)*NORMINV(RAND(),0,1))</f>
        <v>82.766303846716568</v>
      </c>
      <c r="L67">
        <f t="shared" ca="1" si="66"/>
        <v>83.643992409114105</v>
      </c>
      <c r="M67">
        <f t="shared" ca="1" si="66"/>
        <v>86.561674797645537</v>
      </c>
      <c r="N67">
        <f t="shared" ca="1" si="66"/>
        <v>80.358819556515201</v>
      </c>
      <c r="O67">
        <f t="shared" ca="1" si="66"/>
        <v>80.917137546594816</v>
      </c>
      <c r="P67">
        <f t="shared" ca="1" si="66"/>
        <v>78.845750809664978</v>
      </c>
      <c r="Q67">
        <f t="shared" ca="1" si="4"/>
        <v>84.245871677669072</v>
      </c>
      <c r="R67">
        <f t="shared" ca="1" si="5"/>
        <v>0</v>
      </c>
      <c r="S67">
        <f t="shared" ca="1" si="6"/>
        <v>0</v>
      </c>
    </row>
    <row r="68" spans="5:19" x14ac:dyDescent="0.75">
      <c r="E68">
        <v>63</v>
      </c>
      <c r="F68">
        <v>100</v>
      </c>
      <c r="G68">
        <f t="shared" ca="1" si="2"/>
        <v>96.66107777054566</v>
      </c>
      <c r="H68">
        <f t="shared" ca="1" si="2"/>
        <v>98.435661241060288</v>
      </c>
      <c r="I68">
        <f t="shared" ca="1" si="2"/>
        <v>92.116450082099064</v>
      </c>
      <c r="J68">
        <f t="shared" ca="1" si="2"/>
        <v>89.7740850428778</v>
      </c>
      <c r="K68">
        <f t="shared" ref="K68:P68" ca="1" si="67">J68*EXP(($C$4-0.5*$C$5^2)*$C$10+$C$5*SQRT($C$10)*NORMINV(RAND(),0,1))</f>
        <v>91.991202077309339</v>
      </c>
      <c r="L68">
        <f t="shared" ca="1" si="67"/>
        <v>97.955982439403499</v>
      </c>
      <c r="M68">
        <f t="shared" ca="1" si="67"/>
        <v>104.51991887664323</v>
      </c>
      <c r="N68">
        <f t="shared" ca="1" si="67"/>
        <v>106.51845469528055</v>
      </c>
      <c r="O68">
        <f t="shared" ca="1" si="67"/>
        <v>105.15128112350365</v>
      </c>
      <c r="P68">
        <f t="shared" ca="1" si="67"/>
        <v>100.23815687749976</v>
      </c>
      <c r="Q68">
        <f t="shared" ca="1" si="4"/>
        <v>98.487479111474798</v>
      </c>
      <c r="R68">
        <f t="shared" ca="1" si="5"/>
        <v>0</v>
      </c>
      <c r="S68">
        <f t="shared" ca="1" si="6"/>
        <v>0</v>
      </c>
    </row>
    <row r="69" spans="5:19" x14ac:dyDescent="0.75">
      <c r="E69">
        <v>64</v>
      </c>
      <c r="F69">
        <v>100</v>
      </c>
      <c r="G69">
        <f t="shared" ca="1" si="2"/>
        <v>112.82943857589467</v>
      </c>
      <c r="H69">
        <f t="shared" ca="1" si="2"/>
        <v>98.889997540238596</v>
      </c>
      <c r="I69">
        <f t="shared" ca="1" si="2"/>
        <v>90.913284329729862</v>
      </c>
      <c r="J69">
        <f t="shared" ca="1" si="2"/>
        <v>89.416336838005108</v>
      </c>
      <c r="K69">
        <f t="shared" ref="K69:P69" ca="1" si="68">J69*EXP(($C$4-0.5*$C$5^2)*$C$10+$C$5*SQRT($C$10)*NORMINV(RAND(),0,1))</f>
        <v>88.425800189758405</v>
      </c>
      <c r="L69">
        <f t="shared" ca="1" si="68"/>
        <v>83.17374906586835</v>
      </c>
      <c r="M69">
        <f t="shared" ca="1" si="68"/>
        <v>85.28413937525913</v>
      </c>
      <c r="N69">
        <f t="shared" ca="1" si="68"/>
        <v>86.694695584952171</v>
      </c>
      <c r="O69">
        <f t="shared" ca="1" si="68"/>
        <v>87.712931487934313</v>
      </c>
      <c r="P69">
        <f t="shared" ca="1" si="68"/>
        <v>82.521503250585809</v>
      </c>
      <c r="Q69">
        <f t="shared" ca="1" si="4"/>
        <v>91.441988748929674</v>
      </c>
      <c r="R69">
        <f t="shared" ca="1" si="5"/>
        <v>0</v>
      </c>
      <c r="S69">
        <f t="shared" ca="1" si="6"/>
        <v>0</v>
      </c>
    </row>
    <row r="70" spans="5:19" x14ac:dyDescent="0.75">
      <c r="E70">
        <v>65</v>
      </c>
      <c r="F70">
        <v>100</v>
      </c>
      <c r="G70">
        <f t="shared" ca="1" si="2"/>
        <v>99.315826829025895</v>
      </c>
      <c r="H70">
        <f t="shared" ca="1" si="2"/>
        <v>99.259658829160699</v>
      </c>
      <c r="I70">
        <f t="shared" ca="1" si="2"/>
        <v>102.6344731640056</v>
      </c>
      <c r="J70">
        <f t="shared" ref="J70:P70" ca="1" si="69">I70*EXP(($C$4-0.5*$C$5^2)*$C$10+$C$5*SQRT($C$10)*NORMINV(RAND(),0,1))</f>
        <v>98.157143743116464</v>
      </c>
      <c r="K70">
        <f t="shared" ca="1" si="69"/>
        <v>105.66925336407866</v>
      </c>
      <c r="L70">
        <f t="shared" ca="1" si="69"/>
        <v>107.44828525211258</v>
      </c>
      <c r="M70">
        <f t="shared" ca="1" si="69"/>
        <v>115.7675226758919</v>
      </c>
      <c r="N70">
        <f t="shared" ca="1" si="69"/>
        <v>119.58239586286959</v>
      </c>
      <c r="O70">
        <f t="shared" ca="1" si="69"/>
        <v>109.30523340288504</v>
      </c>
      <c r="P70">
        <f t="shared" ca="1" si="69"/>
        <v>111.99112211188337</v>
      </c>
      <c r="Q70">
        <f t="shared" ca="1" si="4"/>
        <v>106.28462865772998</v>
      </c>
      <c r="R70">
        <f t="shared" ca="1" si="5"/>
        <v>6.2846286577299821</v>
      </c>
      <c r="S70">
        <f t="shared" ca="1" si="6"/>
        <v>6.1601846725325426</v>
      </c>
    </row>
    <row r="71" spans="5:19" x14ac:dyDescent="0.75">
      <c r="E71">
        <v>66</v>
      </c>
      <c r="F71">
        <v>100</v>
      </c>
      <c r="G71">
        <f t="shared" ref="G71:J134" ca="1" si="70">F71*EXP(($C$4-0.5*$C$5^2)*$C$10+$C$5*SQRT($C$10)*NORMINV(RAND(),0,1))</f>
        <v>104.97062106477087</v>
      </c>
      <c r="H71">
        <f t="shared" ca="1" si="70"/>
        <v>103.56206575718117</v>
      </c>
      <c r="I71">
        <f t="shared" ca="1" si="70"/>
        <v>118.38545808999241</v>
      </c>
      <c r="J71">
        <f t="shared" ca="1" si="70"/>
        <v>123.21408729103302</v>
      </c>
      <c r="K71">
        <f t="shared" ref="K71:P71" ca="1" si="71">J71*EXP(($C$4-0.5*$C$5^2)*$C$10+$C$5*SQRT($C$10)*NORMINV(RAND(),0,1))</f>
        <v>111.13803072325528</v>
      </c>
      <c r="L71">
        <f t="shared" ca="1" si="71"/>
        <v>105.50860456346069</v>
      </c>
      <c r="M71">
        <f t="shared" ca="1" si="71"/>
        <v>101.61598984630274</v>
      </c>
      <c r="N71">
        <f t="shared" ca="1" si="71"/>
        <v>87.390186667147546</v>
      </c>
      <c r="O71">
        <f t="shared" ca="1" si="71"/>
        <v>85.996626502801746</v>
      </c>
      <c r="P71">
        <f t="shared" ca="1" si="71"/>
        <v>88.184223590009509</v>
      </c>
      <c r="Q71">
        <f t="shared" ref="Q71:Q134" ca="1" si="72">AVERAGE(F71:P71)</f>
        <v>102.72417219054135</v>
      </c>
      <c r="R71">
        <f t="shared" ref="R71:R134" ca="1" si="73">MAX(Q71-$C$7,0)</f>
        <v>2.7241721905413527</v>
      </c>
      <c r="S71">
        <f t="shared" ref="S71:S134" ca="1" si="74">EXP(-$C$4*$C$6)*R71</f>
        <v>2.6702299670277911</v>
      </c>
    </row>
    <row r="72" spans="5:19" x14ac:dyDescent="0.75">
      <c r="E72">
        <v>67</v>
      </c>
      <c r="F72">
        <v>100</v>
      </c>
      <c r="G72">
        <f t="shared" ca="1" si="70"/>
        <v>98.907024523938532</v>
      </c>
      <c r="H72">
        <f t="shared" ca="1" si="70"/>
        <v>97.499130541687848</v>
      </c>
      <c r="I72">
        <f t="shared" ca="1" si="70"/>
        <v>107.12493094154323</v>
      </c>
      <c r="J72">
        <f t="shared" ca="1" si="70"/>
        <v>102.25783622233365</v>
      </c>
      <c r="K72">
        <f t="shared" ref="K72:P72" ca="1" si="75">J72*EXP(($C$4-0.5*$C$5^2)*$C$10+$C$5*SQRT($C$10)*NORMINV(RAND(),0,1))</f>
        <v>103.77473223387308</v>
      </c>
      <c r="L72">
        <f t="shared" ca="1" si="75"/>
        <v>109.73533628899185</v>
      </c>
      <c r="M72">
        <f t="shared" ca="1" si="75"/>
        <v>117.68611996070157</v>
      </c>
      <c r="N72">
        <f t="shared" ca="1" si="75"/>
        <v>111.61847244389271</v>
      </c>
      <c r="O72">
        <f t="shared" ca="1" si="75"/>
        <v>116.92279414044073</v>
      </c>
      <c r="P72">
        <f t="shared" ca="1" si="75"/>
        <v>124.19823006896775</v>
      </c>
      <c r="Q72">
        <f t="shared" ca="1" si="72"/>
        <v>108.1567824878519</v>
      </c>
      <c r="R72">
        <f t="shared" ca="1" si="73"/>
        <v>8.1567824878518991</v>
      </c>
      <c r="S72">
        <f t="shared" ca="1" si="74"/>
        <v>7.9952673730442063</v>
      </c>
    </row>
    <row r="73" spans="5:19" x14ac:dyDescent="0.75">
      <c r="E73">
        <v>68</v>
      </c>
      <c r="F73">
        <v>100</v>
      </c>
      <c r="G73">
        <f t="shared" ca="1" si="70"/>
        <v>90.326301803810054</v>
      </c>
      <c r="H73">
        <f t="shared" ca="1" si="70"/>
        <v>86.126766864912341</v>
      </c>
      <c r="I73">
        <f t="shared" ca="1" si="70"/>
        <v>81.087352095797797</v>
      </c>
      <c r="J73">
        <f t="shared" ca="1" si="70"/>
        <v>81.051320729792408</v>
      </c>
      <c r="K73">
        <f t="shared" ref="K73:P73" ca="1" si="76">J73*EXP(($C$4-0.5*$C$5^2)*$C$10+$C$5*SQRT($C$10)*NORMINV(RAND(),0,1))</f>
        <v>84.201384216354086</v>
      </c>
      <c r="L73">
        <f t="shared" ca="1" si="76"/>
        <v>82.879128087608962</v>
      </c>
      <c r="M73">
        <f t="shared" ca="1" si="76"/>
        <v>89.559085143059818</v>
      </c>
      <c r="N73">
        <f t="shared" ca="1" si="76"/>
        <v>82.009704574292385</v>
      </c>
      <c r="O73">
        <f t="shared" ca="1" si="76"/>
        <v>81.945434587572564</v>
      </c>
      <c r="P73">
        <f t="shared" ca="1" si="76"/>
        <v>71.692478457326814</v>
      </c>
      <c r="Q73">
        <f t="shared" ca="1" si="72"/>
        <v>84.625359687320653</v>
      </c>
      <c r="R73">
        <f t="shared" ca="1" si="73"/>
        <v>0</v>
      </c>
      <c r="S73">
        <f t="shared" ca="1" si="74"/>
        <v>0</v>
      </c>
    </row>
    <row r="74" spans="5:19" x14ac:dyDescent="0.75">
      <c r="E74">
        <v>69</v>
      </c>
      <c r="F74">
        <v>100</v>
      </c>
      <c r="G74">
        <f t="shared" ca="1" si="70"/>
        <v>90.25496789824669</v>
      </c>
      <c r="H74">
        <f t="shared" ca="1" si="70"/>
        <v>87.789460521940441</v>
      </c>
      <c r="I74">
        <f t="shared" ca="1" si="70"/>
        <v>87.552169198875674</v>
      </c>
      <c r="J74">
        <f t="shared" ca="1" si="70"/>
        <v>87.153073313057163</v>
      </c>
      <c r="K74">
        <f t="shared" ref="K74:P74" ca="1" si="77">J74*EXP(($C$4-0.5*$C$5^2)*$C$10+$C$5*SQRT($C$10)*NORMINV(RAND(),0,1))</f>
        <v>87.282108573466729</v>
      </c>
      <c r="L74">
        <f t="shared" ca="1" si="77"/>
        <v>74.740400002436658</v>
      </c>
      <c r="M74">
        <f t="shared" ca="1" si="77"/>
        <v>72.73276935288149</v>
      </c>
      <c r="N74">
        <f t="shared" ca="1" si="77"/>
        <v>67.854501191425967</v>
      </c>
      <c r="O74">
        <f t="shared" ca="1" si="77"/>
        <v>68.939924708550478</v>
      </c>
      <c r="P74">
        <f t="shared" ca="1" si="77"/>
        <v>68.166413548091114</v>
      </c>
      <c r="Q74">
        <f t="shared" ca="1" si="72"/>
        <v>81.133253482633862</v>
      </c>
      <c r="R74">
        <f t="shared" ca="1" si="73"/>
        <v>0</v>
      </c>
      <c r="S74">
        <f t="shared" ca="1" si="74"/>
        <v>0</v>
      </c>
    </row>
    <row r="75" spans="5:19" x14ac:dyDescent="0.75">
      <c r="E75">
        <v>70</v>
      </c>
      <c r="F75">
        <v>100</v>
      </c>
      <c r="G75">
        <f t="shared" ca="1" si="70"/>
        <v>101.49846303923181</v>
      </c>
      <c r="H75">
        <f t="shared" ca="1" si="70"/>
        <v>95.491943017543463</v>
      </c>
      <c r="I75">
        <f t="shared" ca="1" si="70"/>
        <v>89.187142999499486</v>
      </c>
      <c r="J75">
        <f t="shared" ca="1" si="70"/>
        <v>89.25050213490141</v>
      </c>
      <c r="K75">
        <f t="shared" ref="K75:P75" ca="1" si="78">J75*EXP(($C$4-0.5*$C$5^2)*$C$10+$C$5*SQRT($C$10)*NORMINV(RAND(),0,1))</f>
        <v>83.6724811549051</v>
      </c>
      <c r="L75">
        <f t="shared" ca="1" si="78"/>
        <v>85.86453633066651</v>
      </c>
      <c r="M75">
        <f t="shared" ca="1" si="78"/>
        <v>82.148702111832819</v>
      </c>
      <c r="N75">
        <f t="shared" ca="1" si="78"/>
        <v>84.741370843225113</v>
      </c>
      <c r="O75">
        <f t="shared" ca="1" si="78"/>
        <v>83.177563768482415</v>
      </c>
      <c r="P75">
        <f t="shared" ca="1" si="78"/>
        <v>91.852823647427499</v>
      </c>
      <c r="Q75">
        <f t="shared" ca="1" si="72"/>
        <v>89.716866277065051</v>
      </c>
      <c r="R75">
        <f t="shared" ca="1" si="73"/>
        <v>0</v>
      </c>
      <c r="S75">
        <f t="shared" ca="1" si="74"/>
        <v>0</v>
      </c>
    </row>
    <row r="76" spans="5:19" x14ac:dyDescent="0.75">
      <c r="E76">
        <v>71</v>
      </c>
      <c r="F76">
        <v>100</v>
      </c>
      <c r="G76">
        <f t="shared" ca="1" si="70"/>
        <v>98.114926599607969</v>
      </c>
      <c r="H76">
        <f t="shared" ca="1" si="70"/>
        <v>97.341028404253393</v>
      </c>
      <c r="I76">
        <f t="shared" ca="1" si="70"/>
        <v>94.887719576952435</v>
      </c>
      <c r="J76">
        <f t="shared" ca="1" si="70"/>
        <v>98.083927685643602</v>
      </c>
      <c r="K76">
        <f t="shared" ref="K76:P76" ca="1" si="79">J76*EXP(($C$4-0.5*$C$5^2)*$C$10+$C$5*SQRT($C$10)*NORMINV(RAND(),0,1))</f>
        <v>93.544135985868266</v>
      </c>
      <c r="L76">
        <f t="shared" ca="1" si="79"/>
        <v>96.139021870064283</v>
      </c>
      <c r="M76">
        <f t="shared" ca="1" si="79"/>
        <v>82.825164498863828</v>
      </c>
      <c r="N76">
        <f t="shared" ca="1" si="79"/>
        <v>86.404242092955769</v>
      </c>
      <c r="O76">
        <f t="shared" ca="1" si="79"/>
        <v>83.483607407338141</v>
      </c>
      <c r="P76">
        <f t="shared" ca="1" si="79"/>
        <v>90.769135532494587</v>
      </c>
      <c r="Q76">
        <f t="shared" ca="1" si="72"/>
        <v>92.87208269582203</v>
      </c>
      <c r="R76">
        <f t="shared" ca="1" si="73"/>
        <v>0</v>
      </c>
      <c r="S76">
        <f t="shared" ca="1" si="74"/>
        <v>0</v>
      </c>
    </row>
    <row r="77" spans="5:19" x14ac:dyDescent="0.75">
      <c r="E77">
        <v>72</v>
      </c>
      <c r="F77">
        <v>100</v>
      </c>
      <c r="G77">
        <f t="shared" ca="1" si="70"/>
        <v>99.214811496669881</v>
      </c>
      <c r="H77">
        <f t="shared" ca="1" si="70"/>
        <v>96.714488696218851</v>
      </c>
      <c r="I77">
        <f t="shared" ca="1" si="70"/>
        <v>97.952838538964599</v>
      </c>
      <c r="J77">
        <f t="shared" ca="1" si="70"/>
        <v>95.389126057404766</v>
      </c>
      <c r="K77">
        <f t="shared" ref="K77:P77" ca="1" si="80">J77*EXP(($C$4-0.5*$C$5^2)*$C$10+$C$5*SQRT($C$10)*NORMINV(RAND(),0,1))</f>
        <v>93.451087704858026</v>
      </c>
      <c r="L77">
        <f t="shared" ca="1" si="80"/>
        <v>86.848655826304963</v>
      </c>
      <c r="M77">
        <f t="shared" ca="1" si="80"/>
        <v>81.508220590844729</v>
      </c>
      <c r="N77">
        <f t="shared" ca="1" si="80"/>
        <v>81.52155896421155</v>
      </c>
      <c r="O77">
        <f t="shared" ca="1" si="80"/>
        <v>83.839663581478021</v>
      </c>
      <c r="P77">
        <f t="shared" ca="1" si="80"/>
        <v>91.386250629346904</v>
      </c>
      <c r="Q77">
        <f t="shared" ca="1" si="72"/>
        <v>91.620609280572936</v>
      </c>
      <c r="R77">
        <f t="shared" ca="1" si="73"/>
        <v>0</v>
      </c>
      <c r="S77">
        <f t="shared" ca="1" si="74"/>
        <v>0</v>
      </c>
    </row>
    <row r="78" spans="5:19" x14ac:dyDescent="0.75">
      <c r="E78">
        <v>73</v>
      </c>
      <c r="F78">
        <v>100</v>
      </c>
      <c r="G78">
        <f t="shared" ca="1" si="70"/>
        <v>99.284503535917153</v>
      </c>
      <c r="H78">
        <f t="shared" ca="1" si="70"/>
        <v>96.689308063918702</v>
      </c>
      <c r="I78">
        <f t="shared" ca="1" si="70"/>
        <v>91.75106231895937</v>
      </c>
      <c r="J78">
        <f t="shared" ca="1" si="70"/>
        <v>98.295356639221438</v>
      </c>
      <c r="K78">
        <f t="shared" ref="K78:P78" ca="1" si="81">J78*EXP(($C$4-0.5*$C$5^2)*$C$10+$C$5*SQRT($C$10)*NORMINV(RAND(),0,1))</f>
        <v>102.25007041056861</v>
      </c>
      <c r="L78">
        <f t="shared" ca="1" si="81"/>
        <v>97.115170497770933</v>
      </c>
      <c r="M78">
        <f t="shared" ca="1" si="81"/>
        <v>102.52184374883167</v>
      </c>
      <c r="N78">
        <f t="shared" ca="1" si="81"/>
        <v>97.436457404474211</v>
      </c>
      <c r="O78">
        <f t="shared" ca="1" si="81"/>
        <v>92.017318535846911</v>
      </c>
      <c r="P78">
        <f t="shared" ca="1" si="81"/>
        <v>94.590500989737464</v>
      </c>
      <c r="Q78">
        <f t="shared" ca="1" si="72"/>
        <v>97.450144740476944</v>
      </c>
      <c r="R78">
        <f t="shared" ca="1" si="73"/>
        <v>0</v>
      </c>
      <c r="S78">
        <f t="shared" ca="1" si="74"/>
        <v>0</v>
      </c>
    </row>
    <row r="79" spans="5:19" x14ac:dyDescent="0.75">
      <c r="E79">
        <v>74</v>
      </c>
      <c r="F79">
        <v>100</v>
      </c>
      <c r="G79">
        <f t="shared" ca="1" si="70"/>
        <v>102.3655131589279</v>
      </c>
      <c r="H79">
        <f t="shared" ca="1" si="70"/>
        <v>104.10810271517626</v>
      </c>
      <c r="I79">
        <f t="shared" ca="1" si="70"/>
        <v>107.56111779081382</v>
      </c>
      <c r="J79">
        <f t="shared" ca="1" si="70"/>
        <v>125.75104504675446</v>
      </c>
      <c r="K79">
        <f t="shared" ref="K79:P79" ca="1" si="82">J79*EXP(($C$4-0.5*$C$5^2)*$C$10+$C$5*SQRT($C$10)*NORMINV(RAND(),0,1))</f>
        <v>129.8706303042548</v>
      </c>
      <c r="L79">
        <f t="shared" ca="1" si="82"/>
        <v>145.24881940293872</v>
      </c>
      <c r="M79">
        <f t="shared" ca="1" si="82"/>
        <v>131.15804835494251</v>
      </c>
      <c r="N79">
        <f t="shared" ca="1" si="82"/>
        <v>125.88745757057555</v>
      </c>
      <c r="O79">
        <f t="shared" ca="1" si="82"/>
        <v>121.85863445274903</v>
      </c>
      <c r="P79">
        <f t="shared" ca="1" si="82"/>
        <v>117.79499778635355</v>
      </c>
      <c r="Q79">
        <f t="shared" ca="1" si="72"/>
        <v>119.2367605984988</v>
      </c>
      <c r="R79">
        <f t="shared" ca="1" si="73"/>
        <v>19.236760598498805</v>
      </c>
      <c r="S79">
        <f t="shared" ca="1" si="74"/>
        <v>18.85584721736819</v>
      </c>
    </row>
    <row r="80" spans="5:19" x14ac:dyDescent="0.75">
      <c r="E80">
        <v>75</v>
      </c>
      <c r="F80">
        <v>100</v>
      </c>
      <c r="G80">
        <f t="shared" ca="1" si="70"/>
        <v>96.199943890270717</v>
      </c>
      <c r="H80">
        <f t="shared" ca="1" si="70"/>
        <v>102.21258069823361</v>
      </c>
      <c r="I80">
        <f t="shared" ca="1" si="70"/>
        <v>100.77124089169018</v>
      </c>
      <c r="J80">
        <f t="shared" ca="1" si="70"/>
        <v>106.49720604282356</v>
      </c>
      <c r="K80">
        <f t="shared" ref="K80:P80" ca="1" si="83">J80*EXP(($C$4-0.5*$C$5^2)*$C$10+$C$5*SQRT($C$10)*NORMINV(RAND(),0,1))</f>
        <v>101.77737930026306</v>
      </c>
      <c r="L80">
        <f t="shared" ca="1" si="83"/>
        <v>106.72203392598202</v>
      </c>
      <c r="M80">
        <f t="shared" ca="1" si="83"/>
        <v>102.7021863722545</v>
      </c>
      <c r="N80">
        <f t="shared" ca="1" si="83"/>
        <v>106.07753358841923</v>
      </c>
      <c r="O80">
        <f t="shared" ca="1" si="83"/>
        <v>107.78063478566072</v>
      </c>
      <c r="P80">
        <f t="shared" ca="1" si="83"/>
        <v>114.85262058312006</v>
      </c>
      <c r="Q80">
        <f t="shared" ca="1" si="72"/>
        <v>104.14485091624707</v>
      </c>
      <c r="R80">
        <f t="shared" ca="1" si="73"/>
        <v>4.1448509162470657</v>
      </c>
      <c r="S80">
        <f t="shared" ca="1" si="74"/>
        <v>4.0627773691596625</v>
      </c>
    </row>
    <row r="81" spans="5:19" x14ac:dyDescent="0.75">
      <c r="E81">
        <v>76</v>
      </c>
      <c r="F81">
        <v>100</v>
      </c>
      <c r="G81">
        <f t="shared" ca="1" si="70"/>
        <v>103.09302742277515</v>
      </c>
      <c r="H81">
        <f t="shared" ca="1" si="70"/>
        <v>102.82724295991487</v>
      </c>
      <c r="I81">
        <f t="shared" ca="1" si="70"/>
        <v>102.21092033929446</v>
      </c>
      <c r="J81">
        <f t="shared" ca="1" si="70"/>
        <v>93.99208265959517</v>
      </c>
      <c r="K81">
        <f t="shared" ref="K81:P81" ca="1" si="84">J81*EXP(($C$4-0.5*$C$5^2)*$C$10+$C$5*SQRT($C$10)*NORMINV(RAND(),0,1))</f>
        <v>87.823760310182024</v>
      </c>
      <c r="L81">
        <f t="shared" ca="1" si="84"/>
        <v>85.908920290603618</v>
      </c>
      <c r="M81">
        <f t="shared" ca="1" si="84"/>
        <v>85.839106163904106</v>
      </c>
      <c r="N81">
        <f t="shared" ca="1" si="84"/>
        <v>87.059400531793401</v>
      </c>
      <c r="O81">
        <f t="shared" ca="1" si="84"/>
        <v>90.607423746968621</v>
      </c>
      <c r="P81">
        <f t="shared" ca="1" si="84"/>
        <v>107.80444243531791</v>
      </c>
      <c r="Q81">
        <f t="shared" ca="1" si="72"/>
        <v>95.196938805486297</v>
      </c>
      <c r="R81">
        <f t="shared" ca="1" si="73"/>
        <v>0</v>
      </c>
      <c r="S81">
        <f t="shared" ca="1" si="74"/>
        <v>0</v>
      </c>
    </row>
    <row r="82" spans="5:19" x14ac:dyDescent="0.75">
      <c r="E82">
        <v>77</v>
      </c>
      <c r="F82">
        <v>100</v>
      </c>
      <c r="G82">
        <f t="shared" ca="1" si="70"/>
        <v>103.36191430914398</v>
      </c>
      <c r="H82">
        <f t="shared" ca="1" si="70"/>
        <v>103.20525285171897</v>
      </c>
      <c r="I82">
        <f t="shared" ca="1" si="70"/>
        <v>96.464137902021719</v>
      </c>
      <c r="J82">
        <f t="shared" ca="1" si="70"/>
        <v>95.376288140939877</v>
      </c>
      <c r="K82">
        <f t="shared" ref="K82:P82" ca="1" si="85">J82*EXP(($C$4-0.5*$C$5^2)*$C$10+$C$5*SQRT($C$10)*NORMINV(RAND(),0,1))</f>
        <v>95.049687786895689</v>
      </c>
      <c r="L82">
        <f t="shared" ca="1" si="85"/>
        <v>99.364135221452727</v>
      </c>
      <c r="M82">
        <f t="shared" ca="1" si="85"/>
        <v>96.633059337990645</v>
      </c>
      <c r="N82">
        <f t="shared" ca="1" si="85"/>
        <v>94.350654874905018</v>
      </c>
      <c r="O82">
        <f t="shared" ca="1" si="85"/>
        <v>89.58234879147841</v>
      </c>
      <c r="P82">
        <f t="shared" ca="1" si="85"/>
        <v>95.354261010914811</v>
      </c>
      <c r="Q82">
        <f t="shared" ca="1" si="72"/>
        <v>97.158340020678352</v>
      </c>
      <c r="R82">
        <f t="shared" ca="1" si="73"/>
        <v>0</v>
      </c>
      <c r="S82">
        <f t="shared" ca="1" si="74"/>
        <v>0</v>
      </c>
    </row>
    <row r="83" spans="5:19" x14ac:dyDescent="0.75">
      <c r="E83">
        <v>78</v>
      </c>
      <c r="F83">
        <v>100</v>
      </c>
      <c r="G83">
        <f t="shared" ca="1" si="70"/>
        <v>108.9240218130042</v>
      </c>
      <c r="H83">
        <f t="shared" ca="1" si="70"/>
        <v>111.3711745822701</v>
      </c>
      <c r="I83">
        <f t="shared" ca="1" si="70"/>
        <v>104.01463448233962</v>
      </c>
      <c r="J83">
        <f t="shared" ca="1" si="70"/>
        <v>94.938585385302503</v>
      </c>
      <c r="K83">
        <f t="shared" ref="K83:P83" ca="1" si="86">J83*EXP(($C$4-0.5*$C$5^2)*$C$10+$C$5*SQRT($C$10)*NORMINV(RAND(),0,1))</f>
        <v>97.286838017983285</v>
      </c>
      <c r="L83">
        <f t="shared" ca="1" si="86"/>
        <v>96.038885556387555</v>
      </c>
      <c r="M83">
        <f t="shared" ca="1" si="86"/>
        <v>105.29761106795461</v>
      </c>
      <c r="N83">
        <f t="shared" ca="1" si="86"/>
        <v>112.17563716343777</v>
      </c>
      <c r="O83">
        <f t="shared" ca="1" si="86"/>
        <v>119.46560725813971</v>
      </c>
      <c r="P83">
        <f t="shared" ca="1" si="86"/>
        <v>131.43821737108098</v>
      </c>
      <c r="Q83">
        <f t="shared" ca="1" si="72"/>
        <v>107.35920115435457</v>
      </c>
      <c r="R83">
        <f t="shared" ca="1" si="73"/>
        <v>7.3592011543545652</v>
      </c>
      <c r="S83">
        <f t="shared" ca="1" si="74"/>
        <v>7.2134792080958867</v>
      </c>
    </row>
    <row r="84" spans="5:19" x14ac:dyDescent="0.75">
      <c r="E84">
        <v>79</v>
      </c>
      <c r="F84">
        <v>100</v>
      </c>
      <c r="G84">
        <f t="shared" ca="1" si="70"/>
        <v>97.036697457106882</v>
      </c>
      <c r="H84">
        <f t="shared" ca="1" si="70"/>
        <v>103.30727788884845</v>
      </c>
      <c r="I84">
        <f t="shared" ca="1" si="70"/>
        <v>111.3265361507266</v>
      </c>
      <c r="J84">
        <f t="shared" ca="1" si="70"/>
        <v>113.55522597205523</v>
      </c>
      <c r="K84">
        <f t="shared" ref="K84:P84" ca="1" si="87">J84*EXP(($C$4-0.5*$C$5^2)*$C$10+$C$5*SQRT($C$10)*NORMINV(RAND(),0,1))</f>
        <v>110.99232217670684</v>
      </c>
      <c r="L84">
        <f t="shared" ca="1" si="87"/>
        <v>108.02605238134575</v>
      </c>
      <c r="M84">
        <f t="shared" ca="1" si="87"/>
        <v>123.44798857213124</v>
      </c>
      <c r="N84">
        <f t="shared" ca="1" si="87"/>
        <v>126.84182364416209</v>
      </c>
      <c r="O84">
        <f t="shared" ca="1" si="87"/>
        <v>111.03972994801927</v>
      </c>
      <c r="P84">
        <f t="shared" ca="1" si="87"/>
        <v>106.73701436123608</v>
      </c>
      <c r="Q84">
        <f t="shared" ca="1" si="72"/>
        <v>110.21006077748531</v>
      </c>
      <c r="R84">
        <f t="shared" ca="1" si="73"/>
        <v>10.21006077748531</v>
      </c>
      <c r="S84">
        <f t="shared" ca="1" si="74"/>
        <v>10.00788802847244</v>
      </c>
    </row>
    <row r="85" spans="5:19" x14ac:dyDescent="0.75">
      <c r="E85">
        <v>80</v>
      </c>
      <c r="F85">
        <v>100</v>
      </c>
      <c r="G85">
        <f t="shared" ca="1" si="70"/>
        <v>110.58834534680997</v>
      </c>
      <c r="H85">
        <f t="shared" ca="1" si="70"/>
        <v>111.4563172785553</v>
      </c>
      <c r="I85">
        <f t="shared" ca="1" si="70"/>
        <v>107.16458756949162</v>
      </c>
      <c r="J85">
        <f t="shared" ca="1" si="70"/>
        <v>107.85260764029061</v>
      </c>
      <c r="K85">
        <f t="shared" ref="K85:P85" ca="1" si="88">J85*EXP(($C$4-0.5*$C$5^2)*$C$10+$C$5*SQRT($C$10)*NORMINV(RAND(),0,1))</f>
        <v>116.15062654369292</v>
      </c>
      <c r="L85">
        <f t="shared" ca="1" si="88"/>
        <v>120.41965787573299</v>
      </c>
      <c r="M85">
        <f t="shared" ca="1" si="88"/>
        <v>123.78135601681375</v>
      </c>
      <c r="N85">
        <f t="shared" ca="1" si="88"/>
        <v>113.69781858627495</v>
      </c>
      <c r="O85">
        <f t="shared" ca="1" si="88"/>
        <v>112.68112315327183</v>
      </c>
      <c r="P85">
        <f t="shared" ca="1" si="88"/>
        <v>122.18586479480251</v>
      </c>
      <c r="Q85">
        <f t="shared" ca="1" si="72"/>
        <v>113.27075498233968</v>
      </c>
      <c r="R85">
        <f t="shared" ca="1" si="73"/>
        <v>13.270754982339682</v>
      </c>
      <c r="S85">
        <f t="shared" ca="1" si="74"/>
        <v>13.007976427468368</v>
      </c>
    </row>
    <row r="86" spans="5:19" x14ac:dyDescent="0.75">
      <c r="E86">
        <v>81</v>
      </c>
      <c r="F86">
        <v>100</v>
      </c>
      <c r="G86">
        <f t="shared" ca="1" si="70"/>
        <v>107.45110386610695</v>
      </c>
      <c r="H86">
        <f t="shared" ca="1" si="70"/>
        <v>106.75109168429849</v>
      </c>
      <c r="I86">
        <f t="shared" ca="1" si="70"/>
        <v>106.51118817009599</v>
      </c>
      <c r="J86">
        <f t="shared" ca="1" si="70"/>
        <v>112.55415268843279</v>
      </c>
      <c r="K86">
        <f t="shared" ref="K86:P86" ca="1" si="89">J86*EXP(($C$4-0.5*$C$5^2)*$C$10+$C$5*SQRT($C$10)*NORMINV(RAND(),0,1))</f>
        <v>95.896071219588151</v>
      </c>
      <c r="L86">
        <f t="shared" ca="1" si="89"/>
        <v>85.755893599557282</v>
      </c>
      <c r="M86">
        <f t="shared" ca="1" si="89"/>
        <v>85.44446714059535</v>
      </c>
      <c r="N86">
        <f t="shared" ca="1" si="89"/>
        <v>93.932641943831072</v>
      </c>
      <c r="O86">
        <f t="shared" ca="1" si="89"/>
        <v>86.331614521901031</v>
      </c>
      <c r="P86">
        <f t="shared" ca="1" si="89"/>
        <v>84.078108258688559</v>
      </c>
      <c r="Q86">
        <f t="shared" ca="1" si="72"/>
        <v>96.791484826645089</v>
      </c>
      <c r="R86">
        <f t="shared" ca="1" si="73"/>
        <v>0</v>
      </c>
      <c r="S86">
        <f t="shared" ca="1" si="74"/>
        <v>0</v>
      </c>
    </row>
    <row r="87" spans="5:19" x14ac:dyDescent="0.75">
      <c r="E87">
        <v>82</v>
      </c>
      <c r="F87">
        <v>100</v>
      </c>
      <c r="G87">
        <f t="shared" ca="1" si="70"/>
        <v>93.552633747504316</v>
      </c>
      <c r="H87">
        <f t="shared" ca="1" si="70"/>
        <v>103.75603711530468</v>
      </c>
      <c r="I87">
        <f t="shared" ca="1" si="70"/>
        <v>104.3991866230552</v>
      </c>
      <c r="J87">
        <f t="shared" ca="1" si="70"/>
        <v>111.43519712668081</v>
      </c>
      <c r="K87">
        <f t="shared" ref="K87:P87" ca="1" si="90">J87*EXP(($C$4-0.5*$C$5^2)*$C$10+$C$5*SQRT($C$10)*NORMINV(RAND(),0,1))</f>
        <v>102.86560828547934</v>
      </c>
      <c r="L87">
        <f t="shared" ca="1" si="90"/>
        <v>102.18940580467807</v>
      </c>
      <c r="M87">
        <f t="shared" ca="1" si="90"/>
        <v>103.52969958836115</v>
      </c>
      <c r="N87">
        <f t="shared" ca="1" si="90"/>
        <v>103.84434662815029</v>
      </c>
      <c r="O87">
        <f t="shared" ca="1" si="90"/>
        <v>89.613277014685664</v>
      </c>
      <c r="P87">
        <f t="shared" ca="1" si="90"/>
        <v>81.133188388793357</v>
      </c>
      <c r="Q87">
        <f t="shared" ca="1" si="72"/>
        <v>99.665325483881176</v>
      </c>
      <c r="R87">
        <f t="shared" ca="1" si="73"/>
        <v>0</v>
      </c>
      <c r="S87">
        <f t="shared" ca="1" si="74"/>
        <v>0</v>
      </c>
    </row>
    <row r="88" spans="5:19" x14ac:dyDescent="0.75">
      <c r="E88">
        <v>83</v>
      </c>
      <c r="F88">
        <v>100</v>
      </c>
      <c r="G88">
        <f t="shared" ca="1" si="70"/>
        <v>109.24672671569206</v>
      </c>
      <c r="H88">
        <f t="shared" ca="1" si="70"/>
        <v>98.161268333500203</v>
      </c>
      <c r="I88">
        <f t="shared" ca="1" si="70"/>
        <v>88.641783705911379</v>
      </c>
      <c r="J88">
        <f t="shared" ca="1" si="70"/>
        <v>92.123040268530104</v>
      </c>
      <c r="K88">
        <f t="shared" ref="K88:P88" ca="1" si="91">J88*EXP(($C$4-0.5*$C$5^2)*$C$10+$C$5*SQRT($C$10)*NORMINV(RAND(),0,1))</f>
        <v>90.771808840704153</v>
      </c>
      <c r="L88">
        <f t="shared" ca="1" si="91"/>
        <v>86.0300272330241</v>
      </c>
      <c r="M88">
        <f t="shared" ca="1" si="91"/>
        <v>81.771671665724654</v>
      </c>
      <c r="N88">
        <f t="shared" ca="1" si="91"/>
        <v>76.705972577314469</v>
      </c>
      <c r="O88">
        <f t="shared" ca="1" si="91"/>
        <v>75.747010713492628</v>
      </c>
      <c r="P88">
        <f t="shared" ca="1" si="91"/>
        <v>75.552529136676625</v>
      </c>
      <c r="Q88">
        <f t="shared" ca="1" si="72"/>
        <v>88.613803562779125</v>
      </c>
      <c r="R88">
        <f t="shared" ca="1" si="73"/>
        <v>0</v>
      </c>
      <c r="S88">
        <f t="shared" ca="1" si="74"/>
        <v>0</v>
      </c>
    </row>
    <row r="89" spans="5:19" x14ac:dyDescent="0.75">
      <c r="E89">
        <v>84</v>
      </c>
      <c r="F89">
        <v>100</v>
      </c>
      <c r="G89">
        <f t="shared" ca="1" si="70"/>
        <v>106.05891350360703</v>
      </c>
      <c r="H89">
        <f t="shared" ca="1" si="70"/>
        <v>112.72174272743096</v>
      </c>
      <c r="I89">
        <f t="shared" ca="1" si="70"/>
        <v>112.78269001670809</v>
      </c>
      <c r="J89">
        <f t="shared" ca="1" si="70"/>
        <v>107.34686768378715</v>
      </c>
      <c r="K89">
        <f t="shared" ref="K89:P89" ca="1" si="92">J89*EXP(($C$4-0.5*$C$5^2)*$C$10+$C$5*SQRT($C$10)*NORMINV(RAND(),0,1))</f>
        <v>110.49593250939287</v>
      </c>
      <c r="L89">
        <f t="shared" ca="1" si="92"/>
        <v>107.80087748571673</v>
      </c>
      <c r="M89">
        <f t="shared" ca="1" si="92"/>
        <v>107.48970284654447</v>
      </c>
      <c r="N89">
        <f t="shared" ca="1" si="92"/>
        <v>107.13880474125308</v>
      </c>
      <c r="O89">
        <f t="shared" ca="1" si="92"/>
        <v>102.8991228523264</v>
      </c>
      <c r="P89">
        <f t="shared" ca="1" si="92"/>
        <v>106.90870523928253</v>
      </c>
      <c r="Q89">
        <f t="shared" ca="1" si="72"/>
        <v>107.42212360054992</v>
      </c>
      <c r="R89">
        <f t="shared" ca="1" si="73"/>
        <v>7.4221236005499236</v>
      </c>
      <c r="S89">
        <f t="shared" ca="1" si="74"/>
        <v>7.2751557063777925</v>
      </c>
    </row>
    <row r="90" spans="5:19" x14ac:dyDescent="0.75">
      <c r="E90">
        <v>85</v>
      </c>
      <c r="F90">
        <v>100</v>
      </c>
      <c r="G90">
        <f t="shared" ca="1" si="70"/>
        <v>102.50627591870342</v>
      </c>
      <c r="H90">
        <f t="shared" ca="1" si="70"/>
        <v>120.06469238314371</v>
      </c>
      <c r="I90">
        <f t="shared" ca="1" si="70"/>
        <v>119.30003387585023</v>
      </c>
      <c r="J90">
        <f t="shared" ca="1" si="70"/>
        <v>109.91899924089236</v>
      </c>
      <c r="K90">
        <f t="shared" ref="K90:P90" ca="1" si="93">J90*EXP(($C$4-0.5*$C$5^2)*$C$10+$C$5*SQRT($C$10)*NORMINV(RAND(),0,1))</f>
        <v>105.49700567125623</v>
      </c>
      <c r="L90">
        <f t="shared" ca="1" si="93"/>
        <v>102.66759603670216</v>
      </c>
      <c r="M90">
        <f t="shared" ca="1" si="93"/>
        <v>100.60419628437616</v>
      </c>
      <c r="N90">
        <f t="shared" ca="1" si="93"/>
        <v>96.844768775777197</v>
      </c>
      <c r="O90">
        <f t="shared" ca="1" si="93"/>
        <v>91.464374760503944</v>
      </c>
      <c r="P90">
        <f t="shared" ca="1" si="93"/>
        <v>94.18246318168012</v>
      </c>
      <c r="Q90">
        <f t="shared" ca="1" si="72"/>
        <v>103.91367328444416</v>
      </c>
      <c r="R90">
        <f t="shared" ca="1" si="73"/>
        <v>3.9136732844441582</v>
      </c>
      <c r="S90">
        <f t="shared" ca="1" si="74"/>
        <v>3.836177361168255</v>
      </c>
    </row>
    <row r="91" spans="5:19" x14ac:dyDescent="0.75">
      <c r="E91">
        <v>86</v>
      </c>
      <c r="F91">
        <v>100</v>
      </c>
      <c r="G91">
        <f t="shared" ca="1" si="70"/>
        <v>105.39323462925022</v>
      </c>
      <c r="H91">
        <f t="shared" ca="1" si="70"/>
        <v>92.953617098388435</v>
      </c>
      <c r="I91">
        <f t="shared" ca="1" si="70"/>
        <v>95.225555705815765</v>
      </c>
      <c r="J91">
        <f t="shared" ca="1" si="70"/>
        <v>97.256294729182684</v>
      </c>
      <c r="K91">
        <f t="shared" ref="K91:P91" ca="1" si="94">J91*EXP(($C$4-0.5*$C$5^2)*$C$10+$C$5*SQRT($C$10)*NORMINV(RAND(),0,1))</f>
        <v>98.002796761065838</v>
      </c>
      <c r="L91">
        <f t="shared" ca="1" si="94"/>
        <v>89.219604455369861</v>
      </c>
      <c r="M91">
        <f t="shared" ca="1" si="94"/>
        <v>91.11109325607579</v>
      </c>
      <c r="N91">
        <f t="shared" ca="1" si="94"/>
        <v>93.273489225653535</v>
      </c>
      <c r="O91">
        <f t="shared" ca="1" si="94"/>
        <v>94.495306444186227</v>
      </c>
      <c r="P91">
        <f t="shared" ca="1" si="94"/>
        <v>84.591311935975028</v>
      </c>
      <c r="Q91">
        <f t="shared" ca="1" si="72"/>
        <v>94.683845840087585</v>
      </c>
      <c r="R91">
        <f t="shared" ca="1" si="73"/>
        <v>0</v>
      </c>
      <c r="S91">
        <f t="shared" ca="1" si="74"/>
        <v>0</v>
      </c>
    </row>
    <row r="92" spans="5:19" x14ac:dyDescent="0.75">
      <c r="E92">
        <v>87</v>
      </c>
      <c r="F92">
        <v>100</v>
      </c>
      <c r="G92">
        <f t="shared" ca="1" si="70"/>
        <v>89.368591149412438</v>
      </c>
      <c r="H92">
        <f t="shared" ca="1" si="70"/>
        <v>83.62235579974103</v>
      </c>
      <c r="I92">
        <f t="shared" ca="1" si="70"/>
        <v>88.921440377632223</v>
      </c>
      <c r="J92">
        <f t="shared" ca="1" si="70"/>
        <v>86.137542230226927</v>
      </c>
      <c r="K92">
        <f t="shared" ref="K92:P92" ca="1" si="95">J92*EXP(($C$4-0.5*$C$5^2)*$C$10+$C$5*SQRT($C$10)*NORMINV(RAND(),0,1))</f>
        <v>79.833724093175817</v>
      </c>
      <c r="L92">
        <f t="shared" ca="1" si="95"/>
        <v>74.968317492156046</v>
      </c>
      <c r="M92">
        <f t="shared" ca="1" si="95"/>
        <v>77.871775916169</v>
      </c>
      <c r="N92">
        <f t="shared" ca="1" si="95"/>
        <v>68.868277696229939</v>
      </c>
      <c r="O92">
        <f t="shared" ca="1" si="95"/>
        <v>69.64549317605038</v>
      </c>
      <c r="P92">
        <f t="shared" ca="1" si="95"/>
        <v>63.184367528478852</v>
      </c>
      <c r="Q92">
        <f t="shared" ca="1" si="72"/>
        <v>80.220171405388427</v>
      </c>
      <c r="R92">
        <f t="shared" ca="1" si="73"/>
        <v>0</v>
      </c>
      <c r="S92">
        <f t="shared" ca="1" si="74"/>
        <v>0</v>
      </c>
    </row>
    <row r="93" spans="5:19" x14ac:dyDescent="0.75">
      <c r="E93">
        <v>88</v>
      </c>
      <c r="F93">
        <v>100</v>
      </c>
      <c r="G93">
        <f t="shared" ca="1" si="70"/>
        <v>92.631735416136948</v>
      </c>
      <c r="H93">
        <f t="shared" ca="1" si="70"/>
        <v>89.928353660730082</v>
      </c>
      <c r="I93">
        <f t="shared" ca="1" si="70"/>
        <v>85.6792771879865</v>
      </c>
      <c r="J93">
        <f t="shared" ca="1" si="70"/>
        <v>85.911191312889969</v>
      </c>
      <c r="K93">
        <f t="shared" ref="K93:P93" ca="1" si="96">J93*EXP(($C$4-0.5*$C$5^2)*$C$10+$C$5*SQRT($C$10)*NORMINV(RAND(),0,1))</f>
        <v>83.760989592246816</v>
      </c>
      <c r="L93">
        <f t="shared" ca="1" si="96"/>
        <v>76.302188323817361</v>
      </c>
      <c r="M93">
        <f t="shared" ca="1" si="96"/>
        <v>77.768362214563624</v>
      </c>
      <c r="N93">
        <f t="shared" ca="1" si="96"/>
        <v>75.845986011564094</v>
      </c>
      <c r="O93">
        <f t="shared" ca="1" si="96"/>
        <v>80.365243297070165</v>
      </c>
      <c r="P93">
        <f t="shared" ca="1" si="96"/>
        <v>89.61853177353693</v>
      </c>
      <c r="Q93">
        <f t="shared" ca="1" si="72"/>
        <v>85.255623526412947</v>
      </c>
      <c r="R93">
        <f t="shared" ca="1" si="73"/>
        <v>0</v>
      </c>
      <c r="S93">
        <f t="shared" ca="1" si="74"/>
        <v>0</v>
      </c>
    </row>
    <row r="94" spans="5:19" x14ac:dyDescent="0.75">
      <c r="E94">
        <v>89</v>
      </c>
      <c r="F94">
        <v>100</v>
      </c>
      <c r="G94">
        <f t="shared" ca="1" si="70"/>
        <v>97.921246245243296</v>
      </c>
      <c r="H94">
        <f t="shared" ca="1" si="70"/>
        <v>89.373489742812311</v>
      </c>
      <c r="I94">
        <f t="shared" ca="1" si="70"/>
        <v>86.217043605376631</v>
      </c>
      <c r="J94">
        <f t="shared" ca="1" si="70"/>
        <v>89.698536831705809</v>
      </c>
      <c r="K94">
        <f t="shared" ref="K94:P94" ca="1" si="97">J94*EXP(($C$4-0.5*$C$5^2)*$C$10+$C$5*SQRT($C$10)*NORMINV(RAND(),0,1))</f>
        <v>92.010276285724743</v>
      </c>
      <c r="L94">
        <f t="shared" ca="1" si="97"/>
        <v>97.023328137138975</v>
      </c>
      <c r="M94">
        <f t="shared" ca="1" si="97"/>
        <v>98.48228815423397</v>
      </c>
      <c r="N94">
        <f t="shared" ca="1" si="97"/>
        <v>98.02862090101894</v>
      </c>
      <c r="O94">
        <f t="shared" ca="1" si="97"/>
        <v>103.39599915141018</v>
      </c>
      <c r="P94">
        <f t="shared" ca="1" si="97"/>
        <v>102.41477626294687</v>
      </c>
      <c r="Q94">
        <f t="shared" ca="1" si="72"/>
        <v>95.869600483419248</v>
      </c>
      <c r="R94">
        <f t="shared" ca="1" si="73"/>
        <v>0</v>
      </c>
      <c r="S94">
        <f t="shared" ca="1" si="74"/>
        <v>0</v>
      </c>
    </row>
    <row r="95" spans="5:19" x14ac:dyDescent="0.75">
      <c r="E95">
        <v>90</v>
      </c>
      <c r="F95">
        <v>100</v>
      </c>
      <c r="G95">
        <f t="shared" ca="1" si="70"/>
        <v>101.74097938234074</v>
      </c>
      <c r="H95">
        <f t="shared" ca="1" si="70"/>
        <v>95.116710787800287</v>
      </c>
      <c r="I95">
        <f t="shared" ca="1" si="70"/>
        <v>94.407967781434451</v>
      </c>
      <c r="J95">
        <f t="shared" ca="1" si="70"/>
        <v>87.331959386719575</v>
      </c>
      <c r="K95">
        <f t="shared" ref="K95:P95" ca="1" si="98">J95*EXP(($C$4-0.5*$C$5^2)*$C$10+$C$5*SQRT($C$10)*NORMINV(RAND(),0,1))</f>
        <v>92.720443517393065</v>
      </c>
      <c r="L95">
        <f t="shared" ca="1" si="98"/>
        <v>90.890549594827831</v>
      </c>
      <c r="M95">
        <f t="shared" ca="1" si="98"/>
        <v>86.048126115947326</v>
      </c>
      <c r="N95">
        <f t="shared" ca="1" si="98"/>
        <v>88.244095556116193</v>
      </c>
      <c r="O95">
        <f t="shared" ca="1" si="98"/>
        <v>86.657905316981328</v>
      </c>
      <c r="P95">
        <f t="shared" ca="1" si="98"/>
        <v>92.738596430684879</v>
      </c>
      <c r="Q95">
        <f t="shared" ca="1" si="72"/>
        <v>92.354303079113251</v>
      </c>
      <c r="R95">
        <f t="shared" ca="1" si="73"/>
        <v>0</v>
      </c>
      <c r="S95">
        <f t="shared" ca="1" si="74"/>
        <v>0</v>
      </c>
    </row>
    <row r="96" spans="5:19" x14ac:dyDescent="0.75">
      <c r="E96">
        <v>91</v>
      </c>
      <c r="F96">
        <v>100</v>
      </c>
      <c r="G96">
        <f t="shared" ca="1" si="70"/>
        <v>106.79671915960751</v>
      </c>
      <c r="H96">
        <f t="shared" ca="1" si="70"/>
        <v>98.963451574210808</v>
      </c>
      <c r="I96">
        <f t="shared" ca="1" si="70"/>
        <v>90.423238111749882</v>
      </c>
      <c r="J96">
        <f t="shared" ca="1" si="70"/>
        <v>93.716633391896494</v>
      </c>
      <c r="K96">
        <f t="shared" ref="K96:P96" ca="1" si="99">J96*EXP(($C$4-0.5*$C$5^2)*$C$10+$C$5*SQRT($C$10)*NORMINV(RAND(),0,1))</f>
        <v>86.566873011358993</v>
      </c>
      <c r="L96">
        <f t="shared" ca="1" si="99"/>
        <v>85.442158166318208</v>
      </c>
      <c r="M96">
        <f t="shared" ca="1" si="99"/>
        <v>87.191177643118849</v>
      </c>
      <c r="N96">
        <f t="shared" ca="1" si="99"/>
        <v>79.1290998311827</v>
      </c>
      <c r="O96">
        <f t="shared" ca="1" si="99"/>
        <v>73.0364849117246</v>
      </c>
      <c r="P96">
        <f t="shared" ca="1" si="99"/>
        <v>73.034724131133501</v>
      </c>
      <c r="Q96">
        <f t="shared" ca="1" si="72"/>
        <v>88.572778175663771</v>
      </c>
      <c r="R96">
        <f t="shared" ca="1" si="73"/>
        <v>0</v>
      </c>
      <c r="S96">
        <f t="shared" ca="1" si="74"/>
        <v>0</v>
      </c>
    </row>
    <row r="97" spans="5:19" x14ac:dyDescent="0.75">
      <c r="E97">
        <v>92</v>
      </c>
      <c r="F97">
        <v>100</v>
      </c>
      <c r="G97">
        <f t="shared" ca="1" si="70"/>
        <v>99.429764650202884</v>
      </c>
      <c r="H97">
        <f t="shared" ca="1" si="70"/>
        <v>101.31164020870983</v>
      </c>
      <c r="I97">
        <f t="shared" ca="1" si="70"/>
        <v>104.507036707316</v>
      </c>
      <c r="J97">
        <f t="shared" ca="1" si="70"/>
        <v>100.18790676399557</v>
      </c>
      <c r="K97">
        <f t="shared" ref="K97:P97" ca="1" si="100">J97*EXP(($C$4-0.5*$C$5^2)*$C$10+$C$5*SQRT($C$10)*NORMINV(RAND(),0,1))</f>
        <v>94.691882507311419</v>
      </c>
      <c r="L97">
        <f t="shared" ca="1" si="100"/>
        <v>106.98777438985087</v>
      </c>
      <c r="M97">
        <f t="shared" ca="1" si="100"/>
        <v>104.45009177249314</v>
      </c>
      <c r="N97">
        <f t="shared" ca="1" si="100"/>
        <v>96.661182113494206</v>
      </c>
      <c r="O97">
        <f t="shared" ca="1" si="100"/>
        <v>107.91757585886241</v>
      </c>
      <c r="P97">
        <f t="shared" ca="1" si="100"/>
        <v>100.20062273741733</v>
      </c>
      <c r="Q97">
        <f t="shared" ca="1" si="72"/>
        <v>101.48595251905941</v>
      </c>
      <c r="R97">
        <f t="shared" ca="1" si="73"/>
        <v>1.4859525190594098</v>
      </c>
      <c r="S97">
        <f t="shared" ca="1" si="74"/>
        <v>1.4565286877788646</v>
      </c>
    </row>
    <row r="98" spans="5:19" x14ac:dyDescent="0.75">
      <c r="E98">
        <v>93</v>
      </c>
      <c r="F98">
        <v>100</v>
      </c>
      <c r="G98">
        <f t="shared" ca="1" si="70"/>
        <v>113.26897621680145</v>
      </c>
      <c r="H98">
        <f t="shared" ca="1" si="70"/>
        <v>117.86929194311931</v>
      </c>
      <c r="I98">
        <f t="shared" ca="1" si="70"/>
        <v>124.9188467557544</v>
      </c>
      <c r="J98">
        <f t="shared" ca="1" si="70"/>
        <v>123.85143837996731</v>
      </c>
      <c r="K98">
        <f t="shared" ref="K98:P98" ca="1" si="101">J98*EXP(($C$4-0.5*$C$5^2)*$C$10+$C$5*SQRT($C$10)*NORMINV(RAND(),0,1))</f>
        <v>114.32496071527204</v>
      </c>
      <c r="L98">
        <f t="shared" ca="1" si="101"/>
        <v>111.53594938760003</v>
      </c>
      <c r="M98">
        <f t="shared" ca="1" si="101"/>
        <v>113.27013937804342</v>
      </c>
      <c r="N98">
        <f t="shared" ca="1" si="101"/>
        <v>119.90687296257576</v>
      </c>
      <c r="O98">
        <f t="shared" ca="1" si="101"/>
        <v>114.99600979461678</v>
      </c>
      <c r="P98">
        <f t="shared" ca="1" si="101"/>
        <v>109.08283250490732</v>
      </c>
      <c r="Q98">
        <f t="shared" ca="1" si="72"/>
        <v>114.8204834580598</v>
      </c>
      <c r="R98">
        <f t="shared" ca="1" si="73"/>
        <v>14.820483458059797</v>
      </c>
      <c r="S98">
        <f t="shared" ca="1" si="74"/>
        <v>14.527018223354926</v>
      </c>
    </row>
    <row r="99" spans="5:19" x14ac:dyDescent="0.75">
      <c r="E99">
        <v>94</v>
      </c>
      <c r="F99">
        <v>100</v>
      </c>
      <c r="G99">
        <f t="shared" ca="1" si="70"/>
        <v>103.85648407974787</v>
      </c>
      <c r="H99">
        <f t="shared" ca="1" si="70"/>
        <v>100.04398136742176</v>
      </c>
      <c r="I99">
        <f t="shared" ca="1" si="70"/>
        <v>103.94549404032951</v>
      </c>
      <c r="J99">
        <f t="shared" ca="1" si="70"/>
        <v>107.17640726291994</v>
      </c>
      <c r="K99">
        <f t="shared" ref="K99:P99" ca="1" si="102">J99*EXP(($C$4-0.5*$C$5^2)*$C$10+$C$5*SQRT($C$10)*NORMINV(RAND(),0,1))</f>
        <v>106.39044337959052</v>
      </c>
      <c r="L99">
        <f t="shared" ca="1" si="102"/>
        <v>110.64241367773833</v>
      </c>
      <c r="M99">
        <f t="shared" ca="1" si="102"/>
        <v>99.237714109858203</v>
      </c>
      <c r="N99">
        <f t="shared" ca="1" si="102"/>
        <v>94.866567096671659</v>
      </c>
      <c r="O99">
        <f t="shared" ca="1" si="102"/>
        <v>94.295433221822549</v>
      </c>
      <c r="P99">
        <f t="shared" ca="1" si="102"/>
        <v>100.53130636514317</v>
      </c>
      <c r="Q99">
        <f t="shared" ca="1" si="72"/>
        <v>101.90784041829487</v>
      </c>
      <c r="R99">
        <f t="shared" ca="1" si="73"/>
        <v>1.9078404182948674</v>
      </c>
      <c r="S99">
        <f t="shared" ca="1" si="74"/>
        <v>1.8700626468936341</v>
      </c>
    </row>
    <row r="100" spans="5:19" x14ac:dyDescent="0.75">
      <c r="E100">
        <v>95</v>
      </c>
      <c r="F100">
        <v>100</v>
      </c>
      <c r="G100">
        <f t="shared" ca="1" si="70"/>
        <v>94.984799265127023</v>
      </c>
      <c r="H100">
        <f t="shared" ca="1" si="70"/>
        <v>88.447767153287415</v>
      </c>
      <c r="I100">
        <f t="shared" ca="1" si="70"/>
        <v>88.475746478892617</v>
      </c>
      <c r="J100">
        <f t="shared" ca="1" si="70"/>
        <v>90.550101744110336</v>
      </c>
      <c r="K100">
        <f t="shared" ref="K100:P100" ca="1" si="103">J100*EXP(($C$4-0.5*$C$5^2)*$C$10+$C$5*SQRT($C$10)*NORMINV(RAND(),0,1))</f>
        <v>85.270447140678996</v>
      </c>
      <c r="L100">
        <f t="shared" ca="1" si="103"/>
        <v>81.271421309276704</v>
      </c>
      <c r="M100">
        <f t="shared" ca="1" si="103"/>
        <v>82.47618741380353</v>
      </c>
      <c r="N100">
        <f t="shared" ca="1" si="103"/>
        <v>72.984606070671987</v>
      </c>
      <c r="O100">
        <f t="shared" ca="1" si="103"/>
        <v>59.390440421922833</v>
      </c>
      <c r="P100">
        <f t="shared" ca="1" si="103"/>
        <v>59.065972907937436</v>
      </c>
      <c r="Q100">
        <f t="shared" ca="1" si="72"/>
        <v>82.083408173246255</v>
      </c>
      <c r="R100">
        <f t="shared" ca="1" si="73"/>
        <v>0</v>
      </c>
      <c r="S100">
        <f t="shared" ca="1" si="74"/>
        <v>0</v>
      </c>
    </row>
    <row r="101" spans="5:19" x14ac:dyDescent="0.75">
      <c r="E101">
        <v>96</v>
      </c>
      <c r="F101">
        <v>100</v>
      </c>
      <c r="G101">
        <f t="shared" ca="1" si="70"/>
        <v>104.46191606468697</v>
      </c>
      <c r="H101">
        <f t="shared" ca="1" si="70"/>
        <v>108.88344836815939</v>
      </c>
      <c r="I101">
        <f t="shared" ca="1" si="70"/>
        <v>113.79289018838379</v>
      </c>
      <c r="J101">
        <f t="shared" ca="1" si="70"/>
        <v>104.52355015838417</v>
      </c>
      <c r="K101">
        <f t="shared" ref="K101:P101" ca="1" si="104">J101*EXP(($C$4-0.5*$C$5^2)*$C$10+$C$5*SQRT($C$10)*NORMINV(RAND(),0,1))</f>
        <v>103.35264264125071</v>
      </c>
      <c r="L101">
        <f t="shared" ca="1" si="104"/>
        <v>93.732147787123807</v>
      </c>
      <c r="M101">
        <f t="shared" ca="1" si="104"/>
        <v>111.12757944465535</v>
      </c>
      <c r="N101">
        <f t="shared" ca="1" si="104"/>
        <v>111.94610840238381</v>
      </c>
      <c r="O101">
        <f t="shared" ca="1" si="104"/>
        <v>125.34249853208784</v>
      </c>
      <c r="P101">
        <f t="shared" ca="1" si="104"/>
        <v>124.06238691689282</v>
      </c>
      <c r="Q101">
        <f t="shared" ca="1" si="72"/>
        <v>109.20228804581897</v>
      </c>
      <c r="R101">
        <f t="shared" ca="1" si="73"/>
        <v>9.2022880458189746</v>
      </c>
      <c r="S101">
        <f t="shared" ca="1" si="74"/>
        <v>9.0200705338983731</v>
      </c>
    </row>
    <row r="102" spans="5:19" x14ac:dyDescent="0.75">
      <c r="E102">
        <v>97</v>
      </c>
      <c r="F102">
        <v>100</v>
      </c>
      <c r="G102">
        <f t="shared" ca="1" si="70"/>
        <v>100.37661360559289</v>
      </c>
      <c r="H102">
        <f t="shared" ca="1" si="70"/>
        <v>97.343180766879769</v>
      </c>
      <c r="I102">
        <f t="shared" ca="1" si="70"/>
        <v>103.33567341182166</v>
      </c>
      <c r="J102">
        <f t="shared" ca="1" si="70"/>
        <v>100.04487953288309</v>
      </c>
      <c r="K102">
        <f t="shared" ref="K102:P102" ca="1" si="105">J102*EXP(($C$4-0.5*$C$5^2)*$C$10+$C$5*SQRT($C$10)*NORMINV(RAND(),0,1))</f>
        <v>104.88857435718334</v>
      </c>
      <c r="L102">
        <f t="shared" ca="1" si="105"/>
        <v>89.639700545852662</v>
      </c>
      <c r="M102">
        <f t="shared" ca="1" si="105"/>
        <v>82.635336888269933</v>
      </c>
      <c r="N102">
        <f t="shared" ca="1" si="105"/>
        <v>74.970400168019609</v>
      </c>
      <c r="O102">
        <f t="shared" ca="1" si="105"/>
        <v>80.528278065374792</v>
      </c>
      <c r="P102">
        <f t="shared" ca="1" si="105"/>
        <v>89.576148292741991</v>
      </c>
      <c r="Q102">
        <f t="shared" ca="1" si="72"/>
        <v>93.030798694056344</v>
      </c>
      <c r="R102">
        <f t="shared" ca="1" si="73"/>
        <v>0</v>
      </c>
      <c r="S102">
        <f t="shared" ca="1" si="74"/>
        <v>0</v>
      </c>
    </row>
    <row r="103" spans="5:19" x14ac:dyDescent="0.75">
      <c r="E103">
        <v>98</v>
      </c>
      <c r="F103">
        <v>100</v>
      </c>
      <c r="G103">
        <f t="shared" ca="1" si="70"/>
        <v>92.813550865367716</v>
      </c>
      <c r="H103">
        <f t="shared" ca="1" si="70"/>
        <v>89.439072296917047</v>
      </c>
      <c r="I103">
        <f t="shared" ca="1" si="70"/>
        <v>94.058738949423628</v>
      </c>
      <c r="J103">
        <f t="shared" ca="1" si="70"/>
        <v>91.570831672715272</v>
      </c>
      <c r="K103">
        <f t="shared" ref="K103:P103" ca="1" si="106">J103*EXP(($C$4-0.5*$C$5^2)*$C$10+$C$5*SQRT($C$10)*NORMINV(RAND(),0,1))</f>
        <v>91.160526251419299</v>
      </c>
      <c r="L103">
        <f t="shared" ca="1" si="106"/>
        <v>89.138460997320578</v>
      </c>
      <c r="M103">
        <f t="shared" ca="1" si="106"/>
        <v>82.912050961566592</v>
      </c>
      <c r="N103">
        <f t="shared" ca="1" si="106"/>
        <v>77.755668003686608</v>
      </c>
      <c r="O103">
        <f t="shared" ca="1" si="106"/>
        <v>75.350903123678904</v>
      </c>
      <c r="P103">
        <f t="shared" ca="1" si="106"/>
        <v>70.049980623141508</v>
      </c>
      <c r="Q103">
        <f t="shared" ca="1" si="72"/>
        <v>86.749980340476114</v>
      </c>
      <c r="R103">
        <f t="shared" ca="1" si="73"/>
        <v>0</v>
      </c>
      <c r="S103">
        <f t="shared" ca="1" si="74"/>
        <v>0</v>
      </c>
    </row>
    <row r="104" spans="5:19" x14ac:dyDescent="0.75">
      <c r="E104">
        <v>99</v>
      </c>
      <c r="F104">
        <v>100</v>
      </c>
      <c r="G104">
        <f t="shared" ca="1" si="70"/>
        <v>95.819714500219092</v>
      </c>
      <c r="H104">
        <f t="shared" ca="1" si="70"/>
        <v>107.22329183957832</v>
      </c>
      <c r="I104">
        <f t="shared" ca="1" si="70"/>
        <v>110.82983047670589</v>
      </c>
      <c r="J104">
        <f t="shared" ca="1" si="70"/>
        <v>108.23978057923661</v>
      </c>
      <c r="K104">
        <f t="shared" ref="K104:P104" ca="1" si="107">J104*EXP(($C$4-0.5*$C$5^2)*$C$10+$C$5*SQRT($C$10)*NORMINV(RAND(),0,1))</f>
        <v>109.81235231707824</v>
      </c>
      <c r="L104">
        <f t="shared" ca="1" si="107"/>
        <v>107.51528496575003</v>
      </c>
      <c r="M104">
        <f t="shared" ca="1" si="107"/>
        <v>119.88215963001426</v>
      </c>
      <c r="N104">
        <f t="shared" ca="1" si="107"/>
        <v>115.69081199747959</v>
      </c>
      <c r="O104">
        <f t="shared" ca="1" si="107"/>
        <v>127.0310160363487</v>
      </c>
      <c r="P104">
        <f t="shared" ca="1" si="107"/>
        <v>117.59691284571146</v>
      </c>
      <c r="Q104">
        <f t="shared" ca="1" si="72"/>
        <v>110.87646865346565</v>
      </c>
      <c r="R104">
        <f t="shared" ca="1" si="73"/>
        <v>10.876468653465651</v>
      </c>
      <c r="S104">
        <f t="shared" ca="1" si="74"/>
        <v>10.661100144389541</v>
      </c>
    </row>
    <row r="105" spans="5:19" x14ac:dyDescent="0.75">
      <c r="E105">
        <v>100</v>
      </c>
      <c r="F105">
        <v>100</v>
      </c>
      <c r="G105">
        <f t="shared" ca="1" si="70"/>
        <v>107.99829392206925</v>
      </c>
      <c r="H105">
        <f t="shared" ca="1" si="70"/>
        <v>115.46881673082019</v>
      </c>
      <c r="I105">
        <f t="shared" ca="1" si="70"/>
        <v>113.97737212646253</v>
      </c>
      <c r="J105">
        <f t="shared" ca="1" si="70"/>
        <v>121.06586538725618</v>
      </c>
      <c r="K105">
        <f t="shared" ref="K105:P105" ca="1" si="108">J105*EXP(($C$4-0.5*$C$5^2)*$C$10+$C$5*SQRT($C$10)*NORMINV(RAND(),0,1))</f>
        <v>119.52818279636656</v>
      </c>
      <c r="L105">
        <f t="shared" ca="1" si="108"/>
        <v>125.02189029638966</v>
      </c>
      <c r="M105">
        <f t="shared" ca="1" si="108"/>
        <v>121.95824232467342</v>
      </c>
      <c r="N105">
        <f t="shared" ca="1" si="108"/>
        <v>120.34101393931998</v>
      </c>
      <c r="O105">
        <f t="shared" ca="1" si="108"/>
        <v>122.73902996939231</v>
      </c>
      <c r="P105">
        <f t="shared" ca="1" si="108"/>
        <v>135.7161190096069</v>
      </c>
      <c r="Q105">
        <f t="shared" ca="1" si="72"/>
        <v>118.52862059112336</v>
      </c>
      <c r="R105">
        <f t="shared" ca="1" si="73"/>
        <v>18.528620591123357</v>
      </c>
      <c r="S105">
        <f t="shared" ca="1" si="74"/>
        <v>18.161729321623341</v>
      </c>
    </row>
    <row r="106" spans="5:19" x14ac:dyDescent="0.75">
      <c r="E106">
        <v>101</v>
      </c>
      <c r="F106">
        <v>100</v>
      </c>
      <c r="G106">
        <f t="shared" ca="1" si="70"/>
        <v>91.798876332958727</v>
      </c>
      <c r="H106">
        <f t="shared" ca="1" si="70"/>
        <v>94.035576299601388</v>
      </c>
      <c r="I106">
        <f t="shared" ca="1" si="70"/>
        <v>106.86505926985755</v>
      </c>
      <c r="J106">
        <f t="shared" ca="1" si="70"/>
        <v>122.79852864699707</v>
      </c>
      <c r="K106">
        <f t="shared" ref="K106:P106" ca="1" si="109">J106*EXP(($C$4-0.5*$C$5^2)*$C$10+$C$5*SQRT($C$10)*NORMINV(RAND(),0,1))</f>
        <v>119.69374486669054</v>
      </c>
      <c r="L106">
        <f t="shared" ca="1" si="109"/>
        <v>129.91588987427599</v>
      </c>
      <c r="M106">
        <f t="shared" ca="1" si="109"/>
        <v>126.48255437632903</v>
      </c>
      <c r="N106">
        <f t="shared" ca="1" si="109"/>
        <v>124.69803746440513</v>
      </c>
      <c r="O106">
        <f t="shared" ca="1" si="109"/>
        <v>116.87420869284243</v>
      </c>
      <c r="P106">
        <f t="shared" ca="1" si="109"/>
        <v>114.92248408113569</v>
      </c>
      <c r="Q106">
        <f t="shared" ca="1" si="72"/>
        <v>113.46226908228124</v>
      </c>
      <c r="R106">
        <f t="shared" ca="1" si="73"/>
        <v>13.462269082281239</v>
      </c>
      <c r="S106">
        <f t="shared" ca="1" si="74"/>
        <v>13.19569829415062</v>
      </c>
    </row>
    <row r="107" spans="5:19" x14ac:dyDescent="0.75">
      <c r="E107">
        <v>102</v>
      </c>
      <c r="F107">
        <v>100</v>
      </c>
      <c r="G107">
        <f t="shared" ca="1" si="70"/>
        <v>106.44556323127961</v>
      </c>
      <c r="H107">
        <f t="shared" ca="1" si="70"/>
        <v>98.341855273313527</v>
      </c>
      <c r="I107">
        <f t="shared" ca="1" si="70"/>
        <v>98.029139168022894</v>
      </c>
      <c r="J107">
        <f t="shared" ca="1" si="70"/>
        <v>95.990272374339995</v>
      </c>
      <c r="K107">
        <f t="shared" ref="K107:P107" ca="1" si="110">J107*EXP(($C$4-0.5*$C$5^2)*$C$10+$C$5*SQRT($C$10)*NORMINV(RAND(),0,1))</f>
        <v>94.472689004539674</v>
      </c>
      <c r="L107">
        <f t="shared" ca="1" si="110"/>
        <v>100.3040771285458</v>
      </c>
      <c r="M107">
        <f t="shared" ca="1" si="110"/>
        <v>80.041536344207458</v>
      </c>
      <c r="N107">
        <f t="shared" ca="1" si="110"/>
        <v>86.78448945734597</v>
      </c>
      <c r="O107">
        <f t="shared" ca="1" si="110"/>
        <v>101.74407246534027</v>
      </c>
      <c r="P107">
        <f t="shared" ca="1" si="110"/>
        <v>108.98630543757695</v>
      </c>
      <c r="Q107">
        <f t="shared" ca="1" si="72"/>
        <v>97.376363625864755</v>
      </c>
      <c r="R107">
        <f t="shared" ca="1" si="73"/>
        <v>0</v>
      </c>
      <c r="S107">
        <f t="shared" ca="1" si="74"/>
        <v>0</v>
      </c>
    </row>
    <row r="108" spans="5:19" x14ac:dyDescent="0.75">
      <c r="E108">
        <v>103</v>
      </c>
      <c r="F108">
        <v>100</v>
      </c>
      <c r="G108">
        <f t="shared" ca="1" si="70"/>
        <v>109.59200271489155</v>
      </c>
      <c r="H108">
        <f t="shared" ca="1" si="70"/>
        <v>116.22484973518745</v>
      </c>
      <c r="I108">
        <f t="shared" ca="1" si="70"/>
        <v>120.28533990392719</v>
      </c>
      <c r="J108">
        <f t="shared" ca="1" si="70"/>
        <v>113.32182855374793</v>
      </c>
      <c r="K108">
        <f t="shared" ref="K108:P108" ca="1" si="111">J108*EXP(($C$4-0.5*$C$5^2)*$C$10+$C$5*SQRT($C$10)*NORMINV(RAND(),0,1))</f>
        <v>126.30738883950515</v>
      </c>
      <c r="L108">
        <f t="shared" ca="1" si="111"/>
        <v>125.34656490417952</v>
      </c>
      <c r="M108">
        <f t="shared" ca="1" si="111"/>
        <v>140.4314204244474</v>
      </c>
      <c r="N108">
        <f t="shared" ca="1" si="111"/>
        <v>154.25033140849155</v>
      </c>
      <c r="O108">
        <f t="shared" ca="1" si="111"/>
        <v>170.67497793941595</v>
      </c>
      <c r="P108">
        <f t="shared" ca="1" si="111"/>
        <v>178.30406285572633</v>
      </c>
      <c r="Q108">
        <f t="shared" ca="1" si="72"/>
        <v>132.24897884359277</v>
      </c>
      <c r="R108">
        <f t="shared" ca="1" si="73"/>
        <v>32.248978843592766</v>
      </c>
      <c r="S108">
        <f t="shared" ca="1" si="74"/>
        <v>31.610406277987249</v>
      </c>
    </row>
    <row r="109" spans="5:19" x14ac:dyDescent="0.75">
      <c r="E109">
        <v>104</v>
      </c>
      <c r="F109">
        <v>100</v>
      </c>
      <c r="G109">
        <f t="shared" ca="1" si="70"/>
        <v>97.016233738629225</v>
      </c>
      <c r="H109">
        <f t="shared" ca="1" si="70"/>
        <v>105.69714047162732</v>
      </c>
      <c r="I109">
        <f t="shared" ca="1" si="70"/>
        <v>105.88846240250837</v>
      </c>
      <c r="J109">
        <f t="shared" ca="1" si="70"/>
        <v>116.18582249776499</v>
      </c>
      <c r="K109">
        <f t="shared" ref="K109:P109" ca="1" si="112">J109*EXP(($C$4-0.5*$C$5^2)*$C$10+$C$5*SQRT($C$10)*NORMINV(RAND(),0,1))</f>
        <v>111.69158056486751</v>
      </c>
      <c r="L109">
        <f t="shared" ca="1" si="112"/>
        <v>114.66783978545105</v>
      </c>
      <c r="M109">
        <f t="shared" ca="1" si="112"/>
        <v>110.45362906764434</v>
      </c>
      <c r="N109">
        <f t="shared" ca="1" si="112"/>
        <v>110.19677252924808</v>
      </c>
      <c r="O109">
        <f t="shared" ca="1" si="112"/>
        <v>106.77617967634845</v>
      </c>
      <c r="P109">
        <f t="shared" ca="1" si="112"/>
        <v>113.84097265303576</v>
      </c>
      <c r="Q109">
        <f t="shared" ca="1" si="72"/>
        <v>108.40133030792047</v>
      </c>
      <c r="R109">
        <f t="shared" ca="1" si="73"/>
        <v>8.4013303079204746</v>
      </c>
      <c r="S109">
        <f t="shared" ca="1" si="74"/>
        <v>8.2349728218354823</v>
      </c>
    </row>
    <row r="110" spans="5:19" x14ac:dyDescent="0.75">
      <c r="E110">
        <v>105</v>
      </c>
      <c r="F110">
        <v>100</v>
      </c>
      <c r="G110">
        <f t="shared" ca="1" si="70"/>
        <v>98.885029042955679</v>
      </c>
      <c r="H110">
        <f t="shared" ca="1" si="70"/>
        <v>107.15874822799665</v>
      </c>
      <c r="I110">
        <f t="shared" ca="1" si="70"/>
        <v>112.15960477544603</v>
      </c>
      <c r="J110">
        <f t="shared" ca="1" si="70"/>
        <v>109.12738202573411</v>
      </c>
      <c r="K110">
        <f t="shared" ref="K110:P110" ca="1" si="113">J110*EXP(($C$4-0.5*$C$5^2)*$C$10+$C$5*SQRT($C$10)*NORMINV(RAND(),0,1))</f>
        <v>122.31192069673605</v>
      </c>
      <c r="L110">
        <f t="shared" ca="1" si="113"/>
        <v>125.52590145153972</v>
      </c>
      <c r="M110">
        <f t="shared" ca="1" si="113"/>
        <v>124.21190511890224</v>
      </c>
      <c r="N110">
        <f t="shared" ca="1" si="113"/>
        <v>131.03498739785522</v>
      </c>
      <c r="O110">
        <f t="shared" ca="1" si="113"/>
        <v>124.95510809773319</v>
      </c>
      <c r="P110">
        <f t="shared" ca="1" si="113"/>
        <v>139.374875802199</v>
      </c>
      <c r="Q110">
        <f t="shared" ca="1" si="72"/>
        <v>117.70413296700893</v>
      </c>
      <c r="R110">
        <f t="shared" ca="1" si="73"/>
        <v>17.704132967008931</v>
      </c>
      <c r="S110">
        <f t="shared" ca="1" si="74"/>
        <v>17.353567646308544</v>
      </c>
    </row>
    <row r="111" spans="5:19" x14ac:dyDescent="0.75">
      <c r="E111">
        <v>106</v>
      </c>
      <c r="F111">
        <v>100</v>
      </c>
      <c r="G111">
        <f t="shared" ca="1" si="70"/>
        <v>103.37168126485933</v>
      </c>
      <c r="H111">
        <f t="shared" ca="1" si="70"/>
        <v>103.02910328668813</v>
      </c>
      <c r="I111">
        <f t="shared" ca="1" si="70"/>
        <v>95.800107604596008</v>
      </c>
      <c r="J111">
        <f t="shared" ca="1" si="70"/>
        <v>89.630449694372842</v>
      </c>
      <c r="K111">
        <f t="shared" ref="K111:P111" ca="1" si="114">J111*EXP(($C$4-0.5*$C$5^2)*$C$10+$C$5*SQRT($C$10)*NORMINV(RAND(),0,1))</f>
        <v>76.999606194176309</v>
      </c>
      <c r="L111">
        <f t="shared" ca="1" si="114"/>
        <v>90.464596405557131</v>
      </c>
      <c r="M111">
        <f t="shared" ca="1" si="114"/>
        <v>88.150547674853613</v>
      </c>
      <c r="N111">
        <f t="shared" ca="1" si="114"/>
        <v>84.177142430879144</v>
      </c>
      <c r="O111">
        <f t="shared" ca="1" si="114"/>
        <v>80.100910660148742</v>
      </c>
      <c r="P111">
        <f t="shared" ca="1" si="114"/>
        <v>79.286871305538853</v>
      </c>
      <c r="Q111">
        <f t="shared" ca="1" si="72"/>
        <v>90.091910592879103</v>
      </c>
      <c r="R111">
        <f t="shared" ca="1" si="73"/>
        <v>0</v>
      </c>
      <c r="S111">
        <f t="shared" ca="1" si="74"/>
        <v>0</v>
      </c>
    </row>
    <row r="112" spans="5:19" x14ac:dyDescent="0.75">
      <c r="E112">
        <v>107</v>
      </c>
      <c r="F112">
        <v>100</v>
      </c>
      <c r="G112">
        <f t="shared" ca="1" si="70"/>
        <v>100.89009405136258</v>
      </c>
      <c r="H112">
        <f t="shared" ca="1" si="70"/>
        <v>96.342012208464865</v>
      </c>
      <c r="I112">
        <f t="shared" ca="1" si="70"/>
        <v>96.59579369203918</v>
      </c>
      <c r="J112">
        <f t="shared" ca="1" si="70"/>
        <v>97.402113480614986</v>
      </c>
      <c r="K112">
        <f t="shared" ref="K112:P112" ca="1" si="115">J112*EXP(($C$4-0.5*$C$5^2)*$C$10+$C$5*SQRT($C$10)*NORMINV(RAND(),0,1))</f>
        <v>104.38745719819293</v>
      </c>
      <c r="L112">
        <f t="shared" ca="1" si="115"/>
        <v>88.105933274105951</v>
      </c>
      <c r="M112">
        <f t="shared" ca="1" si="115"/>
        <v>91.646429029320956</v>
      </c>
      <c r="N112">
        <f t="shared" ca="1" si="115"/>
        <v>94.23495991475798</v>
      </c>
      <c r="O112">
        <f t="shared" ca="1" si="115"/>
        <v>82.282738327079386</v>
      </c>
      <c r="P112">
        <f t="shared" ca="1" si="115"/>
        <v>74.837077622598429</v>
      </c>
      <c r="Q112">
        <f t="shared" ca="1" si="72"/>
        <v>93.338600799867024</v>
      </c>
      <c r="R112">
        <f t="shared" ca="1" si="73"/>
        <v>0</v>
      </c>
      <c r="S112">
        <f t="shared" ca="1" si="74"/>
        <v>0</v>
      </c>
    </row>
    <row r="113" spans="5:19" x14ac:dyDescent="0.75">
      <c r="E113">
        <v>108</v>
      </c>
      <c r="F113">
        <v>100</v>
      </c>
      <c r="G113">
        <f t="shared" ca="1" si="70"/>
        <v>98.765991671959412</v>
      </c>
      <c r="H113">
        <f t="shared" ca="1" si="70"/>
        <v>93.173232570994998</v>
      </c>
      <c r="I113">
        <f t="shared" ca="1" si="70"/>
        <v>88.597458856409162</v>
      </c>
      <c r="J113">
        <f t="shared" ca="1" si="70"/>
        <v>96.785708139937967</v>
      </c>
      <c r="K113">
        <f t="shared" ref="K113:P113" ca="1" si="116">J113*EXP(($C$4-0.5*$C$5^2)*$C$10+$C$5*SQRT($C$10)*NORMINV(RAND(),0,1))</f>
        <v>99.040911114524775</v>
      </c>
      <c r="L113">
        <f t="shared" ca="1" si="116"/>
        <v>104.39804298157662</v>
      </c>
      <c r="M113">
        <f t="shared" ca="1" si="116"/>
        <v>107.79785474424186</v>
      </c>
      <c r="N113">
        <f t="shared" ca="1" si="116"/>
        <v>107.22534282034674</v>
      </c>
      <c r="O113">
        <f t="shared" ca="1" si="116"/>
        <v>112.15453625226824</v>
      </c>
      <c r="P113">
        <f t="shared" ca="1" si="116"/>
        <v>116.97870999903334</v>
      </c>
      <c r="Q113">
        <f t="shared" ca="1" si="72"/>
        <v>102.26525355920847</v>
      </c>
      <c r="R113">
        <f t="shared" ca="1" si="73"/>
        <v>2.2652535592084746</v>
      </c>
      <c r="S113">
        <f t="shared" ca="1" si="74"/>
        <v>2.220398533439552</v>
      </c>
    </row>
    <row r="114" spans="5:19" x14ac:dyDescent="0.75">
      <c r="E114">
        <v>109</v>
      </c>
      <c r="F114">
        <v>100</v>
      </c>
      <c r="G114">
        <f t="shared" ca="1" si="70"/>
        <v>104.29102017907429</v>
      </c>
      <c r="H114">
        <f t="shared" ca="1" si="70"/>
        <v>92.857241194923276</v>
      </c>
      <c r="I114">
        <f t="shared" ca="1" si="70"/>
        <v>98.295102258215309</v>
      </c>
      <c r="J114">
        <f t="shared" ca="1" si="70"/>
        <v>89.678610517473061</v>
      </c>
      <c r="K114">
        <f t="shared" ref="K114:P114" ca="1" si="117">J114*EXP(($C$4-0.5*$C$5^2)*$C$10+$C$5*SQRT($C$10)*NORMINV(RAND(),0,1))</f>
        <v>84.320862311787536</v>
      </c>
      <c r="L114">
        <f t="shared" ca="1" si="117"/>
        <v>80.95377237129081</v>
      </c>
      <c r="M114">
        <f t="shared" ca="1" si="117"/>
        <v>82.182370561527406</v>
      </c>
      <c r="N114">
        <f t="shared" ca="1" si="117"/>
        <v>88.74427769796452</v>
      </c>
      <c r="O114">
        <f t="shared" ca="1" si="117"/>
        <v>89.492975348907407</v>
      </c>
      <c r="P114">
        <f t="shared" ca="1" si="117"/>
        <v>96.044814831347509</v>
      </c>
      <c r="Q114">
        <f t="shared" ca="1" si="72"/>
        <v>91.532822479319194</v>
      </c>
      <c r="R114">
        <f t="shared" ca="1" si="73"/>
        <v>0</v>
      </c>
      <c r="S114">
        <f t="shared" ca="1" si="74"/>
        <v>0</v>
      </c>
    </row>
    <row r="115" spans="5:19" x14ac:dyDescent="0.75">
      <c r="E115">
        <v>110</v>
      </c>
      <c r="F115">
        <v>100</v>
      </c>
      <c r="G115">
        <f t="shared" ca="1" si="70"/>
        <v>104.23479762135295</v>
      </c>
      <c r="H115">
        <f t="shared" ca="1" si="70"/>
        <v>105.91428194864974</v>
      </c>
      <c r="I115">
        <f t="shared" ca="1" si="70"/>
        <v>107.98711001591832</v>
      </c>
      <c r="J115">
        <f t="shared" ca="1" si="70"/>
        <v>107.73316179006399</v>
      </c>
      <c r="K115">
        <f t="shared" ref="K115:P115" ca="1" si="118">J115*EXP(($C$4-0.5*$C$5^2)*$C$10+$C$5*SQRT($C$10)*NORMINV(RAND(),0,1))</f>
        <v>101.23546605487867</v>
      </c>
      <c r="L115">
        <f t="shared" ca="1" si="118"/>
        <v>97.766893026098771</v>
      </c>
      <c r="M115">
        <f t="shared" ca="1" si="118"/>
        <v>96.477604709224309</v>
      </c>
      <c r="N115">
        <f t="shared" ca="1" si="118"/>
        <v>93.591642815862869</v>
      </c>
      <c r="O115">
        <f t="shared" ca="1" si="118"/>
        <v>91.702809895630722</v>
      </c>
      <c r="P115">
        <f t="shared" ca="1" si="118"/>
        <v>89.144082777094567</v>
      </c>
      <c r="Q115">
        <f t="shared" ca="1" si="72"/>
        <v>99.617077332252251</v>
      </c>
      <c r="R115">
        <f t="shared" ca="1" si="73"/>
        <v>0</v>
      </c>
      <c r="S115">
        <f t="shared" ca="1" si="74"/>
        <v>0</v>
      </c>
    </row>
    <row r="116" spans="5:19" x14ac:dyDescent="0.75">
      <c r="E116">
        <v>111</v>
      </c>
      <c r="F116">
        <v>100</v>
      </c>
      <c r="G116">
        <f t="shared" ca="1" si="70"/>
        <v>89.958842457884515</v>
      </c>
      <c r="H116">
        <f t="shared" ca="1" si="70"/>
        <v>89.0925622903586</v>
      </c>
      <c r="I116">
        <f t="shared" ca="1" si="70"/>
        <v>92.489728129340378</v>
      </c>
      <c r="J116">
        <f t="shared" ca="1" si="70"/>
        <v>91.623127517751755</v>
      </c>
      <c r="K116">
        <f t="shared" ref="K116:P116" ca="1" si="119">J116*EXP(($C$4-0.5*$C$5^2)*$C$10+$C$5*SQRT($C$10)*NORMINV(RAND(),0,1))</f>
        <v>103.00656041619683</v>
      </c>
      <c r="L116">
        <f t="shared" ca="1" si="119"/>
        <v>102.11200223737615</v>
      </c>
      <c r="M116">
        <f t="shared" ca="1" si="119"/>
        <v>110.03759210984168</v>
      </c>
      <c r="N116">
        <f t="shared" ca="1" si="119"/>
        <v>109.56705948732156</v>
      </c>
      <c r="O116">
        <f t="shared" ca="1" si="119"/>
        <v>115.97741857281457</v>
      </c>
      <c r="P116">
        <f t="shared" ca="1" si="119"/>
        <v>116.51861769203396</v>
      </c>
      <c r="Q116">
        <f t="shared" ca="1" si="72"/>
        <v>101.85304644644727</v>
      </c>
      <c r="R116">
        <f t="shared" ca="1" si="73"/>
        <v>1.8530464464472658</v>
      </c>
      <c r="S116">
        <f t="shared" ca="1" si="74"/>
        <v>1.8163536683834072</v>
      </c>
    </row>
    <row r="117" spans="5:19" x14ac:dyDescent="0.75">
      <c r="E117">
        <v>112</v>
      </c>
      <c r="F117">
        <v>100</v>
      </c>
      <c r="G117">
        <f t="shared" ca="1" si="70"/>
        <v>98.650645470574418</v>
      </c>
      <c r="H117">
        <f t="shared" ca="1" si="70"/>
        <v>102.29703188607063</v>
      </c>
      <c r="I117">
        <f t="shared" ca="1" si="70"/>
        <v>94.539536166698369</v>
      </c>
      <c r="J117">
        <f t="shared" ca="1" si="70"/>
        <v>94.199755121716265</v>
      </c>
      <c r="K117">
        <f t="shared" ref="K117:P117" ca="1" si="120">J117*EXP(($C$4-0.5*$C$5^2)*$C$10+$C$5*SQRT($C$10)*NORMINV(RAND(),0,1))</f>
        <v>107.11414063483851</v>
      </c>
      <c r="L117">
        <f t="shared" ca="1" si="120"/>
        <v>92.583153152788526</v>
      </c>
      <c r="M117">
        <f t="shared" ca="1" si="120"/>
        <v>92.922666567853625</v>
      </c>
      <c r="N117">
        <f t="shared" ca="1" si="120"/>
        <v>95.499248337049025</v>
      </c>
      <c r="O117">
        <f t="shared" ca="1" si="120"/>
        <v>97.017660066391485</v>
      </c>
      <c r="P117">
        <f t="shared" ca="1" si="120"/>
        <v>99.526174720300958</v>
      </c>
      <c r="Q117">
        <f t="shared" ca="1" si="72"/>
        <v>97.668182920389256</v>
      </c>
      <c r="R117">
        <f t="shared" ca="1" si="73"/>
        <v>0</v>
      </c>
      <c r="S117">
        <f t="shared" ca="1" si="74"/>
        <v>0</v>
      </c>
    </row>
    <row r="118" spans="5:19" x14ac:dyDescent="0.75">
      <c r="E118">
        <v>113</v>
      </c>
      <c r="F118">
        <v>100</v>
      </c>
      <c r="G118">
        <f t="shared" ca="1" si="70"/>
        <v>96.924853980574824</v>
      </c>
      <c r="H118">
        <f t="shared" ca="1" si="70"/>
        <v>99.498402396506819</v>
      </c>
      <c r="I118">
        <f t="shared" ca="1" si="70"/>
        <v>106.65340013991079</v>
      </c>
      <c r="J118">
        <f t="shared" ca="1" si="70"/>
        <v>105.84481070594259</v>
      </c>
      <c r="K118">
        <f t="shared" ref="K118:P118" ca="1" si="121">J118*EXP(($C$4-0.5*$C$5^2)*$C$10+$C$5*SQRT($C$10)*NORMINV(RAND(),0,1))</f>
        <v>118.0615407190881</v>
      </c>
      <c r="L118">
        <f t="shared" ca="1" si="121"/>
        <v>102.22652281211734</v>
      </c>
      <c r="M118">
        <f t="shared" ca="1" si="121"/>
        <v>96.227732396453618</v>
      </c>
      <c r="N118">
        <f t="shared" ca="1" si="121"/>
        <v>90.440865388021393</v>
      </c>
      <c r="O118">
        <f t="shared" ca="1" si="121"/>
        <v>95.532366920804506</v>
      </c>
      <c r="P118">
        <f t="shared" ca="1" si="121"/>
        <v>107.6893832238877</v>
      </c>
      <c r="Q118">
        <f t="shared" ca="1" si="72"/>
        <v>101.73635260757341</v>
      </c>
      <c r="R118">
        <f t="shared" ca="1" si="73"/>
        <v>1.7363526075734086</v>
      </c>
      <c r="S118">
        <f t="shared" ca="1" si="74"/>
        <v>1.7019705223361801</v>
      </c>
    </row>
    <row r="119" spans="5:19" x14ac:dyDescent="0.75">
      <c r="E119">
        <v>114</v>
      </c>
      <c r="F119">
        <v>100</v>
      </c>
      <c r="G119">
        <f t="shared" ca="1" si="70"/>
        <v>97.275766154552329</v>
      </c>
      <c r="H119">
        <f t="shared" ca="1" si="70"/>
        <v>92.350784940794838</v>
      </c>
      <c r="I119">
        <f t="shared" ca="1" si="70"/>
        <v>92.484229363027566</v>
      </c>
      <c r="J119">
        <f t="shared" ca="1" si="70"/>
        <v>100.05793594229429</v>
      </c>
      <c r="K119">
        <f t="shared" ref="K119:P119" ca="1" si="122">J119*EXP(($C$4-0.5*$C$5^2)*$C$10+$C$5*SQRT($C$10)*NORMINV(RAND(),0,1))</f>
        <v>99.836550354627235</v>
      </c>
      <c r="L119">
        <f t="shared" ca="1" si="122"/>
        <v>90.54391076883897</v>
      </c>
      <c r="M119">
        <f t="shared" ca="1" si="122"/>
        <v>92.371190399124771</v>
      </c>
      <c r="N119">
        <f t="shared" ca="1" si="122"/>
        <v>98.27822407439966</v>
      </c>
      <c r="O119">
        <f t="shared" ca="1" si="122"/>
        <v>104.64808861181822</v>
      </c>
      <c r="P119">
        <f t="shared" ca="1" si="122"/>
        <v>102.20235722796606</v>
      </c>
      <c r="Q119">
        <f t="shared" ca="1" si="72"/>
        <v>97.277185257949441</v>
      </c>
      <c r="R119">
        <f t="shared" ca="1" si="73"/>
        <v>0</v>
      </c>
      <c r="S119">
        <f t="shared" ca="1" si="74"/>
        <v>0</v>
      </c>
    </row>
    <row r="120" spans="5:19" x14ac:dyDescent="0.75">
      <c r="E120">
        <v>115</v>
      </c>
      <c r="F120">
        <v>100</v>
      </c>
      <c r="G120">
        <f t="shared" ca="1" si="70"/>
        <v>105.03205495892219</v>
      </c>
      <c r="H120">
        <f t="shared" ca="1" si="70"/>
        <v>94.543574524878991</v>
      </c>
      <c r="I120">
        <f t="shared" ca="1" si="70"/>
        <v>91.668292288708216</v>
      </c>
      <c r="J120">
        <f t="shared" ca="1" si="70"/>
        <v>91.106555877842212</v>
      </c>
      <c r="K120">
        <f t="shared" ref="K120:P120" ca="1" si="123">J120*EXP(($C$4-0.5*$C$5^2)*$C$10+$C$5*SQRT($C$10)*NORMINV(RAND(),0,1))</f>
        <v>88.467456196833197</v>
      </c>
      <c r="L120">
        <f t="shared" ca="1" si="123"/>
        <v>85.452317802686721</v>
      </c>
      <c r="M120">
        <f t="shared" ca="1" si="123"/>
        <v>85.193063232372253</v>
      </c>
      <c r="N120">
        <f t="shared" ca="1" si="123"/>
        <v>84.228530290074673</v>
      </c>
      <c r="O120">
        <f t="shared" ca="1" si="123"/>
        <v>80.471081313630748</v>
      </c>
      <c r="P120">
        <f t="shared" ca="1" si="123"/>
        <v>77.399817836018798</v>
      </c>
      <c r="Q120">
        <f t="shared" ca="1" si="72"/>
        <v>89.414794938360714</v>
      </c>
      <c r="R120">
        <f t="shared" ca="1" si="73"/>
        <v>0</v>
      </c>
      <c r="S120">
        <f t="shared" ca="1" si="74"/>
        <v>0</v>
      </c>
    </row>
    <row r="121" spans="5:19" x14ac:dyDescent="0.75">
      <c r="E121">
        <v>116</v>
      </c>
      <c r="F121">
        <v>100</v>
      </c>
      <c r="G121">
        <f t="shared" ca="1" si="70"/>
        <v>99.082135070866073</v>
      </c>
      <c r="H121">
        <f t="shared" ca="1" si="70"/>
        <v>102.1801851363869</v>
      </c>
      <c r="I121">
        <f t="shared" ca="1" si="70"/>
        <v>106.85329900433705</v>
      </c>
      <c r="J121">
        <f t="shared" ca="1" si="70"/>
        <v>99.227745310199623</v>
      </c>
      <c r="K121">
        <f t="shared" ref="K121:P121" ca="1" si="124">J121*EXP(($C$4-0.5*$C$5^2)*$C$10+$C$5*SQRT($C$10)*NORMINV(RAND(),0,1))</f>
        <v>96.401955939014428</v>
      </c>
      <c r="L121">
        <f t="shared" ca="1" si="124"/>
        <v>98.220380925868284</v>
      </c>
      <c r="M121">
        <f t="shared" ca="1" si="124"/>
        <v>103.53296458706144</v>
      </c>
      <c r="N121">
        <f t="shared" ca="1" si="124"/>
        <v>91.5843784338186</v>
      </c>
      <c r="O121">
        <f t="shared" ca="1" si="124"/>
        <v>94.684022333586569</v>
      </c>
      <c r="P121">
        <f t="shared" ca="1" si="124"/>
        <v>93.012893809725824</v>
      </c>
      <c r="Q121">
        <f t="shared" ca="1" si="72"/>
        <v>98.616360050078626</v>
      </c>
      <c r="R121">
        <f t="shared" ca="1" si="73"/>
        <v>0</v>
      </c>
      <c r="S121">
        <f t="shared" ca="1" si="74"/>
        <v>0</v>
      </c>
    </row>
    <row r="122" spans="5:19" x14ac:dyDescent="0.75">
      <c r="E122">
        <v>117</v>
      </c>
      <c r="F122">
        <v>100</v>
      </c>
      <c r="G122">
        <f t="shared" ca="1" si="70"/>
        <v>92.975302464625045</v>
      </c>
      <c r="H122">
        <f t="shared" ca="1" si="70"/>
        <v>89.561328793015065</v>
      </c>
      <c r="I122">
        <f t="shared" ca="1" si="70"/>
        <v>92.190055414022552</v>
      </c>
      <c r="J122">
        <f t="shared" ca="1" si="70"/>
        <v>90.306640017267696</v>
      </c>
      <c r="K122">
        <f t="shared" ref="K122:P122" ca="1" si="125">J122*EXP(($C$4-0.5*$C$5^2)*$C$10+$C$5*SQRT($C$10)*NORMINV(RAND(),0,1))</f>
        <v>88.061518186688431</v>
      </c>
      <c r="L122">
        <f t="shared" ca="1" si="125"/>
        <v>94.31672250723507</v>
      </c>
      <c r="M122">
        <f t="shared" ca="1" si="125"/>
        <v>94.235941834731094</v>
      </c>
      <c r="N122">
        <f t="shared" ca="1" si="125"/>
        <v>99.209292597193141</v>
      </c>
      <c r="O122">
        <f t="shared" ca="1" si="125"/>
        <v>104.29368412681549</v>
      </c>
      <c r="P122">
        <f t="shared" ca="1" si="125"/>
        <v>111.56787228620914</v>
      </c>
      <c r="Q122">
        <f t="shared" ca="1" si="72"/>
        <v>96.065305293436595</v>
      </c>
      <c r="R122">
        <f t="shared" ca="1" si="73"/>
        <v>0</v>
      </c>
      <c r="S122">
        <f t="shared" ca="1" si="74"/>
        <v>0</v>
      </c>
    </row>
    <row r="123" spans="5:19" x14ac:dyDescent="0.75">
      <c r="E123">
        <v>118</v>
      </c>
      <c r="F123">
        <v>100</v>
      </c>
      <c r="G123">
        <f t="shared" ca="1" si="70"/>
        <v>100.55038748506699</v>
      </c>
      <c r="H123">
        <f t="shared" ca="1" si="70"/>
        <v>94.146850532972437</v>
      </c>
      <c r="I123">
        <f t="shared" ca="1" si="70"/>
        <v>81.203152323187567</v>
      </c>
      <c r="J123">
        <f t="shared" ca="1" si="70"/>
        <v>78.747869854184088</v>
      </c>
      <c r="K123">
        <f t="shared" ref="K123:P123" ca="1" si="126">J123*EXP(($C$4-0.5*$C$5^2)*$C$10+$C$5*SQRT($C$10)*NORMINV(RAND(),0,1))</f>
        <v>69.932407540308532</v>
      </c>
      <c r="L123">
        <f t="shared" ca="1" si="126"/>
        <v>69.392845299098155</v>
      </c>
      <c r="M123">
        <f t="shared" ca="1" si="126"/>
        <v>78.922936924262331</v>
      </c>
      <c r="N123">
        <f t="shared" ca="1" si="126"/>
        <v>71.70657047633938</v>
      </c>
      <c r="O123">
        <f t="shared" ca="1" si="126"/>
        <v>73.935644203702992</v>
      </c>
      <c r="P123">
        <f t="shared" ca="1" si="126"/>
        <v>74.208036663094546</v>
      </c>
      <c r="Q123">
        <f t="shared" ca="1" si="72"/>
        <v>81.15879102747428</v>
      </c>
      <c r="R123">
        <f t="shared" ca="1" si="73"/>
        <v>0</v>
      </c>
      <c r="S123">
        <f t="shared" ca="1" si="74"/>
        <v>0</v>
      </c>
    </row>
    <row r="124" spans="5:19" x14ac:dyDescent="0.75">
      <c r="E124">
        <v>119</v>
      </c>
      <c r="F124">
        <v>100</v>
      </c>
      <c r="G124">
        <f t="shared" ca="1" si="70"/>
        <v>109.27119941548442</v>
      </c>
      <c r="H124">
        <f t="shared" ca="1" si="70"/>
        <v>90.979675219141171</v>
      </c>
      <c r="I124">
        <f t="shared" ca="1" si="70"/>
        <v>98.473535890410119</v>
      </c>
      <c r="J124">
        <f t="shared" ca="1" si="70"/>
        <v>101.93351918166582</v>
      </c>
      <c r="K124">
        <f t="shared" ref="K124:P124" ca="1" si="127">J124*EXP(($C$4-0.5*$C$5^2)*$C$10+$C$5*SQRT($C$10)*NORMINV(RAND(),0,1))</f>
        <v>105.85560709599913</v>
      </c>
      <c r="L124">
        <f t="shared" ca="1" si="127"/>
        <v>117.34737970764347</v>
      </c>
      <c r="M124">
        <f t="shared" ca="1" si="127"/>
        <v>109.75522201738704</v>
      </c>
      <c r="N124">
        <f t="shared" ca="1" si="127"/>
        <v>107.42396309816036</v>
      </c>
      <c r="O124">
        <f t="shared" ca="1" si="127"/>
        <v>126.6691465970579</v>
      </c>
      <c r="P124">
        <f t="shared" ca="1" si="127"/>
        <v>127.1999008219173</v>
      </c>
      <c r="Q124">
        <f t="shared" ca="1" si="72"/>
        <v>108.62810445862424</v>
      </c>
      <c r="R124">
        <f t="shared" ca="1" si="73"/>
        <v>8.6281044586242359</v>
      </c>
      <c r="S124">
        <f t="shared" ca="1" si="74"/>
        <v>8.4572565434955767</v>
      </c>
    </row>
    <row r="125" spans="5:19" x14ac:dyDescent="0.75">
      <c r="E125">
        <v>120</v>
      </c>
      <c r="F125">
        <v>100</v>
      </c>
      <c r="G125">
        <f t="shared" ca="1" si="70"/>
        <v>107.26745672672004</v>
      </c>
      <c r="H125">
        <f t="shared" ca="1" si="70"/>
        <v>113.03967583103167</v>
      </c>
      <c r="I125">
        <f t="shared" ca="1" si="70"/>
        <v>104.24001379217938</v>
      </c>
      <c r="J125">
        <f t="shared" ca="1" si="70"/>
        <v>100.71474679142291</v>
      </c>
      <c r="K125">
        <f t="shared" ref="K125:P125" ca="1" si="128">J125*EXP(($C$4-0.5*$C$5^2)*$C$10+$C$5*SQRT($C$10)*NORMINV(RAND(),0,1))</f>
        <v>96.663745439677342</v>
      </c>
      <c r="L125">
        <f t="shared" ca="1" si="128"/>
        <v>97.505694548563113</v>
      </c>
      <c r="M125">
        <f t="shared" ca="1" si="128"/>
        <v>95.825511562327875</v>
      </c>
      <c r="N125">
        <f t="shared" ca="1" si="128"/>
        <v>97.777753021448206</v>
      </c>
      <c r="O125">
        <f t="shared" ca="1" si="128"/>
        <v>105.13595591701636</v>
      </c>
      <c r="P125">
        <f t="shared" ca="1" si="128"/>
        <v>116.06028211587245</v>
      </c>
      <c r="Q125">
        <f t="shared" ca="1" si="72"/>
        <v>103.11189415875087</v>
      </c>
      <c r="R125">
        <f t="shared" ca="1" si="73"/>
        <v>3.1118941587508715</v>
      </c>
      <c r="S125">
        <f t="shared" ca="1" si="74"/>
        <v>3.0502745258786454</v>
      </c>
    </row>
    <row r="126" spans="5:19" x14ac:dyDescent="0.75">
      <c r="E126">
        <v>121</v>
      </c>
      <c r="F126">
        <v>100</v>
      </c>
      <c r="G126">
        <f t="shared" ca="1" si="70"/>
        <v>107.81329491789049</v>
      </c>
      <c r="H126">
        <f t="shared" ca="1" si="70"/>
        <v>102.861412779356</v>
      </c>
      <c r="I126">
        <f t="shared" ca="1" si="70"/>
        <v>102.74986501528412</v>
      </c>
      <c r="J126">
        <f t="shared" ca="1" si="70"/>
        <v>113.0934306172376</v>
      </c>
      <c r="K126">
        <f t="shared" ref="K126:P126" ca="1" si="129">J126*EXP(($C$4-0.5*$C$5^2)*$C$10+$C$5*SQRT($C$10)*NORMINV(RAND(),0,1))</f>
        <v>108.90531287225767</v>
      </c>
      <c r="L126">
        <f t="shared" ca="1" si="129"/>
        <v>108.73589509086032</v>
      </c>
      <c r="M126">
        <f t="shared" ca="1" si="129"/>
        <v>113.64789122166091</v>
      </c>
      <c r="N126">
        <f t="shared" ca="1" si="129"/>
        <v>120.12320803397391</v>
      </c>
      <c r="O126">
        <f t="shared" ca="1" si="129"/>
        <v>118.69863679560773</v>
      </c>
      <c r="P126">
        <f t="shared" ca="1" si="129"/>
        <v>109.30936290084625</v>
      </c>
      <c r="Q126">
        <f t="shared" ca="1" si="72"/>
        <v>109.63075547681592</v>
      </c>
      <c r="R126">
        <f t="shared" ca="1" si="73"/>
        <v>9.6307554768159207</v>
      </c>
      <c r="S126">
        <f t="shared" ca="1" si="74"/>
        <v>9.4400537413167331</v>
      </c>
    </row>
    <row r="127" spans="5:19" x14ac:dyDescent="0.75">
      <c r="E127">
        <v>122</v>
      </c>
      <c r="F127">
        <v>100</v>
      </c>
      <c r="G127">
        <f t="shared" ca="1" si="70"/>
        <v>93.063103631841031</v>
      </c>
      <c r="H127">
        <f t="shared" ca="1" si="70"/>
        <v>91.572783165742123</v>
      </c>
      <c r="I127">
        <f t="shared" ca="1" si="70"/>
        <v>90.53272696452585</v>
      </c>
      <c r="J127">
        <f t="shared" ca="1" si="70"/>
        <v>83.463273458014498</v>
      </c>
      <c r="K127">
        <f t="shared" ref="K127:P127" ca="1" si="130">J127*EXP(($C$4-0.5*$C$5^2)*$C$10+$C$5*SQRT($C$10)*NORMINV(RAND(),0,1))</f>
        <v>78.621927483290435</v>
      </c>
      <c r="L127">
        <f t="shared" ca="1" si="130"/>
        <v>73.455951644977802</v>
      </c>
      <c r="M127">
        <f t="shared" ca="1" si="130"/>
        <v>71.66274473202138</v>
      </c>
      <c r="N127">
        <f t="shared" ca="1" si="130"/>
        <v>70.107054114993105</v>
      </c>
      <c r="O127">
        <f t="shared" ca="1" si="130"/>
        <v>72.392406126431638</v>
      </c>
      <c r="P127">
        <f t="shared" ca="1" si="130"/>
        <v>76.971640124590294</v>
      </c>
      <c r="Q127">
        <f t="shared" ca="1" si="72"/>
        <v>81.985782858766186</v>
      </c>
      <c r="R127">
        <f t="shared" ca="1" si="73"/>
        <v>0</v>
      </c>
      <c r="S127">
        <f t="shared" ca="1" si="74"/>
        <v>0</v>
      </c>
    </row>
    <row r="128" spans="5:19" x14ac:dyDescent="0.75">
      <c r="E128">
        <v>123</v>
      </c>
      <c r="F128">
        <v>100</v>
      </c>
      <c r="G128">
        <f t="shared" ca="1" si="70"/>
        <v>108.38778915489264</v>
      </c>
      <c r="H128">
        <f t="shared" ca="1" si="70"/>
        <v>105.78048855633531</v>
      </c>
      <c r="I128">
        <f t="shared" ca="1" si="70"/>
        <v>116.54085024623474</v>
      </c>
      <c r="J128">
        <f t="shared" ca="1" si="70"/>
        <v>119.6418003657017</v>
      </c>
      <c r="K128">
        <f t="shared" ref="K128:P128" ca="1" si="131">J128*EXP(($C$4-0.5*$C$5^2)*$C$10+$C$5*SQRT($C$10)*NORMINV(RAND(),0,1))</f>
        <v>125.72085646558791</v>
      </c>
      <c r="L128">
        <f t="shared" ca="1" si="131"/>
        <v>130.90235640812412</v>
      </c>
      <c r="M128">
        <f t="shared" ca="1" si="131"/>
        <v>127.06486997916134</v>
      </c>
      <c r="N128">
        <f t="shared" ca="1" si="131"/>
        <v>116.96652491788622</v>
      </c>
      <c r="O128">
        <f t="shared" ca="1" si="131"/>
        <v>121.91112682152459</v>
      </c>
      <c r="P128">
        <f t="shared" ca="1" si="131"/>
        <v>119.98775084962668</v>
      </c>
      <c r="Q128">
        <f t="shared" ca="1" si="72"/>
        <v>117.53676488773409</v>
      </c>
      <c r="R128">
        <f t="shared" ca="1" si="73"/>
        <v>17.536764887734094</v>
      </c>
      <c r="S128">
        <f t="shared" ca="1" si="74"/>
        <v>17.189513677049447</v>
      </c>
    </row>
    <row r="129" spans="5:19" x14ac:dyDescent="0.75">
      <c r="E129">
        <v>124</v>
      </c>
      <c r="F129">
        <v>100</v>
      </c>
      <c r="G129">
        <f t="shared" ca="1" si="70"/>
        <v>98.526118615649068</v>
      </c>
      <c r="H129">
        <f t="shared" ca="1" si="70"/>
        <v>108.03574671668808</v>
      </c>
      <c r="I129">
        <f t="shared" ca="1" si="70"/>
        <v>119.85151991597729</v>
      </c>
      <c r="J129">
        <f t="shared" ca="1" si="70"/>
        <v>118.65972920135539</v>
      </c>
      <c r="K129">
        <f t="shared" ref="K129:P129" ca="1" si="132">J129*EXP(($C$4-0.5*$C$5^2)*$C$10+$C$5*SQRT($C$10)*NORMINV(RAND(),0,1))</f>
        <v>126.94591541029718</v>
      </c>
      <c r="L129">
        <f t="shared" ca="1" si="132"/>
        <v>117.55419903428314</v>
      </c>
      <c r="M129">
        <f t="shared" ca="1" si="132"/>
        <v>114.04649814205771</v>
      </c>
      <c r="N129">
        <f t="shared" ca="1" si="132"/>
        <v>114.08994029281075</v>
      </c>
      <c r="O129">
        <f t="shared" ca="1" si="132"/>
        <v>116.05168440055748</v>
      </c>
      <c r="P129">
        <f t="shared" ca="1" si="132"/>
        <v>109.52902309269211</v>
      </c>
      <c r="Q129">
        <f t="shared" ca="1" si="72"/>
        <v>113.02639771112439</v>
      </c>
      <c r="R129">
        <f t="shared" ca="1" si="73"/>
        <v>13.026397711124389</v>
      </c>
      <c r="S129">
        <f t="shared" ca="1" si="74"/>
        <v>12.76845775441028</v>
      </c>
    </row>
    <row r="130" spans="5:19" x14ac:dyDescent="0.75">
      <c r="E130">
        <v>125</v>
      </c>
      <c r="F130">
        <v>100</v>
      </c>
      <c r="G130">
        <f t="shared" ca="1" si="70"/>
        <v>94.861906349096344</v>
      </c>
      <c r="H130">
        <f t="shared" ca="1" si="70"/>
        <v>94.022074924763032</v>
      </c>
      <c r="I130">
        <f t="shared" ca="1" si="70"/>
        <v>89.711051412279204</v>
      </c>
      <c r="J130">
        <f t="shared" ca="1" si="70"/>
        <v>87.265841811687238</v>
      </c>
      <c r="K130">
        <f t="shared" ref="K130:P130" ca="1" si="133">J130*EXP(($C$4-0.5*$C$5^2)*$C$10+$C$5*SQRT($C$10)*NORMINV(RAND(),0,1))</f>
        <v>94.426894756507011</v>
      </c>
      <c r="L130">
        <f t="shared" ca="1" si="133"/>
        <v>96.361732416550751</v>
      </c>
      <c r="M130">
        <f t="shared" ca="1" si="133"/>
        <v>92.163671419435929</v>
      </c>
      <c r="N130">
        <f t="shared" ca="1" si="133"/>
        <v>102.48340498514014</v>
      </c>
      <c r="O130">
        <f t="shared" ca="1" si="133"/>
        <v>105.2340126980414</v>
      </c>
      <c r="P130">
        <f t="shared" ca="1" si="133"/>
        <v>108.64841970307636</v>
      </c>
      <c r="Q130">
        <f t="shared" ca="1" si="72"/>
        <v>96.834455497870664</v>
      </c>
      <c r="R130">
        <f t="shared" ca="1" si="73"/>
        <v>0</v>
      </c>
      <c r="S130">
        <f t="shared" ca="1" si="74"/>
        <v>0</v>
      </c>
    </row>
    <row r="131" spans="5:19" x14ac:dyDescent="0.75">
      <c r="E131">
        <v>126</v>
      </c>
      <c r="F131">
        <v>100</v>
      </c>
      <c r="G131">
        <f t="shared" ca="1" si="70"/>
        <v>92.626507414497226</v>
      </c>
      <c r="H131">
        <f t="shared" ca="1" si="70"/>
        <v>110.24370197915476</v>
      </c>
      <c r="I131">
        <f t="shared" ca="1" si="70"/>
        <v>101.90692068610851</v>
      </c>
      <c r="J131">
        <f t="shared" ca="1" si="70"/>
        <v>104.67998135434468</v>
      </c>
      <c r="K131">
        <f t="shared" ref="K131:P131" ca="1" si="134">J131*EXP(($C$4-0.5*$C$5^2)*$C$10+$C$5*SQRT($C$10)*NORMINV(RAND(),0,1))</f>
        <v>102.73512020549671</v>
      </c>
      <c r="L131">
        <f t="shared" ca="1" si="134"/>
        <v>109.71759867148836</v>
      </c>
      <c r="M131">
        <f t="shared" ca="1" si="134"/>
        <v>100.19490791871755</v>
      </c>
      <c r="N131">
        <f t="shared" ca="1" si="134"/>
        <v>103.56279870853642</v>
      </c>
      <c r="O131">
        <f t="shared" ca="1" si="134"/>
        <v>99.601927602470425</v>
      </c>
      <c r="P131">
        <f t="shared" ca="1" si="134"/>
        <v>97.343709075823455</v>
      </c>
      <c r="Q131">
        <f t="shared" ca="1" si="72"/>
        <v>102.05574305605801</v>
      </c>
      <c r="R131">
        <f t="shared" ca="1" si="73"/>
        <v>2.0557430560580059</v>
      </c>
      <c r="S131">
        <f t="shared" ca="1" si="74"/>
        <v>2.0150366162076319</v>
      </c>
    </row>
    <row r="132" spans="5:19" x14ac:dyDescent="0.75">
      <c r="E132">
        <v>127</v>
      </c>
      <c r="F132">
        <v>100</v>
      </c>
      <c r="G132">
        <f t="shared" ca="1" si="70"/>
        <v>109.09988779394055</v>
      </c>
      <c r="H132">
        <f t="shared" ca="1" si="70"/>
        <v>114.35822839104728</v>
      </c>
      <c r="I132">
        <f t="shared" ca="1" si="70"/>
        <v>106.42861882070129</v>
      </c>
      <c r="J132">
        <f t="shared" ca="1" si="70"/>
        <v>108.35021005887323</v>
      </c>
      <c r="K132">
        <f t="shared" ref="K132:P132" ca="1" si="135">J132*EXP(($C$4-0.5*$C$5^2)*$C$10+$C$5*SQRT($C$10)*NORMINV(RAND(),0,1))</f>
        <v>110.47418024776644</v>
      </c>
      <c r="L132">
        <f t="shared" ca="1" si="135"/>
        <v>115.41365999187836</v>
      </c>
      <c r="M132">
        <f t="shared" ca="1" si="135"/>
        <v>119.39649599221343</v>
      </c>
      <c r="N132">
        <f t="shared" ca="1" si="135"/>
        <v>133.06493809114022</v>
      </c>
      <c r="O132">
        <f t="shared" ca="1" si="135"/>
        <v>148.77727307849651</v>
      </c>
      <c r="P132">
        <f t="shared" ca="1" si="135"/>
        <v>147.2435389373197</v>
      </c>
      <c r="Q132">
        <f t="shared" ca="1" si="72"/>
        <v>119.32791194576156</v>
      </c>
      <c r="R132">
        <f t="shared" ca="1" si="73"/>
        <v>19.327911945761556</v>
      </c>
      <c r="S132">
        <f t="shared" ca="1" si="74"/>
        <v>18.945193647025263</v>
      </c>
    </row>
    <row r="133" spans="5:19" x14ac:dyDescent="0.75">
      <c r="E133">
        <v>128</v>
      </c>
      <c r="F133">
        <v>100</v>
      </c>
      <c r="G133">
        <f t="shared" ca="1" si="70"/>
        <v>105.37724656888105</v>
      </c>
      <c r="H133">
        <f t="shared" ca="1" si="70"/>
        <v>113.14738241649755</v>
      </c>
      <c r="I133">
        <f t="shared" ca="1" si="70"/>
        <v>116.39591737607039</v>
      </c>
      <c r="J133">
        <f t="shared" ca="1" si="70"/>
        <v>115.98675609041666</v>
      </c>
      <c r="K133">
        <f t="shared" ref="K133:P133" ca="1" si="136">J133*EXP(($C$4-0.5*$C$5^2)*$C$10+$C$5*SQRT($C$10)*NORMINV(RAND(),0,1))</f>
        <v>118.50648004293593</v>
      </c>
      <c r="L133">
        <f t="shared" ca="1" si="136"/>
        <v>115.78883548973752</v>
      </c>
      <c r="M133">
        <f t="shared" ca="1" si="136"/>
        <v>110.16161015841504</v>
      </c>
      <c r="N133">
        <f t="shared" ca="1" si="136"/>
        <v>109.56487096245679</v>
      </c>
      <c r="O133">
        <f t="shared" ca="1" si="136"/>
        <v>112.36569770048854</v>
      </c>
      <c r="P133">
        <f t="shared" ca="1" si="136"/>
        <v>123.10409924942523</v>
      </c>
      <c r="Q133">
        <f t="shared" ca="1" si="72"/>
        <v>112.76353600502949</v>
      </c>
      <c r="R133">
        <f t="shared" ca="1" si="73"/>
        <v>12.763536005029493</v>
      </c>
      <c r="S133">
        <f t="shared" ca="1" si="74"/>
        <v>12.510801058832913</v>
      </c>
    </row>
    <row r="134" spans="5:19" x14ac:dyDescent="0.75">
      <c r="E134">
        <v>129</v>
      </c>
      <c r="F134">
        <v>100</v>
      </c>
      <c r="G134">
        <f t="shared" ca="1" si="70"/>
        <v>98.835151267776453</v>
      </c>
      <c r="H134">
        <f t="shared" ca="1" si="70"/>
        <v>95.676507600144376</v>
      </c>
      <c r="I134">
        <f t="shared" ca="1" si="70"/>
        <v>95.392386086748957</v>
      </c>
      <c r="J134">
        <f t="shared" ref="J134:P134" ca="1" si="137">I134*EXP(($C$4-0.5*$C$5^2)*$C$10+$C$5*SQRT($C$10)*NORMINV(RAND(),0,1))</f>
        <v>102.46869973234479</v>
      </c>
      <c r="K134">
        <f t="shared" ca="1" si="137"/>
        <v>96.78677578379353</v>
      </c>
      <c r="L134">
        <f t="shared" ca="1" si="137"/>
        <v>94.38986577715832</v>
      </c>
      <c r="M134">
        <f t="shared" ca="1" si="137"/>
        <v>90.481891807222425</v>
      </c>
      <c r="N134">
        <f t="shared" ca="1" si="137"/>
        <v>97.737776829097839</v>
      </c>
      <c r="O134">
        <f t="shared" ca="1" si="137"/>
        <v>88.451339119125919</v>
      </c>
      <c r="P134">
        <f t="shared" ca="1" si="137"/>
        <v>86.009396882628806</v>
      </c>
      <c r="Q134">
        <f t="shared" ca="1" si="72"/>
        <v>95.111799171458287</v>
      </c>
      <c r="R134">
        <f t="shared" ca="1" si="73"/>
        <v>0</v>
      </c>
      <c r="S134">
        <f t="shared" ca="1" si="74"/>
        <v>0</v>
      </c>
    </row>
    <row r="135" spans="5:19" x14ac:dyDescent="0.75">
      <c r="E135">
        <v>130</v>
      </c>
      <c r="F135">
        <v>100</v>
      </c>
      <c r="G135">
        <f t="shared" ref="G135:J198" ca="1" si="138">F135*EXP(($C$4-0.5*$C$5^2)*$C$10+$C$5*SQRT($C$10)*NORMINV(RAND(),0,1))</f>
        <v>109.38282285281227</v>
      </c>
      <c r="H135">
        <f t="shared" ca="1" si="138"/>
        <v>114.85490806794395</v>
      </c>
      <c r="I135">
        <f t="shared" ca="1" si="138"/>
        <v>106.93567304711625</v>
      </c>
      <c r="J135">
        <f t="shared" ca="1" si="138"/>
        <v>105.36715719131104</v>
      </c>
      <c r="K135">
        <f t="shared" ref="K135:P135" ca="1" si="139">J135*EXP(($C$4-0.5*$C$5^2)*$C$10+$C$5*SQRT($C$10)*NORMINV(RAND(),0,1))</f>
        <v>94.64595588129454</v>
      </c>
      <c r="L135">
        <f t="shared" ca="1" si="139"/>
        <v>98.569112380558408</v>
      </c>
      <c r="M135">
        <f t="shared" ca="1" si="139"/>
        <v>101.09082461059916</v>
      </c>
      <c r="N135">
        <f t="shared" ca="1" si="139"/>
        <v>109.7513104630268</v>
      </c>
      <c r="O135">
        <f t="shared" ca="1" si="139"/>
        <v>101.00031745465972</v>
      </c>
      <c r="P135">
        <f t="shared" ca="1" si="139"/>
        <v>94.754690624191014</v>
      </c>
      <c r="Q135">
        <f t="shared" ref="Q135:Q198" ca="1" si="140">AVERAGE(F135:P135)</f>
        <v>103.30479750668302</v>
      </c>
      <c r="R135">
        <f t="shared" ref="R135:R198" ca="1" si="141">MAX(Q135-$C$7,0)</f>
        <v>3.3047975066830162</v>
      </c>
      <c r="S135">
        <f t="shared" ref="S135:S198" ca="1" si="142">EXP(-$C$4*$C$6)*R135</f>
        <v>3.239358131598165</v>
      </c>
    </row>
    <row r="136" spans="5:19" x14ac:dyDescent="0.75">
      <c r="E136">
        <v>131</v>
      </c>
      <c r="F136">
        <v>100</v>
      </c>
      <c r="G136">
        <f t="shared" ca="1" si="138"/>
        <v>88.911547548884812</v>
      </c>
      <c r="H136">
        <f t="shared" ca="1" si="138"/>
        <v>87.773654227657502</v>
      </c>
      <c r="I136">
        <f t="shared" ca="1" si="138"/>
        <v>88.249290229093276</v>
      </c>
      <c r="J136">
        <f t="shared" ca="1" si="138"/>
        <v>91.443002316415672</v>
      </c>
      <c r="K136">
        <f t="shared" ref="K136:P136" ca="1" si="143">J136*EXP(($C$4-0.5*$C$5^2)*$C$10+$C$5*SQRT($C$10)*NORMINV(RAND(),0,1))</f>
        <v>82.967031512717057</v>
      </c>
      <c r="L136">
        <f t="shared" ca="1" si="143"/>
        <v>82.120970417618267</v>
      </c>
      <c r="M136">
        <f t="shared" ca="1" si="143"/>
        <v>70.738554616816842</v>
      </c>
      <c r="N136">
        <f t="shared" ca="1" si="143"/>
        <v>82.654931421434071</v>
      </c>
      <c r="O136">
        <f t="shared" ca="1" si="143"/>
        <v>82.803889768421186</v>
      </c>
      <c r="P136">
        <f t="shared" ca="1" si="143"/>
        <v>86.488113911317001</v>
      </c>
      <c r="Q136">
        <f t="shared" ca="1" si="140"/>
        <v>85.831907815488705</v>
      </c>
      <c r="R136">
        <f t="shared" ca="1" si="141"/>
        <v>0</v>
      </c>
      <c r="S136">
        <f t="shared" ca="1" si="142"/>
        <v>0</v>
      </c>
    </row>
    <row r="137" spans="5:19" x14ac:dyDescent="0.75">
      <c r="E137">
        <v>132</v>
      </c>
      <c r="F137">
        <v>100</v>
      </c>
      <c r="G137">
        <f t="shared" ca="1" si="138"/>
        <v>107.05162649130277</v>
      </c>
      <c r="H137">
        <f t="shared" ca="1" si="138"/>
        <v>106.42507693926304</v>
      </c>
      <c r="I137">
        <f t="shared" ca="1" si="138"/>
        <v>106.12345211165237</v>
      </c>
      <c r="J137">
        <f t="shared" ca="1" si="138"/>
        <v>112.66631644542581</v>
      </c>
      <c r="K137">
        <f t="shared" ref="K137:P137" ca="1" si="144">J137*EXP(($C$4-0.5*$C$5^2)*$C$10+$C$5*SQRT($C$10)*NORMINV(RAND(),0,1))</f>
        <v>113.75424888792075</v>
      </c>
      <c r="L137">
        <f t="shared" ca="1" si="144"/>
        <v>121.40412218349385</v>
      </c>
      <c r="M137">
        <f t="shared" ca="1" si="144"/>
        <v>109.76776022675398</v>
      </c>
      <c r="N137">
        <f t="shared" ca="1" si="144"/>
        <v>110.16680207226699</v>
      </c>
      <c r="O137">
        <f t="shared" ca="1" si="144"/>
        <v>131.59713516884531</v>
      </c>
      <c r="P137">
        <f t="shared" ca="1" si="144"/>
        <v>119.50816573412588</v>
      </c>
      <c r="Q137">
        <f t="shared" ca="1" si="140"/>
        <v>112.58770056918644</v>
      </c>
      <c r="R137">
        <f t="shared" ca="1" si="141"/>
        <v>12.587700569186438</v>
      </c>
      <c r="S137">
        <f t="shared" ca="1" si="142"/>
        <v>12.338447397899234</v>
      </c>
    </row>
    <row r="138" spans="5:19" x14ac:dyDescent="0.75">
      <c r="E138">
        <v>133</v>
      </c>
      <c r="F138">
        <v>100</v>
      </c>
      <c r="G138">
        <f t="shared" ca="1" si="138"/>
        <v>92.679128218965644</v>
      </c>
      <c r="H138">
        <f t="shared" ca="1" si="138"/>
        <v>83.667142619177099</v>
      </c>
      <c r="I138">
        <f t="shared" ca="1" si="138"/>
        <v>82.753786825618207</v>
      </c>
      <c r="J138">
        <f t="shared" ca="1" si="138"/>
        <v>68.633416442726045</v>
      </c>
      <c r="K138">
        <f t="shared" ref="K138:P138" ca="1" si="145">J138*EXP(($C$4-0.5*$C$5^2)*$C$10+$C$5*SQRT($C$10)*NORMINV(RAND(),0,1))</f>
        <v>74.718134077009168</v>
      </c>
      <c r="L138">
        <f t="shared" ca="1" si="145"/>
        <v>67.158094181391391</v>
      </c>
      <c r="M138">
        <f t="shared" ca="1" si="145"/>
        <v>68.317395056261134</v>
      </c>
      <c r="N138">
        <f t="shared" ca="1" si="145"/>
        <v>73.991073968678592</v>
      </c>
      <c r="O138">
        <f t="shared" ca="1" si="145"/>
        <v>76.485827059440425</v>
      </c>
      <c r="P138">
        <f t="shared" ca="1" si="145"/>
        <v>83.354644974795903</v>
      </c>
      <c r="Q138">
        <f t="shared" ca="1" si="140"/>
        <v>79.250785765823963</v>
      </c>
      <c r="R138">
        <f t="shared" ca="1" si="141"/>
        <v>0</v>
      </c>
      <c r="S138">
        <f t="shared" ca="1" si="142"/>
        <v>0</v>
      </c>
    </row>
    <row r="139" spans="5:19" x14ac:dyDescent="0.75">
      <c r="E139">
        <v>134</v>
      </c>
      <c r="F139">
        <v>100</v>
      </c>
      <c r="G139">
        <f t="shared" ca="1" si="138"/>
        <v>108.51591183035956</v>
      </c>
      <c r="H139">
        <f t="shared" ca="1" si="138"/>
        <v>102.57010557131275</v>
      </c>
      <c r="I139">
        <f t="shared" ca="1" si="138"/>
        <v>105.11072165633435</v>
      </c>
      <c r="J139">
        <f t="shared" ca="1" si="138"/>
        <v>111.42913010497517</v>
      </c>
      <c r="K139">
        <f t="shared" ref="K139:P139" ca="1" si="146">J139*EXP(($C$4-0.5*$C$5^2)*$C$10+$C$5*SQRT($C$10)*NORMINV(RAND(),0,1))</f>
        <v>112.66785279710514</v>
      </c>
      <c r="L139">
        <f t="shared" ca="1" si="146"/>
        <v>117.57342392923309</v>
      </c>
      <c r="M139">
        <f t="shared" ca="1" si="146"/>
        <v>113.266721256625</v>
      </c>
      <c r="N139">
        <f t="shared" ca="1" si="146"/>
        <v>106.18644993902926</v>
      </c>
      <c r="O139">
        <f t="shared" ca="1" si="146"/>
        <v>106.08947752553092</v>
      </c>
      <c r="P139">
        <f t="shared" ca="1" si="146"/>
        <v>103.98474793327722</v>
      </c>
      <c r="Q139">
        <f t="shared" ca="1" si="140"/>
        <v>107.94495841307115</v>
      </c>
      <c r="R139">
        <f t="shared" ca="1" si="141"/>
        <v>7.9449584130711486</v>
      </c>
      <c r="S139">
        <f t="shared" ca="1" si="142"/>
        <v>7.7876376959696838</v>
      </c>
    </row>
    <row r="140" spans="5:19" x14ac:dyDescent="0.75">
      <c r="E140">
        <v>135</v>
      </c>
      <c r="F140">
        <v>100</v>
      </c>
      <c r="G140">
        <f t="shared" ca="1" si="138"/>
        <v>98.130674405074146</v>
      </c>
      <c r="H140">
        <f t="shared" ca="1" si="138"/>
        <v>104.89549221320725</v>
      </c>
      <c r="I140">
        <f t="shared" ca="1" si="138"/>
        <v>104.31055557550613</v>
      </c>
      <c r="J140">
        <f t="shared" ca="1" si="138"/>
        <v>109.60747267189747</v>
      </c>
      <c r="K140">
        <f t="shared" ref="K140:P140" ca="1" si="147">J140*EXP(($C$4-0.5*$C$5^2)*$C$10+$C$5*SQRT($C$10)*NORMINV(RAND(),0,1))</f>
        <v>113.28122940105692</v>
      </c>
      <c r="L140">
        <f t="shared" ca="1" si="147"/>
        <v>109.55008887731833</v>
      </c>
      <c r="M140">
        <f t="shared" ca="1" si="147"/>
        <v>101.00771192390251</v>
      </c>
      <c r="N140">
        <f t="shared" ca="1" si="147"/>
        <v>109.27952013404678</v>
      </c>
      <c r="O140">
        <f t="shared" ca="1" si="147"/>
        <v>111.20247755406533</v>
      </c>
      <c r="P140">
        <f t="shared" ca="1" si="147"/>
        <v>105.17997084667884</v>
      </c>
      <c r="Q140">
        <f t="shared" ca="1" si="140"/>
        <v>106.04047214570487</v>
      </c>
      <c r="R140">
        <f t="shared" ca="1" si="141"/>
        <v>6.040472145704868</v>
      </c>
      <c r="S140">
        <f t="shared" ca="1" si="142"/>
        <v>5.9208627833663208</v>
      </c>
    </row>
    <row r="141" spans="5:19" x14ac:dyDescent="0.75">
      <c r="E141">
        <v>136</v>
      </c>
      <c r="F141">
        <v>100</v>
      </c>
      <c r="G141">
        <f t="shared" ca="1" si="138"/>
        <v>99.46282253948695</v>
      </c>
      <c r="H141">
        <f t="shared" ca="1" si="138"/>
        <v>88.386247885036695</v>
      </c>
      <c r="I141">
        <f t="shared" ca="1" si="138"/>
        <v>80.236310495944366</v>
      </c>
      <c r="J141">
        <f t="shared" ca="1" si="138"/>
        <v>93.267025197399974</v>
      </c>
      <c r="K141">
        <f t="shared" ref="K141:P141" ca="1" si="148">J141*EXP(($C$4-0.5*$C$5^2)*$C$10+$C$5*SQRT($C$10)*NORMINV(RAND(),0,1))</f>
        <v>95.938208264615881</v>
      </c>
      <c r="L141">
        <f t="shared" ca="1" si="148"/>
        <v>104.89158748126327</v>
      </c>
      <c r="M141">
        <f t="shared" ca="1" si="148"/>
        <v>100.00893139885848</v>
      </c>
      <c r="N141">
        <f t="shared" ca="1" si="148"/>
        <v>98.601993816207838</v>
      </c>
      <c r="O141">
        <f t="shared" ca="1" si="148"/>
        <v>109.40388310149754</v>
      </c>
      <c r="P141">
        <f t="shared" ca="1" si="148"/>
        <v>110.87960985692463</v>
      </c>
      <c r="Q141">
        <f t="shared" ca="1" si="140"/>
        <v>98.279692730657786</v>
      </c>
      <c r="R141">
        <f t="shared" ca="1" si="141"/>
        <v>0</v>
      </c>
      <c r="S141">
        <f t="shared" ca="1" si="142"/>
        <v>0</v>
      </c>
    </row>
    <row r="142" spans="5:19" x14ac:dyDescent="0.75">
      <c r="E142">
        <v>137</v>
      </c>
      <c r="F142">
        <v>100</v>
      </c>
      <c r="G142">
        <f t="shared" ca="1" si="138"/>
        <v>95.493241396942224</v>
      </c>
      <c r="H142">
        <f t="shared" ca="1" si="138"/>
        <v>100.79461032360138</v>
      </c>
      <c r="I142">
        <f t="shared" ca="1" si="138"/>
        <v>98.440611502082405</v>
      </c>
      <c r="J142">
        <f t="shared" ca="1" si="138"/>
        <v>96.150542261304665</v>
      </c>
      <c r="K142">
        <f t="shared" ref="K142:P142" ca="1" si="149">J142*EXP(($C$4-0.5*$C$5^2)*$C$10+$C$5*SQRT($C$10)*NORMINV(RAND(),0,1))</f>
        <v>79.888882692887705</v>
      </c>
      <c r="L142">
        <f t="shared" ca="1" si="149"/>
        <v>69.039363462937757</v>
      </c>
      <c r="M142">
        <f t="shared" ca="1" si="149"/>
        <v>64.678023001790876</v>
      </c>
      <c r="N142">
        <f t="shared" ca="1" si="149"/>
        <v>68.414951619662318</v>
      </c>
      <c r="O142">
        <f t="shared" ca="1" si="149"/>
        <v>61.492623947237078</v>
      </c>
      <c r="P142">
        <f t="shared" ca="1" si="149"/>
        <v>54.368629967320132</v>
      </c>
      <c r="Q142">
        <f t="shared" ca="1" si="140"/>
        <v>80.796498197796964</v>
      </c>
      <c r="R142">
        <f t="shared" ca="1" si="141"/>
        <v>0</v>
      </c>
      <c r="S142">
        <f t="shared" ca="1" si="142"/>
        <v>0</v>
      </c>
    </row>
    <row r="143" spans="5:19" x14ac:dyDescent="0.75">
      <c r="E143">
        <v>138</v>
      </c>
      <c r="F143">
        <v>100</v>
      </c>
      <c r="G143">
        <f t="shared" ca="1" si="138"/>
        <v>102.8226133038209</v>
      </c>
      <c r="H143">
        <f t="shared" ca="1" si="138"/>
        <v>90.889236888546961</v>
      </c>
      <c r="I143">
        <f t="shared" ca="1" si="138"/>
        <v>82.527928330622089</v>
      </c>
      <c r="J143">
        <f t="shared" ca="1" si="138"/>
        <v>87.784750679375833</v>
      </c>
      <c r="K143">
        <f t="shared" ref="K143:P143" ca="1" si="150">J143*EXP(($C$4-0.5*$C$5^2)*$C$10+$C$5*SQRT($C$10)*NORMINV(RAND(),0,1))</f>
        <v>84.673670085227968</v>
      </c>
      <c r="L143">
        <f t="shared" ca="1" si="150"/>
        <v>86.640795516794341</v>
      </c>
      <c r="M143">
        <f t="shared" ca="1" si="150"/>
        <v>84.303789180093645</v>
      </c>
      <c r="N143">
        <f t="shared" ca="1" si="150"/>
        <v>92.258105106960201</v>
      </c>
      <c r="O143">
        <f t="shared" ca="1" si="150"/>
        <v>91.13021449765597</v>
      </c>
      <c r="P143">
        <f t="shared" ca="1" si="150"/>
        <v>90.195494688980617</v>
      </c>
      <c r="Q143">
        <f t="shared" ca="1" si="140"/>
        <v>90.293327116188962</v>
      </c>
      <c r="R143">
        <f t="shared" ca="1" si="141"/>
        <v>0</v>
      </c>
      <c r="S143">
        <f t="shared" ca="1" si="142"/>
        <v>0</v>
      </c>
    </row>
    <row r="144" spans="5:19" x14ac:dyDescent="0.75">
      <c r="E144">
        <v>139</v>
      </c>
      <c r="F144">
        <v>100</v>
      </c>
      <c r="G144">
        <f t="shared" ca="1" si="138"/>
        <v>94.563561703771001</v>
      </c>
      <c r="H144">
        <f t="shared" ca="1" si="138"/>
        <v>96.670410674830194</v>
      </c>
      <c r="I144">
        <f t="shared" ca="1" si="138"/>
        <v>105.51582289302775</v>
      </c>
      <c r="J144">
        <f t="shared" ca="1" si="138"/>
        <v>112.17255225789215</v>
      </c>
      <c r="K144">
        <f t="shared" ref="K144:P144" ca="1" si="151">J144*EXP(($C$4-0.5*$C$5^2)*$C$10+$C$5*SQRT($C$10)*NORMINV(RAND(),0,1))</f>
        <v>108.72742324954054</v>
      </c>
      <c r="L144">
        <f t="shared" ca="1" si="151"/>
        <v>113.02385637839656</v>
      </c>
      <c r="M144">
        <f t="shared" ca="1" si="151"/>
        <v>129.29016352093754</v>
      </c>
      <c r="N144">
        <f t="shared" ca="1" si="151"/>
        <v>129.19622393723614</v>
      </c>
      <c r="O144">
        <f t="shared" ca="1" si="151"/>
        <v>118.26136791174955</v>
      </c>
      <c r="P144">
        <f t="shared" ca="1" si="151"/>
        <v>122.77921793265598</v>
      </c>
      <c r="Q144">
        <f t="shared" ca="1" si="140"/>
        <v>111.83641822363975</v>
      </c>
      <c r="R144">
        <f t="shared" ca="1" si="141"/>
        <v>11.836418223639754</v>
      </c>
      <c r="S144">
        <f t="shared" ca="1" si="142"/>
        <v>11.602041439515588</v>
      </c>
    </row>
    <row r="145" spans="5:19" x14ac:dyDescent="0.75">
      <c r="E145">
        <v>140</v>
      </c>
      <c r="F145">
        <v>100</v>
      </c>
      <c r="G145">
        <f t="shared" ca="1" si="138"/>
        <v>98.698882742203125</v>
      </c>
      <c r="H145">
        <f t="shared" ca="1" si="138"/>
        <v>113.75743012327078</v>
      </c>
      <c r="I145">
        <f t="shared" ca="1" si="138"/>
        <v>117.82947624958767</v>
      </c>
      <c r="J145">
        <f t="shared" ca="1" si="138"/>
        <v>117.57623285213765</v>
      </c>
      <c r="K145">
        <f t="shared" ref="K145:P145" ca="1" si="152">J145*EXP(($C$4-0.5*$C$5^2)*$C$10+$C$5*SQRT($C$10)*NORMINV(RAND(),0,1))</f>
        <v>121.8262622062562</v>
      </c>
      <c r="L145">
        <f t="shared" ca="1" si="152"/>
        <v>119.58079599516138</v>
      </c>
      <c r="M145">
        <f t="shared" ca="1" si="152"/>
        <v>140.39213016790293</v>
      </c>
      <c r="N145">
        <f t="shared" ca="1" si="152"/>
        <v>141.31352400376232</v>
      </c>
      <c r="O145">
        <f t="shared" ca="1" si="152"/>
        <v>155.44682149696504</v>
      </c>
      <c r="P145">
        <f t="shared" ca="1" si="152"/>
        <v>162.57417427613962</v>
      </c>
      <c r="Q145">
        <f t="shared" ca="1" si="140"/>
        <v>126.27233910121699</v>
      </c>
      <c r="R145">
        <f t="shared" ca="1" si="141"/>
        <v>26.272339101216986</v>
      </c>
      <c r="S145">
        <f t="shared" ca="1" si="142"/>
        <v>25.75211193167808</v>
      </c>
    </row>
    <row r="146" spans="5:19" x14ac:dyDescent="0.75">
      <c r="E146">
        <v>141</v>
      </c>
      <c r="F146">
        <v>100</v>
      </c>
      <c r="G146">
        <f t="shared" ca="1" si="138"/>
        <v>105.60759645029987</v>
      </c>
      <c r="H146">
        <f t="shared" ca="1" si="138"/>
        <v>107.97114862318601</v>
      </c>
      <c r="I146">
        <f t="shared" ca="1" si="138"/>
        <v>103.37734311719841</v>
      </c>
      <c r="J146">
        <f t="shared" ca="1" si="138"/>
        <v>111.64577207560511</v>
      </c>
      <c r="K146">
        <f t="shared" ref="K146:P146" ca="1" si="153">J146*EXP(($C$4-0.5*$C$5^2)*$C$10+$C$5*SQRT($C$10)*NORMINV(RAND(),0,1))</f>
        <v>106.45373344918094</v>
      </c>
      <c r="L146">
        <f t="shared" ca="1" si="153"/>
        <v>103.7080962682512</v>
      </c>
      <c r="M146">
        <f t="shared" ca="1" si="153"/>
        <v>116.79093293767023</v>
      </c>
      <c r="N146">
        <f t="shared" ca="1" si="153"/>
        <v>119.32971421983845</v>
      </c>
      <c r="O146">
        <f t="shared" ca="1" si="153"/>
        <v>132.12779224614937</v>
      </c>
      <c r="P146">
        <f t="shared" ca="1" si="153"/>
        <v>151.99688026032123</v>
      </c>
      <c r="Q146">
        <f t="shared" ca="1" si="140"/>
        <v>114.45536451342736</v>
      </c>
      <c r="R146">
        <f t="shared" ca="1" si="141"/>
        <v>14.455364513427355</v>
      </c>
      <c r="S146">
        <f t="shared" ca="1" si="142"/>
        <v>14.169129118227044</v>
      </c>
    </row>
    <row r="147" spans="5:19" x14ac:dyDescent="0.75">
      <c r="E147">
        <v>142</v>
      </c>
      <c r="F147">
        <v>100</v>
      </c>
      <c r="G147">
        <f t="shared" ca="1" si="138"/>
        <v>103.36766547274246</v>
      </c>
      <c r="H147">
        <f t="shared" ca="1" si="138"/>
        <v>116.9980103678282</v>
      </c>
      <c r="I147">
        <f t="shared" ca="1" si="138"/>
        <v>118.34945453517734</v>
      </c>
      <c r="J147">
        <f t="shared" ca="1" si="138"/>
        <v>120.61629067682588</v>
      </c>
      <c r="K147">
        <f t="shared" ref="K147:P147" ca="1" si="154">J147*EXP(($C$4-0.5*$C$5^2)*$C$10+$C$5*SQRT($C$10)*NORMINV(RAND(),0,1))</f>
        <v>129.86782690556728</v>
      </c>
      <c r="L147">
        <f t="shared" ca="1" si="154"/>
        <v>132.00958838531318</v>
      </c>
      <c r="M147">
        <f t="shared" ca="1" si="154"/>
        <v>128.11858606338785</v>
      </c>
      <c r="N147">
        <f t="shared" ca="1" si="154"/>
        <v>130.65059591685724</v>
      </c>
      <c r="O147">
        <f t="shared" ca="1" si="154"/>
        <v>128.43140625599065</v>
      </c>
      <c r="P147">
        <f t="shared" ca="1" si="154"/>
        <v>117.73422077162117</v>
      </c>
      <c r="Q147">
        <f t="shared" ca="1" si="140"/>
        <v>120.55851321375557</v>
      </c>
      <c r="R147">
        <f t="shared" ca="1" si="141"/>
        <v>20.558513213755575</v>
      </c>
      <c r="S147">
        <f t="shared" ca="1" si="142"/>
        <v>20.151427377282612</v>
      </c>
    </row>
    <row r="148" spans="5:19" x14ac:dyDescent="0.75">
      <c r="E148">
        <v>143</v>
      </c>
      <c r="F148">
        <v>100</v>
      </c>
      <c r="G148">
        <f t="shared" ca="1" si="138"/>
        <v>99.249641031941209</v>
      </c>
      <c r="H148">
        <f t="shared" ca="1" si="138"/>
        <v>96.057063748476267</v>
      </c>
      <c r="I148">
        <f t="shared" ca="1" si="138"/>
        <v>99.832488420359795</v>
      </c>
      <c r="J148">
        <f t="shared" ca="1" si="138"/>
        <v>102.96823686931134</v>
      </c>
      <c r="K148">
        <f t="shared" ref="K148:P148" ca="1" si="155">J148*EXP(($C$4-0.5*$C$5^2)*$C$10+$C$5*SQRT($C$10)*NORMINV(RAND(),0,1))</f>
        <v>100.48615311743886</v>
      </c>
      <c r="L148">
        <f t="shared" ca="1" si="155"/>
        <v>92.851880806802981</v>
      </c>
      <c r="M148">
        <f t="shared" ca="1" si="155"/>
        <v>95.264689710477256</v>
      </c>
      <c r="N148">
        <f t="shared" ca="1" si="155"/>
        <v>99.928939691207503</v>
      </c>
      <c r="O148">
        <f t="shared" ca="1" si="155"/>
        <v>96.009008621926384</v>
      </c>
      <c r="P148">
        <f t="shared" ca="1" si="155"/>
        <v>100.13160003411717</v>
      </c>
      <c r="Q148">
        <f t="shared" ca="1" si="140"/>
        <v>98.434518368368984</v>
      </c>
      <c r="R148">
        <f t="shared" ca="1" si="141"/>
        <v>0</v>
      </c>
      <c r="S148">
        <f t="shared" ca="1" si="142"/>
        <v>0</v>
      </c>
    </row>
    <row r="149" spans="5:19" x14ac:dyDescent="0.75">
      <c r="E149">
        <v>144</v>
      </c>
      <c r="F149">
        <v>100</v>
      </c>
      <c r="G149">
        <f t="shared" ca="1" si="138"/>
        <v>103.3637516564735</v>
      </c>
      <c r="H149">
        <f t="shared" ca="1" si="138"/>
        <v>113.66813899517069</v>
      </c>
      <c r="I149">
        <f t="shared" ca="1" si="138"/>
        <v>109.89955316546833</v>
      </c>
      <c r="J149">
        <f t="shared" ca="1" si="138"/>
        <v>110.86784414148666</v>
      </c>
      <c r="K149">
        <f t="shared" ref="K149:P149" ca="1" si="156">J149*EXP(($C$4-0.5*$C$5^2)*$C$10+$C$5*SQRT($C$10)*NORMINV(RAND(),0,1))</f>
        <v>105.91678263295819</v>
      </c>
      <c r="L149">
        <f t="shared" ca="1" si="156"/>
        <v>96.263615879536459</v>
      </c>
      <c r="M149">
        <f t="shared" ca="1" si="156"/>
        <v>94.120402166766468</v>
      </c>
      <c r="N149">
        <f t="shared" ca="1" si="156"/>
        <v>95.21870807695953</v>
      </c>
      <c r="O149">
        <f t="shared" ca="1" si="156"/>
        <v>98.634503544879863</v>
      </c>
      <c r="P149">
        <f t="shared" ca="1" si="156"/>
        <v>95.502211392051819</v>
      </c>
      <c r="Q149">
        <f t="shared" ca="1" si="140"/>
        <v>102.1323192410683</v>
      </c>
      <c r="R149">
        <f t="shared" ca="1" si="141"/>
        <v>2.1323192410683021</v>
      </c>
      <c r="S149">
        <f t="shared" ca="1" si="142"/>
        <v>2.0900964911616171</v>
      </c>
    </row>
    <row r="150" spans="5:19" x14ac:dyDescent="0.75">
      <c r="E150">
        <v>145</v>
      </c>
      <c r="F150">
        <v>100</v>
      </c>
      <c r="G150">
        <f t="shared" ca="1" si="138"/>
        <v>89.580071425023462</v>
      </c>
      <c r="H150">
        <f t="shared" ca="1" si="138"/>
        <v>95.308568112665341</v>
      </c>
      <c r="I150">
        <f t="shared" ca="1" si="138"/>
        <v>102.2255876366203</v>
      </c>
      <c r="J150">
        <f t="shared" ca="1" si="138"/>
        <v>107.86274342900325</v>
      </c>
      <c r="K150">
        <f t="shared" ref="K150:P150" ca="1" si="157">J150*EXP(($C$4-0.5*$C$5^2)*$C$10+$C$5*SQRT($C$10)*NORMINV(RAND(),0,1))</f>
        <v>92.43573518320305</v>
      </c>
      <c r="L150">
        <f t="shared" ca="1" si="157"/>
        <v>86.029399560283466</v>
      </c>
      <c r="M150">
        <f t="shared" ca="1" si="157"/>
        <v>85.522094341636787</v>
      </c>
      <c r="N150">
        <f t="shared" ca="1" si="157"/>
        <v>88.246243973480375</v>
      </c>
      <c r="O150">
        <f t="shared" ca="1" si="157"/>
        <v>94.448463867865456</v>
      </c>
      <c r="P150">
        <f t="shared" ca="1" si="157"/>
        <v>97.909315535518502</v>
      </c>
      <c r="Q150">
        <f t="shared" ca="1" si="140"/>
        <v>94.50620209684547</v>
      </c>
      <c r="R150">
        <f t="shared" ca="1" si="141"/>
        <v>0</v>
      </c>
      <c r="S150">
        <f t="shared" ca="1" si="142"/>
        <v>0</v>
      </c>
    </row>
    <row r="151" spans="5:19" x14ac:dyDescent="0.75">
      <c r="E151">
        <v>146</v>
      </c>
      <c r="F151">
        <v>100</v>
      </c>
      <c r="G151">
        <f t="shared" ca="1" si="138"/>
        <v>101.98058791641762</v>
      </c>
      <c r="H151">
        <f t="shared" ca="1" si="138"/>
        <v>100.21035738916098</v>
      </c>
      <c r="I151">
        <f t="shared" ca="1" si="138"/>
        <v>103.32795514655017</v>
      </c>
      <c r="J151">
        <f t="shared" ca="1" si="138"/>
        <v>104.00146960873407</v>
      </c>
      <c r="K151">
        <f t="shared" ref="K151:P151" ca="1" si="158">J151*EXP(($C$4-0.5*$C$5^2)*$C$10+$C$5*SQRT($C$10)*NORMINV(RAND(),0,1))</f>
        <v>103.44149019148489</v>
      </c>
      <c r="L151">
        <f t="shared" ca="1" si="158"/>
        <v>110.8181316141924</v>
      </c>
      <c r="M151">
        <f t="shared" ca="1" si="158"/>
        <v>121.22896039776261</v>
      </c>
      <c r="N151">
        <f t="shared" ca="1" si="158"/>
        <v>123.85939630658383</v>
      </c>
      <c r="O151">
        <f t="shared" ca="1" si="158"/>
        <v>126.81179020662846</v>
      </c>
      <c r="P151">
        <f t="shared" ca="1" si="158"/>
        <v>138.22594486365352</v>
      </c>
      <c r="Q151">
        <f t="shared" ca="1" si="140"/>
        <v>112.17328033101531</v>
      </c>
      <c r="R151">
        <f t="shared" ca="1" si="141"/>
        <v>12.173280331015306</v>
      </c>
      <c r="S151">
        <f t="shared" ca="1" si="142"/>
        <v>11.932233230252422</v>
      </c>
    </row>
    <row r="152" spans="5:19" x14ac:dyDescent="0.75">
      <c r="E152">
        <v>147</v>
      </c>
      <c r="F152">
        <v>100</v>
      </c>
      <c r="G152">
        <f t="shared" ca="1" si="138"/>
        <v>111.01640656401095</v>
      </c>
      <c r="H152">
        <f t="shared" ca="1" si="138"/>
        <v>108.38825521057512</v>
      </c>
      <c r="I152">
        <f t="shared" ca="1" si="138"/>
        <v>102.44022805504625</v>
      </c>
      <c r="J152">
        <f t="shared" ca="1" si="138"/>
        <v>104.9462769776993</v>
      </c>
      <c r="K152">
        <f t="shared" ref="K152:P152" ca="1" si="159">J152*EXP(($C$4-0.5*$C$5^2)*$C$10+$C$5*SQRT($C$10)*NORMINV(RAND(),0,1))</f>
        <v>100.65556763762547</v>
      </c>
      <c r="L152">
        <f t="shared" ca="1" si="159"/>
        <v>98.171690070321816</v>
      </c>
      <c r="M152">
        <f t="shared" ca="1" si="159"/>
        <v>101.62242094245723</v>
      </c>
      <c r="N152">
        <f t="shared" ca="1" si="159"/>
        <v>112.85080036020418</v>
      </c>
      <c r="O152">
        <f t="shared" ca="1" si="159"/>
        <v>125.05826393730483</v>
      </c>
      <c r="P152">
        <f t="shared" ca="1" si="159"/>
        <v>123.46080205223116</v>
      </c>
      <c r="Q152">
        <f t="shared" ca="1" si="140"/>
        <v>108.05551925522512</v>
      </c>
      <c r="R152">
        <f t="shared" ca="1" si="141"/>
        <v>8.0555192552251214</v>
      </c>
      <c r="S152">
        <f t="shared" ca="1" si="142"/>
        <v>7.8960092867686855</v>
      </c>
    </row>
    <row r="153" spans="5:19" x14ac:dyDescent="0.75">
      <c r="E153">
        <v>148</v>
      </c>
      <c r="F153">
        <v>100</v>
      </c>
      <c r="G153">
        <f t="shared" ca="1" si="138"/>
        <v>90.709814993036716</v>
      </c>
      <c r="H153">
        <f t="shared" ca="1" si="138"/>
        <v>91.292387343683615</v>
      </c>
      <c r="I153">
        <f t="shared" ca="1" si="138"/>
        <v>81.46362373566447</v>
      </c>
      <c r="J153">
        <f t="shared" ca="1" si="138"/>
        <v>75.490535625108151</v>
      </c>
      <c r="K153">
        <f t="shared" ref="K153:P153" ca="1" si="160">J153*EXP(($C$4-0.5*$C$5^2)*$C$10+$C$5*SQRT($C$10)*NORMINV(RAND(),0,1))</f>
        <v>84.844687136782127</v>
      </c>
      <c r="L153">
        <f t="shared" ca="1" si="160"/>
        <v>87.346725214697699</v>
      </c>
      <c r="M153">
        <f t="shared" ca="1" si="160"/>
        <v>102.49541690017236</v>
      </c>
      <c r="N153">
        <f t="shared" ca="1" si="160"/>
        <v>111.3113728303145</v>
      </c>
      <c r="O153">
        <f t="shared" ca="1" si="160"/>
        <v>113.47800408102636</v>
      </c>
      <c r="P153">
        <f t="shared" ca="1" si="160"/>
        <v>120.57042072991989</v>
      </c>
      <c r="Q153">
        <f t="shared" ca="1" si="140"/>
        <v>96.272998962764177</v>
      </c>
      <c r="R153">
        <f t="shared" ca="1" si="141"/>
        <v>0</v>
      </c>
      <c r="S153">
        <f t="shared" ca="1" si="142"/>
        <v>0</v>
      </c>
    </row>
    <row r="154" spans="5:19" x14ac:dyDescent="0.75">
      <c r="E154">
        <v>149</v>
      </c>
      <c r="F154">
        <v>100</v>
      </c>
      <c r="G154">
        <f t="shared" ca="1" si="138"/>
        <v>109.69419296235937</v>
      </c>
      <c r="H154">
        <f t="shared" ca="1" si="138"/>
        <v>106.31217777237349</v>
      </c>
      <c r="I154">
        <f t="shared" ca="1" si="138"/>
        <v>114.19006998301295</v>
      </c>
      <c r="J154">
        <f t="shared" ca="1" si="138"/>
        <v>118.86537593732179</v>
      </c>
      <c r="K154">
        <f t="shared" ref="K154:P154" ca="1" si="161">J154*EXP(($C$4-0.5*$C$5^2)*$C$10+$C$5*SQRT($C$10)*NORMINV(RAND(),0,1))</f>
        <v>127.09068566266788</v>
      </c>
      <c r="L154">
        <f t="shared" ca="1" si="161"/>
        <v>126.67107254414252</v>
      </c>
      <c r="M154">
        <f t="shared" ca="1" si="161"/>
        <v>115.87982219783882</v>
      </c>
      <c r="N154">
        <f t="shared" ca="1" si="161"/>
        <v>107.15347654689748</v>
      </c>
      <c r="O154">
        <f t="shared" ca="1" si="161"/>
        <v>106.7457315219863</v>
      </c>
      <c r="P154">
        <f t="shared" ca="1" si="161"/>
        <v>99.860268407796553</v>
      </c>
      <c r="Q154">
        <f t="shared" ca="1" si="140"/>
        <v>112.04207941239974</v>
      </c>
      <c r="R154">
        <f t="shared" ca="1" si="141"/>
        <v>12.042079412399744</v>
      </c>
      <c r="S154">
        <f t="shared" ca="1" si="142"/>
        <v>11.80363026388882</v>
      </c>
    </row>
    <row r="155" spans="5:19" x14ac:dyDescent="0.75">
      <c r="E155">
        <v>150</v>
      </c>
      <c r="F155">
        <v>100</v>
      </c>
      <c r="G155">
        <f t="shared" ca="1" si="138"/>
        <v>105.25759567596327</v>
      </c>
      <c r="H155">
        <f t="shared" ca="1" si="138"/>
        <v>102.91972241777096</v>
      </c>
      <c r="I155">
        <f t="shared" ca="1" si="138"/>
        <v>103.01040464932498</v>
      </c>
      <c r="J155">
        <f t="shared" ca="1" si="138"/>
        <v>105.02066140370077</v>
      </c>
      <c r="K155">
        <f t="shared" ref="K155:P155" ca="1" si="162">J155*EXP(($C$4-0.5*$C$5^2)*$C$10+$C$5*SQRT($C$10)*NORMINV(RAND(),0,1))</f>
        <v>93.651637599983928</v>
      </c>
      <c r="L155">
        <f t="shared" ca="1" si="162"/>
        <v>92.044394605345403</v>
      </c>
      <c r="M155">
        <f t="shared" ca="1" si="162"/>
        <v>98.199226207871746</v>
      </c>
      <c r="N155">
        <f t="shared" ca="1" si="162"/>
        <v>99.536980839452923</v>
      </c>
      <c r="O155">
        <f t="shared" ca="1" si="162"/>
        <v>104.63229925059107</v>
      </c>
      <c r="P155">
        <f t="shared" ca="1" si="162"/>
        <v>100.1405985885939</v>
      </c>
      <c r="Q155">
        <f t="shared" ca="1" si="140"/>
        <v>100.401229203509</v>
      </c>
      <c r="R155">
        <f t="shared" ca="1" si="141"/>
        <v>0.40122920350900415</v>
      </c>
      <c r="S155">
        <f t="shared" ca="1" si="142"/>
        <v>0.39328433297145199</v>
      </c>
    </row>
    <row r="156" spans="5:19" x14ac:dyDescent="0.75">
      <c r="E156">
        <v>151</v>
      </c>
      <c r="F156">
        <v>100</v>
      </c>
      <c r="G156">
        <f t="shared" ca="1" si="138"/>
        <v>95.584111351780493</v>
      </c>
      <c r="H156">
        <f t="shared" ca="1" si="138"/>
        <v>91.622349451870519</v>
      </c>
      <c r="I156">
        <f t="shared" ca="1" si="138"/>
        <v>90.995547791540545</v>
      </c>
      <c r="J156">
        <f t="shared" ca="1" si="138"/>
        <v>93.787622505140945</v>
      </c>
      <c r="K156">
        <f t="shared" ref="K156:P156" ca="1" si="163">J156*EXP(($C$4-0.5*$C$5^2)*$C$10+$C$5*SQRT($C$10)*NORMINV(RAND(),0,1))</f>
        <v>93.856349398373752</v>
      </c>
      <c r="L156">
        <f t="shared" ca="1" si="163"/>
        <v>98.305828027737974</v>
      </c>
      <c r="M156">
        <f t="shared" ca="1" si="163"/>
        <v>86.628708227649312</v>
      </c>
      <c r="N156">
        <f t="shared" ca="1" si="163"/>
        <v>77.752988459394714</v>
      </c>
      <c r="O156">
        <f t="shared" ca="1" si="163"/>
        <v>74.758087919767306</v>
      </c>
      <c r="P156">
        <f t="shared" ca="1" si="163"/>
        <v>78.579804365824387</v>
      </c>
      <c r="Q156">
        <f t="shared" ca="1" si="140"/>
        <v>89.261036136279998</v>
      </c>
      <c r="R156">
        <f t="shared" ca="1" si="141"/>
        <v>0</v>
      </c>
      <c r="S156">
        <f t="shared" ca="1" si="142"/>
        <v>0</v>
      </c>
    </row>
    <row r="157" spans="5:19" x14ac:dyDescent="0.75">
      <c r="E157">
        <v>152</v>
      </c>
      <c r="F157">
        <v>100</v>
      </c>
      <c r="G157">
        <f t="shared" ca="1" si="138"/>
        <v>97.849336582223771</v>
      </c>
      <c r="H157">
        <f t="shared" ca="1" si="138"/>
        <v>103.17224264150849</v>
      </c>
      <c r="I157">
        <f t="shared" ca="1" si="138"/>
        <v>103.77970631240359</v>
      </c>
      <c r="J157">
        <f t="shared" ca="1" si="138"/>
        <v>101.0562193466715</v>
      </c>
      <c r="K157">
        <f t="shared" ref="K157:P157" ca="1" si="164">J157*EXP(($C$4-0.5*$C$5^2)*$C$10+$C$5*SQRT($C$10)*NORMINV(RAND(),0,1))</f>
        <v>99.946023646023363</v>
      </c>
      <c r="L157">
        <f t="shared" ca="1" si="164"/>
        <v>94.839540291027944</v>
      </c>
      <c r="M157">
        <f t="shared" ca="1" si="164"/>
        <v>94.172469168640987</v>
      </c>
      <c r="N157">
        <f t="shared" ca="1" si="164"/>
        <v>91.623853042386074</v>
      </c>
      <c r="O157">
        <f t="shared" ca="1" si="164"/>
        <v>76.788099201640335</v>
      </c>
      <c r="P157">
        <f t="shared" ca="1" si="164"/>
        <v>72.477590703987076</v>
      </c>
      <c r="Q157">
        <f t="shared" ca="1" si="140"/>
        <v>94.155007357864818</v>
      </c>
      <c r="R157">
        <f t="shared" ca="1" si="141"/>
        <v>0</v>
      </c>
      <c r="S157">
        <f t="shared" ca="1" si="142"/>
        <v>0</v>
      </c>
    </row>
    <row r="158" spans="5:19" x14ac:dyDescent="0.75">
      <c r="E158">
        <v>153</v>
      </c>
      <c r="F158">
        <v>100</v>
      </c>
      <c r="G158">
        <f t="shared" ca="1" si="138"/>
        <v>106.57957604665162</v>
      </c>
      <c r="H158">
        <f t="shared" ca="1" si="138"/>
        <v>102.22191232443703</v>
      </c>
      <c r="I158">
        <f t="shared" ca="1" si="138"/>
        <v>105.94484150770433</v>
      </c>
      <c r="J158">
        <f t="shared" ca="1" si="138"/>
        <v>98.88109061031777</v>
      </c>
      <c r="K158">
        <f t="shared" ref="K158:P158" ca="1" si="165">J158*EXP(($C$4-0.5*$C$5^2)*$C$10+$C$5*SQRT($C$10)*NORMINV(RAND(),0,1))</f>
        <v>88.72121970767968</v>
      </c>
      <c r="L158">
        <f t="shared" ca="1" si="165"/>
        <v>86.862590374432571</v>
      </c>
      <c r="M158">
        <f t="shared" ca="1" si="165"/>
        <v>97.314784314868916</v>
      </c>
      <c r="N158">
        <f t="shared" ca="1" si="165"/>
        <v>102.72158274246571</v>
      </c>
      <c r="O158">
        <f t="shared" ca="1" si="165"/>
        <v>109.05826103546256</v>
      </c>
      <c r="P158">
        <f t="shared" ca="1" si="165"/>
        <v>113.90804976935759</v>
      </c>
      <c r="Q158">
        <f t="shared" ca="1" si="140"/>
        <v>101.11035531212525</v>
      </c>
      <c r="R158">
        <f t="shared" ca="1" si="141"/>
        <v>1.1103553121252503</v>
      </c>
      <c r="S158">
        <f t="shared" ca="1" si="142"/>
        <v>1.0883688038442785</v>
      </c>
    </row>
    <row r="159" spans="5:19" x14ac:dyDescent="0.75">
      <c r="E159">
        <v>154</v>
      </c>
      <c r="F159">
        <v>100</v>
      </c>
      <c r="G159">
        <f t="shared" ca="1" si="138"/>
        <v>111.7027755927182</v>
      </c>
      <c r="H159">
        <f t="shared" ca="1" si="138"/>
        <v>114.03671592180103</v>
      </c>
      <c r="I159">
        <f t="shared" ca="1" si="138"/>
        <v>111.02790913942307</v>
      </c>
      <c r="J159">
        <f t="shared" ca="1" si="138"/>
        <v>118.1283752468933</v>
      </c>
      <c r="K159">
        <f t="shared" ref="K159:P159" ca="1" si="166">J159*EXP(($C$4-0.5*$C$5^2)*$C$10+$C$5*SQRT($C$10)*NORMINV(RAND(),0,1))</f>
        <v>125.42896322902037</v>
      </c>
      <c r="L159">
        <f t="shared" ca="1" si="166"/>
        <v>131.06888416865669</v>
      </c>
      <c r="M159">
        <f t="shared" ca="1" si="166"/>
        <v>131.49536474016946</v>
      </c>
      <c r="N159">
        <f t="shared" ca="1" si="166"/>
        <v>126.39122276632963</v>
      </c>
      <c r="O159">
        <f t="shared" ca="1" si="166"/>
        <v>127.58055591469852</v>
      </c>
      <c r="P159">
        <f t="shared" ca="1" si="166"/>
        <v>131.70337172921705</v>
      </c>
      <c r="Q159">
        <f t="shared" ca="1" si="140"/>
        <v>120.77855804081159</v>
      </c>
      <c r="R159">
        <f t="shared" ca="1" si="141"/>
        <v>20.778558040811589</v>
      </c>
      <c r="S159">
        <f t="shared" ca="1" si="142"/>
        <v>20.36711502483093</v>
      </c>
    </row>
    <row r="160" spans="5:19" x14ac:dyDescent="0.75">
      <c r="E160">
        <v>155</v>
      </c>
      <c r="F160">
        <v>100</v>
      </c>
      <c r="G160">
        <f t="shared" ca="1" si="138"/>
        <v>103.46027281174747</v>
      </c>
      <c r="H160">
        <f t="shared" ca="1" si="138"/>
        <v>99.454919958036726</v>
      </c>
      <c r="I160">
        <f t="shared" ca="1" si="138"/>
        <v>95.084488842347113</v>
      </c>
      <c r="J160">
        <f t="shared" ca="1" si="138"/>
        <v>96.290940954196458</v>
      </c>
      <c r="K160">
        <f t="shared" ref="K160:P160" ca="1" si="167">J160*EXP(($C$4-0.5*$C$5^2)*$C$10+$C$5*SQRT($C$10)*NORMINV(RAND(),0,1))</f>
        <v>91.823691740704064</v>
      </c>
      <c r="L160">
        <f t="shared" ca="1" si="167"/>
        <v>84.447183949756578</v>
      </c>
      <c r="M160">
        <f t="shared" ca="1" si="167"/>
        <v>90.95528406101694</v>
      </c>
      <c r="N160">
        <f t="shared" ca="1" si="167"/>
        <v>94.451969700199285</v>
      </c>
      <c r="O160">
        <f t="shared" ca="1" si="167"/>
        <v>95.444443537833806</v>
      </c>
      <c r="P160">
        <f t="shared" ca="1" si="167"/>
        <v>86.593575605453012</v>
      </c>
      <c r="Q160">
        <f t="shared" ca="1" si="140"/>
        <v>94.36425192375377</v>
      </c>
      <c r="R160">
        <f t="shared" ca="1" si="141"/>
        <v>0</v>
      </c>
      <c r="S160">
        <f t="shared" ca="1" si="142"/>
        <v>0</v>
      </c>
    </row>
    <row r="161" spans="5:19" x14ac:dyDescent="0.75">
      <c r="E161">
        <v>156</v>
      </c>
      <c r="F161">
        <v>100</v>
      </c>
      <c r="G161">
        <f t="shared" ca="1" si="138"/>
        <v>93.14949149148714</v>
      </c>
      <c r="H161">
        <f t="shared" ca="1" si="138"/>
        <v>93.662300416433311</v>
      </c>
      <c r="I161">
        <f t="shared" ca="1" si="138"/>
        <v>86.234900099001081</v>
      </c>
      <c r="J161">
        <f t="shared" ca="1" si="138"/>
        <v>85.78433276538577</v>
      </c>
      <c r="K161">
        <f t="shared" ref="K161:P161" ca="1" si="168">J161*EXP(($C$4-0.5*$C$5^2)*$C$10+$C$5*SQRT($C$10)*NORMINV(RAND(),0,1))</f>
        <v>94.211496839645548</v>
      </c>
      <c r="L161">
        <f t="shared" ca="1" si="168"/>
        <v>86.15193556471732</v>
      </c>
      <c r="M161">
        <f t="shared" ca="1" si="168"/>
        <v>84.129267020580087</v>
      </c>
      <c r="N161">
        <f t="shared" ca="1" si="168"/>
        <v>86.135602781504275</v>
      </c>
      <c r="O161">
        <f t="shared" ca="1" si="168"/>
        <v>77.30012197406073</v>
      </c>
      <c r="P161">
        <f t="shared" ca="1" si="168"/>
        <v>76.77841457705739</v>
      </c>
      <c r="Q161">
        <f t="shared" ca="1" si="140"/>
        <v>87.594351229988433</v>
      </c>
      <c r="R161">
        <f t="shared" ca="1" si="141"/>
        <v>0</v>
      </c>
      <c r="S161">
        <f t="shared" ca="1" si="142"/>
        <v>0</v>
      </c>
    </row>
    <row r="162" spans="5:19" x14ac:dyDescent="0.75">
      <c r="E162">
        <v>157</v>
      </c>
      <c r="F162">
        <v>100</v>
      </c>
      <c r="G162">
        <f t="shared" ca="1" si="138"/>
        <v>112.66990162449098</v>
      </c>
      <c r="H162">
        <f t="shared" ca="1" si="138"/>
        <v>110.11948176315222</v>
      </c>
      <c r="I162">
        <f t="shared" ca="1" si="138"/>
        <v>105.82087243200405</v>
      </c>
      <c r="J162">
        <f t="shared" ca="1" si="138"/>
        <v>112.71048864103265</v>
      </c>
      <c r="K162">
        <f t="shared" ref="K162:P162" ca="1" si="169">J162*EXP(($C$4-0.5*$C$5^2)*$C$10+$C$5*SQRT($C$10)*NORMINV(RAND(),0,1))</f>
        <v>116.72354352082709</v>
      </c>
      <c r="L162">
        <f t="shared" ca="1" si="169"/>
        <v>115.7515594285419</v>
      </c>
      <c r="M162">
        <f t="shared" ca="1" si="169"/>
        <v>112.24624016517555</v>
      </c>
      <c r="N162">
        <f t="shared" ca="1" si="169"/>
        <v>115.61073629430459</v>
      </c>
      <c r="O162">
        <f t="shared" ca="1" si="169"/>
        <v>111.73564027413934</v>
      </c>
      <c r="P162">
        <f t="shared" ca="1" si="169"/>
        <v>111.98796465488562</v>
      </c>
      <c r="Q162">
        <f t="shared" ca="1" si="140"/>
        <v>111.39785716350492</v>
      </c>
      <c r="R162">
        <f t="shared" ca="1" si="141"/>
        <v>11.397857163504924</v>
      </c>
      <c r="S162">
        <f t="shared" ca="1" si="142"/>
        <v>11.172164470207422</v>
      </c>
    </row>
    <row r="163" spans="5:19" x14ac:dyDescent="0.75">
      <c r="E163">
        <v>158</v>
      </c>
      <c r="F163">
        <v>100</v>
      </c>
      <c r="G163">
        <f t="shared" ca="1" si="138"/>
        <v>101.29122344249879</v>
      </c>
      <c r="H163">
        <f t="shared" ca="1" si="138"/>
        <v>105.77747208888889</v>
      </c>
      <c r="I163">
        <f t="shared" ca="1" si="138"/>
        <v>111.44730188489663</v>
      </c>
      <c r="J163">
        <f t="shared" ca="1" si="138"/>
        <v>107.86419473279062</v>
      </c>
      <c r="K163">
        <f t="shared" ref="K163:P163" ca="1" si="170">J163*EXP(($C$4-0.5*$C$5^2)*$C$10+$C$5*SQRT($C$10)*NORMINV(RAND(),0,1))</f>
        <v>105.82567946634687</v>
      </c>
      <c r="L163">
        <f t="shared" ca="1" si="170"/>
        <v>99.926178323425333</v>
      </c>
      <c r="M163">
        <f t="shared" ca="1" si="170"/>
        <v>100.85265706005465</v>
      </c>
      <c r="N163">
        <f t="shared" ca="1" si="170"/>
        <v>101.82227668955815</v>
      </c>
      <c r="O163">
        <f t="shared" ca="1" si="170"/>
        <v>92.786706993304733</v>
      </c>
      <c r="P163">
        <f t="shared" ca="1" si="170"/>
        <v>97.931466825163554</v>
      </c>
      <c r="Q163">
        <f t="shared" ca="1" si="140"/>
        <v>102.3204688642662</v>
      </c>
      <c r="R163">
        <f t="shared" ca="1" si="141"/>
        <v>2.3204688642662035</v>
      </c>
      <c r="S163">
        <f t="shared" ca="1" si="142"/>
        <v>2.2745205022033659</v>
      </c>
    </row>
    <row r="164" spans="5:19" x14ac:dyDescent="0.75">
      <c r="E164">
        <v>159</v>
      </c>
      <c r="F164">
        <v>100</v>
      </c>
      <c r="G164">
        <f t="shared" ca="1" si="138"/>
        <v>101.76654796898335</v>
      </c>
      <c r="H164">
        <f t="shared" ca="1" si="138"/>
        <v>103.58260636852428</v>
      </c>
      <c r="I164">
        <f t="shared" ca="1" si="138"/>
        <v>105.80332763594758</v>
      </c>
      <c r="J164">
        <f t="shared" ca="1" si="138"/>
        <v>100.43774051342218</v>
      </c>
      <c r="K164">
        <f t="shared" ref="K164:P164" ca="1" si="171">J164*EXP(($C$4-0.5*$C$5^2)*$C$10+$C$5*SQRT($C$10)*NORMINV(RAND(),0,1))</f>
        <v>102.11553412607748</v>
      </c>
      <c r="L164">
        <f t="shared" ca="1" si="171"/>
        <v>107.90695815647159</v>
      </c>
      <c r="M164">
        <f t="shared" ca="1" si="171"/>
        <v>95.439521234798548</v>
      </c>
      <c r="N164">
        <f t="shared" ca="1" si="171"/>
        <v>92.443745979856516</v>
      </c>
      <c r="O164">
        <f t="shared" ca="1" si="171"/>
        <v>90.660777522228742</v>
      </c>
      <c r="P164">
        <f t="shared" ca="1" si="171"/>
        <v>96.16789153126787</v>
      </c>
      <c r="Q164">
        <f t="shared" ca="1" si="140"/>
        <v>99.665877367052559</v>
      </c>
      <c r="R164">
        <f t="shared" ca="1" si="141"/>
        <v>0</v>
      </c>
      <c r="S164">
        <f t="shared" ca="1" si="142"/>
        <v>0</v>
      </c>
    </row>
    <row r="165" spans="5:19" x14ac:dyDescent="0.75">
      <c r="E165">
        <v>160</v>
      </c>
      <c r="F165">
        <v>100</v>
      </c>
      <c r="G165">
        <f t="shared" ca="1" si="138"/>
        <v>101.9313429591362</v>
      </c>
      <c r="H165">
        <f t="shared" ca="1" si="138"/>
        <v>103.307132154786</v>
      </c>
      <c r="I165">
        <f t="shared" ca="1" si="138"/>
        <v>107.5684697957294</v>
      </c>
      <c r="J165">
        <f t="shared" ca="1" si="138"/>
        <v>97.163724536589498</v>
      </c>
      <c r="K165">
        <f t="shared" ref="K165:P165" ca="1" si="172">J165*EXP(($C$4-0.5*$C$5^2)*$C$10+$C$5*SQRT($C$10)*NORMINV(RAND(),0,1))</f>
        <v>99.084539683826748</v>
      </c>
      <c r="L165">
        <f t="shared" ca="1" si="172"/>
        <v>99.616934894181114</v>
      </c>
      <c r="M165">
        <f t="shared" ca="1" si="172"/>
        <v>103.41208525962388</v>
      </c>
      <c r="N165">
        <f t="shared" ca="1" si="172"/>
        <v>96.359588051395249</v>
      </c>
      <c r="O165">
        <f t="shared" ca="1" si="172"/>
        <v>91.6429850352242</v>
      </c>
      <c r="P165">
        <f t="shared" ca="1" si="172"/>
        <v>87.184070903275042</v>
      </c>
      <c r="Q165">
        <f t="shared" ca="1" si="140"/>
        <v>98.842806661251586</v>
      </c>
      <c r="R165">
        <f t="shared" ca="1" si="141"/>
        <v>0</v>
      </c>
      <c r="S165">
        <f t="shared" ca="1" si="142"/>
        <v>0</v>
      </c>
    </row>
    <row r="166" spans="5:19" x14ac:dyDescent="0.75">
      <c r="E166">
        <v>161</v>
      </c>
      <c r="F166">
        <v>100</v>
      </c>
      <c r="G166">
        <f t="shared" ca="1" si="138"/>
        <v>94.23506177911139</v>
      </c>
      <c r="H166">
        <f t="shared" ca="1" si="138"/>
        <v>81.894495280047707</v>
      </c>
      <c r="I166">
        <f t="shared" ca="1" si="138"/>
        <v>77.663065171494893</v>
      </c>
      <c r="J166">
        <f t="shared" ca="1" si="138"/>
        <v>76.0312010462264</v>
      </c>
      <c r="K166">
        <f t="shared" ref="K166:P166" ca="1" si="173">J166*EXP(($C$4-0.5*$C$5^2)*$C$10+$C$5*SQRT($C$10)*NORMINV(RAND(),0,1))</f>
        <v>83.118834893130497</v>
      </c>
      <c r="L166">
        <f t="shared" ca="1" si="173"/>
        <v>89.359008235111858</v>
      </c>
      <c r="M166">
        <f t="shared" ca="1" si="173"/>
        <v>98.497007770292441</v>
      </c>
      <c r="N166">
        <f t="shared" ca="1" si="173"/>
        <v>94.521416042956858</v>
      </c>
      <c r="O166">
        <f t="shared" ca="1" si="173"/>
        <v>84.929169213844133</v>
      </c>
      <c r="P166">
        <f t="shared" ca="1" si="173"/>
        <v>83.2057364502339</v>
      </c>
      <c r="Q166">
        <f t="shared" ca="1" si="140"/>
        <v>87.586817807495464</v>
      </c>
      <c r="R166">
        <f t="shared" ca="1" si="141"/>
        <v>0</v>
      </c>
      <c r="S166">
        <f t="shared" ca="1" si="142"/>
        <v>0</v>
      </c>
    </row>
    <row r="167" spans="5:19" x14ac:dyDescent="0.75">
      <c r="E167">
        <v>162</v>
      </c>
      <c r="F167">
        <v>100</v>
      </c>
      <c r="G167">
        <f t="shared" ca="1" si="138"/>
        <v>100.64027555190134</v>
      </c>
      <c r="H167">
        <f t="shared" ca="1" si="138"/>
        <v>105.58775039193425</v>
      </c>
      <c r="I167">
        <f t="shared" ca="1" si="138"/>
        <v>106.15829214037039</v>
      </c>
      <c r="J167">
        <f t="shared" ca="1" si="138"/>
        <v>110.18434666949122</v>
      </c>
      <c r="K167">
        <f t="shared" ref="K167:P167" ca="1" si="174">J167*EXP(($C$4-0.5*$C$5^2)*$C$10+$C$5*SQRT($C$10)*NORMINV(RAND(),0,1))</f>
        <v>112.29631063532024</v>
      </c>
      <c r="L167">
        <f t="shared" ca="1" si="174"/>
        <v>101.12061445883452</v>
      </c>
      <c r="M167">
        <f t="shared" ca="1" si="174"/>
        <v>94.846579133941148</v>
      </c>
      <c r="N167">
        <f t="shared" ca="1" si="174"/>
        <v>94.09389537183138</v>
      </c>
      <c r="O167">
        <f t="shared" ca="1" si="174"/>
        <v>98.337583250432331</v>
      </c>
      <c r="P167">
        <f t="shared" ca="1" si="174"/>
        <v>98.119838088653367</v>
      </c>
      <c r="Q167">
        <f t="shared" ca="1" si="140"/>
        <v>101.94413506297366</v>
      </c>
      <c r="R167">
        <f t="shared" ca="1" si="141"/>
        <v>1.9441350629736576</v>
      </c>
      <c r="S167">
        <f t="shared" ca="1" si="142"/>
        <v>1.9056386094559241</v>
      </c>
    </row>
    <row r="168" spans="5:19" x14ac:dyDescent="0.75">
      <c r="E168">
        <v>163</v>
      </c>
      <c r="F168">
        <v>100</v>
      </c>
      <c r="G168">
        <f t="shared" ca="1" si="138"/>
        <v>97.143190713602365</v>
      </c>
      <c r="H168">
        <f t="shared" ca="1" si="138"/>
        <v>105.64977498759917</v>
      </c>
      <c r="I168">
        <f t="shared" ca="1" si="138"/>
        <v>106.32976940277543</v>
      </c>
      <c r="J168">
        <f t="shared" ca="1" si="138"/>
        <v>116.9439347004664</v>
      </c>
      <c r="K168">
        <f t="shared" ref="K168:P168" ca="1" si="175">J168*EXP(($C$4-0.5*$C$5^2)*$C$10+$C$5*SQRT($C$10)*NORMINV(RAND(),0,1))</f>
        <v>109.43764446897121</v>
      </c>
      <c r="L168">
        <f t="shared" ca="1" si="175"/>
        <v>112.92518887412884</v>
      </c>
      <c r="M168">
        <f t="shared" ca="1" si="175"/>
        <v>116.01324823577929</v>
      </c>
      <c r="N168">
        <f t="shared" ca="1" si="175"/>
        <v>115.43538719380417</v>
      </c>
      <c r="O168">
        <f t="shared" ca="1" si="175"/>
        <v>119.14956101388869</v>
      </c>
      <c r="P168">
        <f t="shared" ca="1" si="175"/>
        <v>129.43521901049078</v>
      </c>
      <c r="Q168">
        <f t="shared" ca="1" si="140"/>
        <v>111.67844714559148</v>
      </c>
      <c r="R168">
        <f t="shared" ca="1" si="141"/>
        <v>11.678447145591477</v>
      </c>
      <c r="S168">
        <f t="shared" ca="1" si="142"/>
        <v>11.447198398391828</v>
      </c>
    </row>
    <row r="169" spans="5:19" x14ac:dyDescent="0.75">
      <c r="E169">
        <v>164</v>
      </c>
      <c r="F169">
        <v>100</v>
      </c>
      <c r="G169">
        <f t="shared" ca="1" si="138"/>
        <v>99.757056188587967</v>
      </c>
      <c r="H169">
        <f t="shared" ca="1" si="138"/>
        <v>100.95012022860273</v>
      </c>
      <c r="I169">
        <f t="shared" ca="1" si="138"/>
        <v>102.8952996610922</v>
      </c>
      <c r="J169">
        <f t="shared" ca="1" si="138"/>
        <v>108.28016279389419</v>
      </c>
      <c r="K169">
        <f t="shared" ref="K169:P169" ca="1" si="176">J169*EXP(($C$4-0.5*$C$5^2)*$C$10+$C$5*SQRT($C$10)*NORMINV(RAND(),0,1))</f>
        <v>98.65239700689402</v>
      </c>
      <c r="L169">
        <f t="shared" ca="1" si="176"/>
        <v>105.69830410091252</v>
      </c>
      <c r="M169">
        <f t="shared" ca="1" si="176"/>
        <v>105.98379026679929</v>
      </c>
      <c r="N169">
        <f t="shared" ca="1" si="176"/>
        <v>121.98470370504383</v>
      </c>
      <c r="O169">
        <f t="shared" ca="1" si="176"/>
        <v>117.38431062161823</v>
      </c>
      <c r="P169">
        <f t="shared" ca="1" si="176"/>
        <v>114.18479427669996</v>
      </c>
      <c r="Q169">
        <f t="shared" ca="1" si="140"/>
        <v>106.88826716819499</v>
      </c>
      <c r="R169">
        <f t="shared" ca="1" si="141"/>
        <v>6.8882671681949859</v>
      </c>
      <c r="S169">
        <f t="shared" ca="1" si="142"/>
        <v>6.7518703396472048</v>
      </c>
    </row>
    <row r="170" spans="5:19" x14ac:dyDescent="0.75">
      <c r="E170">
        <v>165</v>
      </c>
      <c r="F170">
        <v>100</v>
      </c>
      <c r="G170">
        <f t="shared" ca="1" si="138"/>
        <v>101.6248318401905</v>
      </c>
      <c r="H170">
        <f t="shared" ca="1" si="138"/>
        <v>107.42642334908791</v>
      </c>
      <c r="I170">
        <f t="shared" ca="1" si="138"/>
        <v>103.67523711152847</v>
      </c>
      <c r="J170">
        <f t="shared" ca="1" si="138"/>
        <v>106.12770060180927</v>
      </c>
      <c r="K170">
        <f t="shared" ref="K170:P170" ca="1" si="177">J170*EXP(($C$4-0.5*$C$5^2)*$C$10+$C$5*SQRT($C$10)*NORMINV(RAND(),0,1))</f>
        <v>106.50785287477662</v>
      </c>
      <c r="L170">
        <f t="shared" ca="1" si="177"/>
        <v>107.74450726729305</v>
      </c>
      <c r="M170">
        <f t="shared" ca="1" si="177"/>
        <v>105.17999616982583</v>
      </c>
      <c r="N170">
        <f t="shared" ca="1" si="177"/>
        <v>109.61091852006184</v>
      </c>
      <c r="O170">
        <f t="shared" ca="1" si="177"/>
        <v>110.14820097914614</v>
      </c>
      <c r="P170">
        <f t="shared" ca="1" si="177"/>
        <v>107.11875056645843</v>
      </c>
      <c r="Q170">
        <f t="shared" ca="1" si="140"/>
        <v>105.92403811637982</v>
      </c>
      <c r="R170">
        <f t="shared" ca="1" si="141"/>
        <v>5.924038116379819</v>
      </c>
      <c r="S170">
        <f t="shared" ca="1" si="142"/>
        <v>5.8067343022941476</v>
      </c>
    </row>
    <row r="171" spans="5:19" x14ac:dyDescent="0.75">
      <c r="E171">
        <v>166</v>
      </c>
      <c r="F171">
        <v>100</v>
      </c>
      <c r="G171">
        <f t="shared" ca="1" si="138"/>
        <v>102.71950909510711</v>
      </c>
      <c r="H171">
        <f t="shared" ca="1" si="138"/>
        <v>102.47752465383678</v>
      </c>
      <c r="I171">
        <f t="shared" ca="1" si="138"/>
        <v>104.78794147552341</v>
      </c>
      <c r="J171">
        <f t="shared" ca="1" si="138"/>
        <v>97.861253314444241</v>
      </c>
      <c r="K171">
        <f t="shared" ref="K171:P171" ca="1" si="178">J171*EXP(($C$4-0.5*$C$5^2)*$C$10+$C$5*SQRT($C$10)*NORMINV(RAND(),0,1))</f>
        <v>95.4034462059101</v>
      </c>
      <c r="L171">
        <f t="shared" ca="1" si="178"/>
        <v>93.260665208468808</v>
      </c>
      <c r="M171">
        <f t="shared" ca="1" si="178"/>
        <v>89.754864551231691</v>
      </c>
      <c r="N171">
        <f t="shared" ca="1" si="178"/>
        <v>80.707626507940091</v>
      </c>
      <c r="O171">
        <f t="shared" ca="1" si="178"/>
        <v>79.093560794169179</v>
      </c>
      <c r="P171">
        <f t="shared" ca="1" si="178"/>
        <v>80.372301177843511</v>
      </c>
      <c r="Q171">
        <f t="shared" ca="1" si="140"/>
        <v>93.312608453134089</v>
      </c>
      <c r="R171">
        <f t="shared" ca="1" si="141"/>
        <v>0</v>
      </c>
      <c r="S171">
        <f t="shared" ca="1" si="142"/>
        <v>0</v>
      </c>
    </row>
    <row r="172" spans="5:19" x14ac:dyDescent="0.75">
      <c r="E172">
        <v>167</v>
      </c>
      <c r="F172">
        <v>100</v>
      </c>
      <c r="G172">
        <f t="shared" ca="1" si="138"/>
        <v>95.456619423321015</v>
      </c>
      <c r="H172">
        <f t="shared" ca="1" si="138"/>
        <v>99.690163444657188</v>
      </c>
      <c r="I172">
        <f t="shared" ca="1" si="138"/>
        <v>105.54037121729876</v>
      </c>
      <c r="J172">
        <f t="shared" ca="1" si="138"/>
        <v>108.86422534810826</v>
      </c>
      <c r="K172">
        <f t="shared" ref="K172:P172" ca="1" si="179">J172*EXP(($C$4-0.5*$C$5^2)*$C$10+$C$5*SQRT($C$10)*NORMINV(RAND(),0,1))</f>
        <v>99.985472810357791</v>
      </c>
      <c r="L172">
        <f t="shared" ca="1" si="179"/>
        <v>106.81993293006641</v>
      </c>
      <c r="M172">
        <f t="shared" ca="1" si="179"/>
        <v>110.72436875478157</v>
      </c>
      <c r="N172">
        <f t="shared" ca="1" si="179"/>
        <v>115.16470890546911</v>
      </c>
      <c r="O172">
        <f t="shared" ca="1" si="179"/>
        <v>128.00133281779961</v>
      </c>
      <c r="P172">
        <f t="shared" ca="1" si="179"/>
        <v>134.30050577324184</v>
      </c>
      <c r="Q172">
        <f t="shared" ca="1" si="140"/>
        <v>109.50433649319106</v>
      </c>
      <c r="R172">
        <f t="shared" ca="1" si="141"/>
        <v>9.5043364931910617</v>
      </c>
      <c r="S172">
        <f t="shared" ca="1" si="142"/>
        <v>9.3161380212868572</v>
      </c>
    </row>
    <row r="173" spans="5:19" x14ac:dyDescent="0.75">
      <c r="E173">
        <v>168</v>
      </c>
      <c r="F173">
        <v>100</v>
      </c>
      <c r="G173">
        <f t="shared" ca="1" si="138"/>
        <v>108.52015896011822</v>
      </c>
      <c r="H173">
        <f t="shared" ca="1" si="138"/>
        <v>126.05386503229312</v>
      </c>
      <c r="I173">
        <f t="shared" ca="1" si="138"/>
        <v>130.9925127412005</v>
      </c>
      <c r="J173">
        <f t="shared" ca="1" si="138"/>
        <v>131.7640256935652</v>
      </c>
      <c r="K173">
        <f t="shared" ref="K173:P173" ca="1" si="180">J173*EXP(($C$4-0.5*$C$5^2)*$C$10+$C$5*SQRT($C$10)*NORMINV(RAND(),0,1))</f>
        <v>143.03723116158946</v>
      </c>
      <c r="L173">
        <f t="shared" ca="1" si="180"/>
        <v>157.27927132841185</v>
      </c>
      <c r="M173">
        <f t="shared" ca="1" si="180"/>
        <v>149.06921345985535</v>
      </c>
      <c r="N173">
        <f t="shared" ca="1" si="180"/>
        <v>160.34517464536222</v>
      </c>
      <c r="O173">
        <f t="shared" ca="1" si="180"/>
        <v>171.51905314422388</v>
      </c>
      <c r="P173">
        <f t="shared" ca="1" si="180"/>
        <v>161.18896910849057</v>
      </c>
      <c r="Q173">
        <f t="shared" ca="1" si="140"/>
        <v>139.97904320682821</v>
      </c>
      <c r="R173">
        <f t="shared" ca="1" si="141"/>
        <v>39.979043206828209</v>
      </c>
      <c r="S173">
        <f t="shared" ca="1" si="142"/>
        <v>39.187405111406456</v>
      </c>
    </row>
    <row r="174" spans="5:19" x14ac:dyDescent="0.75">
      <c r="E174">
        <v>169</v>
      </c>
      <c r="F174">
        <v>100</v>
      </c>
      <c r="G174">
        <f t="shared" ca="1" si="138"/>
        <v>88.47748513719425</v>
      </c>
      <c r="H174">
        <f t="shared" ca="1" si="138"/>
        <v>97.142819790825442</v>
      </c>
      <c r="I174">
        <f t="shared" ca="1" si="138"/>
        <v>96.327177226111431</v>
      </c>
      <c r="J174">
        <f t="shared" ca="1" si="138"/>
        <v>80.821688429619513</v>
      </c>
      <c r="K174">
        <f t="shared" ref="K174:P174" ca="1" si="181">J174*EXP(($C$4-0.5*$C$5^2)*$C$10+$C$5*SQRT($C$10)*NORMINV(RAND(),0,1))</f>
        <v>90.448627702933919</v>
      </c>
      <c r="L174">
        <f t="shared" ca="1" si="181"/>
        <v>87.83297986399036</v>
      </c>
      <c r="M174">
        <f t="shared" ca="1" si="181"/>
        <v>81.427944681939636</v>
      </c>
      <c r="N174">
        <f t="shared" ca="1" si="181"/>
        <v>81.679659788099841</v>
      </c>
      <c r="O174">
        <f t="shared" ca="1" si="181"/>
        <v>75.23663652845174</v>
      </c>
      <c r="P174">
        <f t="shared" ca="1" si="181"/>
        <v>79.190314155327201</v>
      </c>
      <c r="Q174">
        <f t="shared" ca="1" si="140"/>
        <v>87.144121209499389</v>
      </c>
      <c r="R174">
        <f t="shared" ca="1" si="141"/>
        <v>0</v>
      </c>
      <c r="S174">
        <f t="shared" ca="1" si="142"/>
        <v>0</v>
      </c>
    </row>
    <row r="175" spans="5:19" x14ac:dyDescent="0.75">
      <c r="E175">
        <v>170</v>
      </c>
      <c r="F175">
        <v>100</v>
      </c>
      <c r="G175">
        <f t="shared" ca="1" si="138"/>
        <v>100.34771053179917</v>
      </c>
      <c r="H175">
        <f t="shared" ca="1" si="138"/>
        <v>101.23580308082924</v>
      </c>
      <c r="I175">
        <f t="shared" ca="1" si="138"/>
        <v>105.47424034817959</v>
      </c>
      <c r="J175">
        <f t="shared" ca="1" si="138"/>
        <v>99.88033891879293</v>
      </c>
      <c r="K175">
        <f t="shared" ref="K175:P175" ca="1" si="182">J175*EXP(($C$4-0.5*$C$5^2)*$C$10+$C$5*SQRT($C$10)*NORMINV(RAND(),0,1))</f>
        <v>98.599913712484465</v>
      </c>
      <c r="L175">
        <f t="shared" ca="1" si="182"/>
        <v>103.35510450209227</v>
      </c>
      <c r="M175">
        <f t="shared" ca="1" si="182"/>
        <v>112.99929558194974</v>
      </c>
      <c r="N175">
        <f t="shared" ca="1" si="182"/>
        <v>115.1731818338004</v>
      </c>
      <c r="O175">
        <f t="shared" ca="1" si="182"/>
        <v>111.94098199839374</v>
      </c>
      <c r="P175">
        <f t="shared" ca="1" si="182"/>
        <v>118.37213690469089</v>
      </c>
      <c r="Q175">
        <f t="shared" ca="1" si="140"/>
        <v>106.12533703754657</v>
      </c>
      <c r="R175">
        <f t="shared" ca="1" si="141"/>
        <v>6.1253370375465721</v>
      </c>
      <c r="S175">
        <f t="shared" ca="1" si="142"/>
        <v>6.0040472377598801</v>
      </c>
    </row>
    <row r="176" spans="5:19" x14ac:dyDescent="0.75">
      <c r="E176">
        <v>171</v>
      </c>
      <c r="F176">
        <v>100</v>
      </c>
      <c r="G176">
        <f t="shared" ca="1" si="138"/>
        <v>108.98583062683171</v>
      </c>
      <c r="H176">
        <f t="shared" ca="1" si="138"/>
        <v>108.87807774839501</v>
      </c>
      <c r="I176">
        <f t="shared" ca="1" si="138"/>
        <v>108.74254750283505</v>
      </c>
      <c r="J176">
        <f t="shared" ca="1" si="138"/>
        <v>112.53219571501789</v>
      </c>
      <c r="K176">
        <f t="shared" ref="K176:P176" ca="1" si="183">J176*EXP(($C$4-0.5*$C$5^2)*$C$10+$C$5*SQRT($C$10)*NORMINV(RAND(),0,1))</f>
        <v>116.04682998899487</v>
      </c>
      <c r="L176">
        <f t="shared" ca="1" si="183"/>
        <v>120.85433349848338</v>
      </c>
      <c r="M176">
        <f t="shared" ca="1" si="183"/>
        <v>122.77944724897735</v>
      </c>
      <c r="N176">
        <f t="shared" ca="1" si="183"/>
        <v>116.7305442715241</v>
      </c>
      <c r="O176">
        <f t="shared" ca="1" si="183"/>
        <v>110.30182974034254</v>
      </c>
      <c r="P176">
        <f t="shared" ca="1" si="183"/>
        <v>103.07451759444456</v>
      </c>
      <c r="Q176">
        <f t="shared" ca="1" si="140"/>
        <v>111.72055944871332</v>
      </c>
      <c r="R176">
        <f t="shared" ca="1" si="141"/>
        <v>11.720559448713317</v>
      </c>
      <c r="S176">
        <f t="shared" ca="1" si="142"/>
        <v>11.488476822041749</v>
      </c>
    </row>
    <row r="177" spans="5:19" x14ac:dyDescent="0.75">
      <c r="E177">
        <v>172</v>
      </c>
      <c r="F177">
        <v>100</v>
      </c>
      <c r="G177">
        <f t="shared" ca="1" si="138"/>
        <v>105.3590345744295</v>
      </c>
      <c r="H177">
        <f t="shared" ca="1" si="138"/>
        <v>110.73554086349159</v>
      </c>
      <c r="I177">
        <f t="shared" ca="1" si="138"/>
        <v>124.71151852601544</v>
      </c>
      <c r="J177">
        <f t="shared" ca="1" si="138"/>
        <v>128.18582198883917</v>
      </c>
      <c r="K177">
        <f t="shared" ref="K177:P177" ca="1" si="184">J177*EXP(($C$4-0.5*$C$5^2)*$C$10+$C$5*SQRT($C$10)*NORMINV(RAND(),0,1))</f>
        <v>126.17269154699572</v>
      </c>
      <c r="L177">
        <f t="shared" ca="1" si="184"/>
        <v>130.34918399328566</v>
      </c>
      <c r="M177">
        <f t="shared" ca="1" si="184"/>
        <v>131.58602615173962</v>
      </c>
      <c r="N177">
        <f t="shared" ca="1" si="184"/>
        <v>140.08896849462678</v>
      </c>
      <c r="O177">
        <f t="shared" ca="1" si="184"/>
        <v>136.69288671370728</v>
      </c>
      <c r="P177">
        <f t="shared" ca="1" si="184"/>
        <v>142.33134315055415</v>
      </c>
      <c r="Q177">
        <f t="shared" ca="1" si="140"/>
        <v>125.11027418215318</v>
      </c>
      <c r="R177">
        <f t="shared" ca="1" si="141"/>
        <v>25.110274182153177</v>
      </c>
      <c r="S177">
        <f t="shared" ca="1" si="142"/>
        <v>24.613057439715412</v>
      </c>
    </row>
    <row r="178" spans="5:19" x14ac:dyDescent="0.75">
      <c r="E178">
        <v>173</v>
      </c>
      <c r="F178">
        <v>100</v>
      </c>
      <c r="G178">
        <f t="shared" ca="1" si="138"/>
        <v>101.73027504428312</v>
      </c>
      <c r="H178">
        <f t="shared" ca="1" si="138"/>
        <v>101.96006579627908</v>
      </c>
      <c r="I178">
        <f t="shared" ca="1" si="138"/>
        <v>93.475218286554664</v>
      </c>
      <c r="J178">
        <f t="shared" ca="1" si="138"/>
        <v>93.236963655609728</v>
      </c>
      <c r="K178">
        <f t="shared" ref="K178:P178" ca="1" si="185">J178*EXP(($C$4-0.5*$C$5^2)*$C$10+$C$5*SQRT($C$10)*NORMINV(RAND(),0,1))</f>
        <v>92.168496764254186</v>
      </c>
      <c r="L178">
        <f t="shared" ca="1" si="185"/>
        <v>90.412838300042495</v>
      </c>
      <c r="M178">
        <f t="shared" ca="1" si="185"/>
        <v>97.761416866083664</v>
      </c>
      <c r="N178">
        <f t="shared" ca="1" si="185"/>
        <v>90.010682127672624</v>
      </c>
      <c r="O178">
        <f t="shared" ca="1" si="185"/>
        <v>89.359824915941601</v>
      </c>
      <c r="P178">
        <f t="shared" ca="1" si="185"/>
        <v>75.667091263458374</v>
      </c>
      <c r="Q178">
        <f t="shared" ca="1" si="140"/>
        <v>93.252988456379953</v>
      </c>
      <c r="R178">
        <f t="shared" ca="1" si="141"/>
        <v>0</v>
      </c>
      <c r="S178">
        <f t="shared" ca="1" si="142"/>
        <v>0</v>
      </c>
    </row>
    <row r="179" spans="5:19" x14ac:dyDescent="0.75">
      <c r="E179">
        <v>174</v>
      </c>
      <c r="F179">
        <v>100</v>
      </c>
      <c r="G179">
        <f t="shared" ca="1" si="138"/>
        <v>106.56098799006803</v>
      </c>
      <c r="H179">
        <f t="shared" ca="1" si="138"/>
        <v>104.94546565320472</v>
      </c>
      <c r="I179">
        <f t="shared" ca="1" si="138"/>
        <v>102.13395235563151</v>
      </c>
      <c r="J179">
        <f t="shared" ca="1" si="138"/>
        <v>106.24641256017624</v>
      </c>
      <c r="K179">
        <f t="shared" ref="K179:P179" ca="1" si="186">J179*EXP(($C$4-0.5*$C$5^2)*$C$10+$C$5*SQRT($C$10)*NORMINV(RAND(),0,1))</f>
        <v>117.50271668377266</v>
      </c>
      <c r="L179">
        <f t="shared" ca="1" si="186"/>
        <v>111.07700007628897</v>
      </c>
      <c r="M179">
        <f t="shared" ca="1" si="186"/>
        <v>116.06002338531759</v>
      </c>
      <c r="N179">
        <f t="shared" ca="1" si="186"/>
        <v>109.54338998168218</v>
      </c>
      <c r="O179">
        <f t="shared" ca="1" si="186"/>
        <v>100.39371591870601</v>
      </c>
      <c r="P179">
        <f t="shared" ca="1" si="186"/>
        <v>92.099794258205932</v>
      </c>
      <c r="Q179">
        <f t="shared" ca="1" si="140"/>
        <v>106.0512235330049</v>
      </c>
      <c r="R179">
        <f t="shared" ca="1" si="141"/>
        <v>6.0512235330049009</v>
      </c>
      <c r="S179">
        <f t="shared" ca="1" si="142"/>
        <v>5.93140127893402</v>
      </c>
    </row>
    <row r="180" spans="5:19" x14ac:dyDescent="0.75">
      <c r="E180">
        <v>175</v>
      </c>
      <c r="F180">
        <v>100</v>
      </c>
      <c r="G180">
        <f t="shared" ca="1" si="138"/>
        <v>93.947825028493639</v>
      </c>
      <c r="H180">
        <f t="shared" ca="1" si="138"/>
        <v>102.0979291557227</v>
      </c>
      <c r="I180">
        <f t="shared" ca="1" si="138"/>
        <v>101.60431899987771</v>
      </c>
      <c r="J180">
        <f t="shared" ca="1" si="138"/>
        <v>99.870826440335534</v>
      </c>
      <c r="K180">
        <f t="shared" ref="K180:P180" ca="1" si="187">J180*EXP(($C$4-0.5*$C$5^2)*$C$10+$C$5*SQRT($C$10)*NORMINV(RAND(),0,1))</f>
        <v>104.40823026551404</v>
      </c>
      <c r="L180">
        <f t="shared" ca="1" si="187"/>
        <v>102.35205296916313</v>
      </c>
      <c r="M180">
        <f t="shared" ca="1" si="187"/>
        <v>100.32277543019023</v>
      </c>
      <c r="N180">
        <f t="shared" ca="1" si="187"/>
        <v>104.70713357293732</v>
      </c>
      <c r="O180">
        <f t="shared" ca="1" si="187"/>
        <v>96.359267590606066</v>
      </c>
      <c r="P180">
        <f t="shared" ca="1" si="187"/>
        <v>93.86847151825171</v>
      </c>
      <c r="Q180">
        <f t="shared" ca="1" si="140"/>
        <v>99.958075542826549</v>
      </c>
      <c r="R180">
        <f t="shared" ca="1" si="141"/>
        <v>0</v>
      </c>
      <c r="S180">
        <f t="shared" ca="1" si="142"/>
        <v>0</v>
      </c>
    </row>
    <row r="181" spans="5:19" x14ac:dyDescent="0.75">
      <c r="E181">
        <v>176</v>
      </c>
      <c r="F181">
        <v>100</v>
      </c>
      <c r="G181">
        <f t="shared" ca="1" si="138"/>
        <v>104.77224277610856</v>
      </c>
      <c r="H181">
        <f t="shared" ca="1" si="138"/>
        <v>108.6796676021969</v>
      </c>
      <c r="I181">
        <f t="shared" ca="1" si="138"/>
        <v>107.42383185529593</v>
      </c>
      <c r="J181">
        <f t="shared" ca="1" si="138"/>
        <v>115.21888995688434</v>
      </c>
      <c r="K181">
        <f t="shared" ref="K181:P181" ca="1" si="188">J181*EXP(($C$4-0.5*$C$5^2)*$C$10+$C$5*SQRT($C$10)*NORMINV(RAND(),0,1))</f>
        <v>110.71869904980176</v>
      </c>
      <c r="L181">
        <f t="shared" ca="1" si="188"/>
        <v>102.45158547915331</v>
      </c>
      <c r="M181">
        <f t="shared" ca="1" si="188"/>
        <v>98.635836121146824</v>
      </c>
      <c r="N181">
        <f t="shared" ca="1" si="188"/>
        <v>108.73967832772871</v>
      </c>
      <c r="O181">
        <f t="shared" ca="1" si="188"/>
        <v>104.27094332428589</v>
      </c>
      <c r="P181">
        <f t="shared" ca="1" si="188"/>
        <v>108.61846165663511</v>
      </c>
      <c r="Q181">
        <f t="shared" ca="1" si="140"/>
        <v>106.32089419538521</v>
      </c>
      <c r="R181">
        <f t="shared" ca="1" si="141"/>
        <v>6.3208941953852076</v>
      </c>
      <c r="S181">
        <f t="shared" ca="1" si="142"/>
        <v>6.1957321044289504</v>
      </c>
    </row>
    <row r="182" spans="5:19" x14ac:dyDescent="0.75">
      <c r="E182">
        <v>177</v>
      </c>
      <c r="F182">
        <v>100</v>
      </c>
      <c r="G182">
        <f t="shared" ca="1" si="138"/>
        <v>106.54709491797681</v>
      </c>
      <c r="H182">
        <f t="shared" ca="1" si="138"/>
        <v>107.55680888428755</v>
      </c>
      <c r="I182">
        <f t="shared" ca="1" si="138"/>
        <v>105.95754044729664</v>
      </c>
      <c r="J182">
        <f t="shared" ca="1" si="138"/>
        <v>104.46958018474737</v>
      </c>
      <c r="K182">
        <f t="shared" ref="K182:P182" ca="1" si="189">J182*EXP(($C$4-0.5*$C$5^2)*$C$10+$C$5*SQRT($C$10)*NORMINV(RAND(),0,1))</f>
        <v>102.42562329687635</v>
      </c>
      <c r="L182">
        <f t="shared" ca="1" si="189"/>
        <v>96.679897894195378</v>
      </c>
      <c r="M182">
        <f t="shared" ca="1" si="189"/>
        <v>101.29966810725463</v>
      </c>
      <c r="N182">
        <f t="shared" ca="1" si="189"/>
        <v>100.39913146326781</v>
      </c>
      <c r="O182">
        <f t="shared" ca="1" si="189"/>
        <v>99.675981293481314</v>
      </c>
      <c r="P182">
        <f t="shared" ca="1" si="189"/>
        <v>94.92240863431455</v>
      </c>
      <c r="Q182">
        <f t="shared" ca="1" si="140"/>
        <v>101.81215773851804</v>
      </c>
      <c r="R182">
        <f t="shared" ca="1" si="141"/>
        <v>1.8121577385180387</v>
      </c>
      <c r="S182">
        <f t="shared" ca="1" si="142"/>
        <v>1.7762746111179515</v>
      </c>
    </row>
    <row r="183" spans="5:19" x14ac:dyDescent="0.75">
      <c r="E183">
        <v>178</v>
      </c>
      <c r="F183">
        <v>100</v>
      </c>
      <c r="G183">
        <f t="shared" ca="1" si="138"/>
        <v>106.64832037770108</v>
      </c>
      <c r="H183">
        <f t="shared" ca="1" si="138"/>
        <v>104.34253770594823</v>
      </c>
      <c r="I183">
        <f t="shared" ca="1" si="138"/>
        <v>101.92523855190787</v>
      </c>
      <c r="J183">
        <f t="shared" ca="1" si="138"/>
        <v>104.26297163610356</v>
      </c>
      <c r="K183">
        <f t="shared" ref="K183:P183" ca="1" si="190">J183*EXP(($C$4-0.5*$C$5^2)*$C$10+$C$5*SQRT($C$10)*NORMINV(RAND(),0,1))</f>
        <v>101.79516445081578</v>
      </c>
      <c r="L183">
        <f t="shared" ca="1" si="190"/>
        <v>98.601755143738728</v>
      </c>
      <c r="M183">
        <f t="shared" ca="1" si="190"/>
        <v>93.951385374681138</v>
      </c>
      <c r="N183">
        <f t="shared" ca="1" si="190"/>
        <v>94.357557991849703</v>
      </c>
      <c r="O183">
        <f t="shared" ca="1" si="190"/>
        <v>90.722002159724951</v>
      </c>
      <c r="P183">
        <f t="shared" ca="1" si="190"/>
        <v>85.202173168902789</v>
      </c>
      <c r="Q183">
        <f t="shared" ca="1" si="140"/>
        <v>98.346282414670355</v>
      </c>
      <c r="R183">
        <f t="shared" ca="1" si="141"/>
        <v>0</v>
      </c>
      <c r="S183">
        <f t="shared" ca="1" si="142"/>
        <v>0</v>
      </c>
    </row>
    <row r="184" spans="5:19" x14ac:dyDescent="0.75">
      <c r="E184">
        <v>179</v>
      </c>
      <c r="F184">
        <v>100</v>
      </c>
      <c r="G184">
        <f t="shared" ca="1" si="138"/>
        <v>104.51368066169296</v>
      </c>
      <c r="H184">
        <f t="shared" ca="1" si="138"/>
        <v>101.71434884598402</v>
      </c>
      <c r="I184">
        <f t="shared" ca="1" si="138"/>
        <v>101.74735799152452</v>
      </c>
      <c r="J184">
        <f t="shared" ca="1" si="138"/>
        <v>101.51727568491059</v>
      </c>
      <c r="K184">
        <f t="shared" ref="K184:P184" ca="1" si="191">J184*EXP(($C$4-0.5*$C$5^2)*$C$10+$C$5*SQRT($C$10)*NORMINV(RAND(),0,1))</f>
        <v>107.21014883022974</v>
      </c>
      <c r="L184">
        <f t="shared" ca="1" si="191"/>
        <v>103.52280926104316</v>
      </c>
      <c r="M184">
        <f t="shared" ca="1" si="191"/>
        <v>91.553601526225052</v>
      </c>
      <c r="N184">
        <f t="shared" ca="1" si="191"/>
        <v>87.832112662320938</v>
      </c>
      <c r="O184">
        <f t="shared" ca="1" si="191"/>
        <v>95.426117816636619</v>
      </c>
      <c r="P184">
        <f t="shared" ca="1" si="191"/>
        <v>91.005176993211421</v>
      </c>
      <c r="Q184">
        <f t="shared" ca="1" si="140"/>
        <v>98.731148206707203</v>
      </c>
      <c r="R184">
        <f t="shared" ca="1" si="141"/>
        <v>0</v>
      </c>
      <c r="S184">
        <f t="shared" ca="1" si="142"/>
        <v>0</v>
      </c>
    </row>
    <row r="185" spans="5:19" x14ac:dyDescent="0.75">
      <c r="E185">
        <v>180</v>
      </c>
      <c r="F185">
        <v>100</v>
      </c>
      <c r="G185">
        <f t="shared" ca="1" si="138"/>
        <v>96.417335493296548</v>
      </c>
      <c r="H185">
        <f t="shared" ca="1" si="138"/>
        <v>111.33619815486726</v>
      </c>
      <c r="I185">
        <f t="shared" ca="1" si="138"/>
        <v>106.3311524903646</v>
      </c>
      <c r="J185">
        <f t="shared" ca="1" si="138"/>
        <v>101.28917221637661</v>
      </c>
      <c r="K185">
        <f t="shared" ref="K185:P185" ca="1" si="192">J185*EXP(($C$4-0.5*$C$5^2)*$C$10+$C$5*SQRT($C$10)*NORMINV(RAND(),0,1))</f>
        <v>103.42689143197299</v>
      </c>
      <c r="L185">
        <f t="shared" ca="1" si="192"/>
        <v>104.99808332376365</v>
      </c>
      <c r="M185">
        <f t="shared" ca="1" si="192"/>
        <v>110.10492980949309</v>
      </c>
      <c r="N185">
        <f t="shared" ca="1" si="192"/>
        <v>95.918967048060878</v>
      </c>
      <c r="O185">
        <f t="shared" ca="1" si="192"/>
        <v>111.87993552303308</v>
      </c>
      <c r="P185">
        <f t="shared" ca="1" si="192"/>
        <v>122.82273575124344</v>
      </c>
      <c r="Q185">
        <f t="shared" ca="1" si="140"/>
        <v>105.86594556749748</v>
      </c>
      <c r="R185">
        <f t="shared" ca="1" si="141"/>
        <v>5.8659455674974765</v>
      </c>
      <c r="S185">
        <f t="shared" ca="1" si="142"/>
        <v>5.749792062950668</v>
      </c>
    </row>
    <row r="186" spans="5:19" x14ac:dyDescent="0.75">
      <c r="E186">
        <v>181</v>
      </c>
      <c r="F186">
        <v>100</v>
      </c>
      <c r="G186">
        <f t="shared" ca="1" si="138"/>
        <v>100.65320964439792</v>
      </c>
      <c r="H186">
        <f t="shared" ca="1" si="138"/>
        <v>104.53707923759191</v>
      </c>
      <c r="I186">
        <f t="shared" ca="1" si="138"/>
        <v>101.59008408208344</v>
      </c>
      <c r="J186">
        <f t="shared" ca="1" si="138"/>
        <v>107.85490242266283</v>
      </c>
      <c r="K186">
        <f t="shared" ref="K186:P186" ca="1" si="193">J186*EXP(($C$4-0.5*$C$5^2)*$C$10+$C$5*SQRT($C$10)*NORMINV(RAND(),0,1))</f>
        <v>107.99856131235723</v>
      </c>
      <c r="L186">
        <f t="shared" ca="1" si="193"/>
        <v>117.82544539363874</v>
      </c>
      <c r="M186">
        <f t="shared" ca="1" si="193"/>
        <v>132.20618899422357</v>
      </c>
      <c r="N186">
        <f t="shared" ca="1" si="193"/>
        <v>129.42341001528015</v>
      </c>
      <c r="O186">
        <f t="shared" ca="1" si="193"/>
        <v>145.40326652279515</v>
      </c>
      <c r="P186">
        <f t="shared" ca="1" si="193"/>
        <v>136.14980228508585</v>
      </c>
      <c r="Q186">
        <f t="shared" ca="1" si="140"/>
        <v>116.69472271910153</v>
      </c>
      <c r="R186">
        <f t="shared" ca="1" si="141"/>
        <v>16.694722719101534</v>
      </c>
      <c r="S186">
        <f t="shared" ca="1" si="142"/>
        <v>16.36414506048747</v>
      </c>
    </row>
    <row r="187" spans="5:19" x14ac:dyDescent="0.75">
      <c r="E187">
        <v>182</v>
      </c>
      <c r="F187">
        <v>100</v>
      </c>
      <c r="G187">
        <f t="shared" ca="1" si="138"/>
        <v>101.52747781646106</v>
      </c>
      <c r="H187">
        <f t="shared" ca="1" si="138"/>
        <v>92.61537273181591</v>
      </c>
      <c r="I187">
        <f t="shared" ca="1" si="138"/>
        <v>92.241256970323846</v>
      </c>
      <c r="J187">
        <f t="shared" ca="1" si="138"/>
        <v>92.580962049296929</v>
      </c>
      <c r="K187">
        <f t="shared" ref="K187:P187" ca="1" si="194">J187*EXP(($C$4-0.5*$C$5^2)*$C$10+$C$5*SQRT($C$10)*NORMINV(RAND(),0,1))</f>
        <v>90.630782728294079</v>
      </c>
      <c r="L187">
        <f t="shared" ca="1" si="194"/>
        <v>85.224717094998113</v>
      </c>
      <c r="M187">
        <f t="shared" ca="1" si="194"/>
        <v>87.641240722673416</v>
      </c>
      <c r="N187">
        <f t="shared" ca="1" si="194"/>
        <v>90.556088037449044</v>
      </c>
      <c r="O187">
        <f t="shared" ca="1" si="194"/>
        <v>85.695910062964074</v>
      </c>
      <c r="P187">
        <f t="shared" ca="1" si="194"/>
        <v>92.066051953413933</v>
      </c>
      <c r="Q187">
        <f t="shared" ca="1" si="140"/>
        <v>91.889078197062773</v>
      </c>
      <c r="R187">
        <f t="shared" ca="1" si="141"/>
        <v>0</v>
      </c>
      <c r="S187">
        <f t="shared" ca="1" si="142"/>
        <v>0</v>
      </c>
    </row>
    <row r="188" spans="5:19" x14ac:dyDescent="0.75">
      <c r="E188">
        <v>183</v>
      </c>
      <c r="F188">
        <v>100</v>
      </c>
      <c r="G188">
        <f t="shared" ca="1" si="138"/>
        <v>108.59500393795243</v>
      </c>
      <c r="H188">
        <f t="shared" ca="1" si="138"/>
        <v>104.89876166084589</v>
      </c>
      <c r="I188">
        <f t="shared" ca="1" si="138"/>
        <v>106.93519937698531</v>
      </c>
      <c r="J188">
        <f t="shared" ca="1" si="138"/>
        <v>106.74283515028931</v>
      </c>
      <c r="K188">
        <f t="shared" ref="K188:P188" ca="1" si="195">J188*EXP(($C$4-0.5*$C$5^2)*$C$10+$C$5*SQRT($C$10)*NORMINV(RAND(),0,1))</f>
        <v>114.37782465926661</v>
      </c>
      <c r="L188">
        <f t="shared" ca="1" si="195"/>
        <v>108.6672085411378</v>
      </c>
      <c r="M188">
        <f t="shared" ca="1" si="195"/>
        <v>101.86690499662839</v>
      </c>
      <c r="N188">
        <f t="shared" ca="1" si="195"/>
        <v>101.68991326346111</v>
      </c>
      <c r="O188">
        <f t="shared" ca="1" si="195"/>
        <v>106.30155378552821</v>
      </c>
      <c r="P188">
        <f t="shared" ca="1" si="195"/>
        <v>107.66284018052905</v>
      </c>
      <c r="Q188">
        <f t="shared" ca="1" si="140"/>
        <v>106.15800414114764</v>
      </c>
      <c r="R188">
        <f t="shared" ca="1" si="141"/>
        <v>6.1580041411476429</v>
      </c>
      <c r="S188">
        <f t="shared" ca="1" si="142"/>
        <v>6.0360674893704243</v>
      </c>
    </row>
    <row r="189" spans="5:19" x14ac:dyDescent="0.75">
      <c r="E189">
        <v>184</v>
      </c>
      <c r="F189">
        <v>100</v>
      </c>
      <c r="G189">
        <f t="shared" ca="1" si="138"/>
        <v>99.588758275285798</v>
      </c>
      <c r="H189">
        <f t="shared" ca="1" si="138"/>
        <v>104.03261624602412</v>
      </c>
      <c r="I189">
        <f t="shared" ca="1" si="138"/>
        <v>99.679882896303653</v>
      </c>
      <c r="J189">
        <f t="shared" ca="1" si="138"/>
        <v>94.708079142650391</v>
      </c>
      <c r="K189">
        <f t="shared" ref="K189:P189" ca="1" si="196">J189*EXP(($C$4-0.5*$C$5^2)*$C$10+$C$5*SQRT($C$10)*NORMINV(RAND(),0,1))</f>
        <v>95.7806043693204</v>
      </c>
      <c r="L189">
        <f t="shared" ca="1" si="196"/>
        <v>101.87688031384624</v>
      </c>
      <c r="M189">
        <f t="shared" ca="1" si="196"/>
        <v>108.66590602601268</v>
      </c>
      <c r="N189">
        <f t="shared" ca="1" si="196"/>
        <v>103.7712344809741</v>
      </c>
      <c r="O189">
        <f t="shared" ca="1" si="196"/>
        <v>114.74815296209152</v>
      </c>
      <c r="P189">
        <f t="shared" ca="1" si="196"/>
        <v>113.82429192004869</v>
      </c>
      <c r="Q189">
        <f t="shared" ca="1" si="140"/>
        <v>103.33421878477795</v>
      </c>
      <c r="R189">
        <f t="shared" ca="1" si="141"/>
        <v>3.3342187847779456</v>
      </c>
      <c r="S189">
        <f t="shared" ca="1" si="142"/>
        <v>3.268196829353804</v>
      </c>
    </row>
    <row r="190" spans="5:19" x14ac:dyDescent="0.75">
      <c r="E190">
        <v>185</v>
      </c>
      <c r="F190">
        <v>100</v>
      </c>
      <c r="G190">
        <f t="shared" ca="1" si="138"/>
        <v>98.477913091375655</v>
      </c>
      <c r="H190">
        <f t="shared" ca="1" si="138"/>
        <v>95.063474068677095</v>
      </c>
      <c r="I190">
        <f t="shared" ca="1" si="138"/>
        <v>98.555844841867867</v>
      </c>
      <c r="J190">
        <f t="shared" ca="1" si="138"/>
        <v>100.51946667516958</v>
      </c>
      <c r="K190">
        <f t="shared" ref="K190:P190" ca="1" si="197">J190*EXP(($C$4-0.5*$C$5^2)*$C$10+$C$5*SQRT($C$10)*NORMINV(RAND(),0,1))</f>
        <v>100.5114341299915</v>
      </c>
      <c r="L190">
        <f t="shared" ca="1" si="197"/>
        <v>88.575604014591036</v>
      </c>
      <c r="M190">
        <f t="shared" ca="1" si="197"/>
        <v>86.603290333013078</v>
      </c>
      <c r="N190">
        <f t="shared" ca="1" si="197"/>
        <v>88.709190059942387</v>
      </c>
      <c r="O190">
        <f t="shared" ca="1" si="197"/>
        <v>89.959993342744625</v>
      </c>
      <c r="P190">
        <f t="shared" ca="1" si="197"/>
        <v>93.837354980432465</v>
      </c>
      <c r="Q190">
        <f t="shared" ca="1" si="140"/>
        <v>94.619415048891383</v>
      </c>
      <c r="R190">
        <f t="shared" ca="1" si="141"/>
        <v>0</v>
      </c>
      <c r="S190">
        <f t="shared" ca="1" si="142"/>
        <v>0</v>
      </c>
    </row>
    <row r="191" spans="5:19" x14ac:dyDescent="0.75">
      <c r="E191">
        <v>186</v>
      </c>
      <c r="F191">
        <v>100</v>
      </c>
      <c r="G191">
        <f t="shared" ca="1" si="138"/>
        <v>99.493549410791303</v>
      </c>
      <c r="H191">
        <f t="shared" ca="1" si="138"/>
        <v>93.885431167668344</v>
      </c>
      <c r="I191">
        <f t="shared" ca="1" si="138"/>
        <v>85.911951050354062</v>
      </c>
      <c r="J191">
        <f t="shared" ca="1" si="138"/>
        <v>93.282183726976626</v>
      </c>
      <c r="K191">
        <f t="shared" ref="K191:P191" ca="1" si="198">J191*EXP(($C$4-0.5*$C$5^2)*$C$10+$C$5*SQRT($C$10)*NORMINV(RAND(),0,1))</f>
        <v>98.077795705667867</v>
      </c>
      <c r="L191">
        <f t="shared" ca="1" si="198"/>
        <v>97.721528806000165</v>
      </c>
      <c r="M191">
        <f t="shared" ca="1" si="198"/>
        <v>97.412234104359342</v>
      </c>
      <c r="N191">
        <f t="shared" ca="1" si="198"/>
        <v>108.04552648758897</v>
      </c>
      <c r="O191">
        <f t="shared" ca="1" si="198"/>
        <v>104.24879584129124</v>
      </c>
      <c r="P191">
        <f t="shared" ca="1" si="198"/>
        <v>111.90653340337023</v>
      </c>
      <c r="Q191">
        <f t="shared" ca="1" si="140"/>
        <v>99.089593609460735</v>
      </c>
      <c r="R191">
        <f t="shared" ca="1" si="141"/>
        <v>0</v>
      </c>
      <c r="S191">
        <f t="shared" ca="1" si="142"/>
        <v>0</v>
      </c>
    </row>
    <row r="192" spans="5:19" x14ac:dyDescent="0.75">
      <c r="E192">
        <v>187</v>
      </c>
      <c r="F192">
        <v>100</v>
      </c>
      <c r="G192">
        <f t="shared" ca="1" si="138"/>
        <v>104.52683343294855</v>
      </c>
      <c r="H192">
        <f t="shared" ca="1" si="138"/>
        <v>102.24648266514174</v>
      </c>
      <c r="I192">
        <f t="shared" ca="1" si="138"/>
        <v>102.0104804091016</v>
      </c>
      <c r="J192">
        <f t="shared" ca="1" si="138"/>
        <v>92.739470538831611</v>
      </c>
      <c r="K192">
        <f t="shared" ref="K192:P192" ca="1" si="199">J192*EXP(($C$4-0.5*$C$5^2)*$C$10+$C$5*SQRT($C$10)*NORMINV(RAND(),0,1))</f>
        <v>85.297236219848358</v>
      </c>
      <c r="L192">
        <f t="shared" ca="1" si="199"/>
        <v>78.087080821934592</v>
      </c>
      <c r="M192">
        <f t="shared" ca="1" si="199"/>
        <v>79.873086482375712</v>
      </c>
      <c r="N192">
        <f t="shared" ca="1" si="199"/>
        <v>73.850431724236131</v>
      </c>
      <c r="O192">
        <f t="shared" ca="1" si="199"/>
        <v>78.706052487576542</v>
      </c>
      <c r="P192">
        <f t="shared" ca="1" si="199"/>
        <v>77.189151825992994</v>
      </c>
      <c r="Q192">
        <f t="shared" ca="1" si="140"/>
        <v>88.593300600726167</v>
      </c>
      <c r="R192">
        <f t="shared" ca="1" si="141"/>
        <v>0</v>
      </c>
      <c r="S192">
        <f t="shared" ca="1" si="142"/>
        <v>0</v>
      </c>
    </row>
    <row r="193" spans="5:19" x14ac:dyDescent="0.75">
      <c r="E193">
        <v>188</v>
      </c>
      <c r="F193">
        <v>100</v>
      </c>
      <c r="G193">
        <f t="shared" ca="1" si="138"/>
        <v>101.67267012065793</v>
      </c>
      <c r="H193">
        <f t="shared" ca="1" si="138"/>
        <v>96.419670021620377</v>
      </c>
      <c r="I193">
        <f t="shared" ca="1" si="138"/>
        <v>82.232463818915434</v>
      </c>
      <c r="J193">
        <f t="shared" ca="1" si="138"/>
        <v>85.133867661386091</v>
      </c>
      <c r="K193">
        <f t="shared" ref="K193:P193" ca="1" si="200">J193*EXP(($C$4-0.5*$C$5^2)*$C$10+$C$5*SQRT($C$10)*NORMINV(RAND(),0,1))</f>
        <v>86.176505854020718</v>
      </c>
      <c r="L193">
        <f t="shared" ca="1" si="200"/>
        <v>83.754332323065583</v>
      </c>
      <c r="M193">
        <f t="shared" ca="1" si="200"/>
        <v>92.455828333636759</v>
      </c>
      <c r="N193">
        <f t="shared" ca="1" si="200"/>
        <v>100.54327355938617</v>
      </c>
      <c r="O193">
        <f t="shared" ca="1" si="200"/>
        <v>92.823850619323906</v>
      </c>
      <c r="P193">
        <f t="shared" ca="1" si="200"/>
        <v>90.410568790790677</v>
      </c>
      <c r="Q193">
        <f t="shared" ca="1" si="140"/>
        <v>91.965730100254873</v>
      </c>
      <c r="R193">
        <f t="shared" ca="1" si="141"/>
        <v>0</v>
      </c>
      <c r="S193">
        <f t="shared" ca="1" si="142"/>
        <v>0</v>
      </c>
    </row>
    <row r="194" spans="5:19" x14ac:dyDescent="0.75">
      <c r="E194">
        <v>189</v>
      </c>
      <c r="F194">
        <v>100</v>
      </c>
      <c r="G194">
        <f t="shared" ca="1" si="138"/>
        <v>104.1357923013485</v>
      </c>
      <c r="H194">
        <f t="shared" ca="1" si="138"/>
        <v>105.5852840843996</v>
      </c>
      <c r="I194">
        <f t="shared" ca="1" si="138"/>
        <v>102.39318260092148</v>
      </c>
      <c r="J194">
        <f t="shared" ca="1" si="138"/>
        <v>92.613766023623384</v>
      </c>
      <c r="K194">
        <f t="shared" ref="K194:P194" ca="1" si="201">J194*EXP(($C$4-0.5*$C$5^2)*$C$10+$C$5*SQRT($C$10)*NORMINV(RAND(),0,1))</f>
        <v>87.844304370576523</v>
      </c>
      <c r="L194">
        <f t="shared" ca="1" si="201"/>
        <v>98.251861244279752</v>
      </c>
      <c r="M194">
        <f t="shared" ca="1" si="201"/>
        <v>100.09458940160778</v>
      </c>
      <c r="N194">
        <f t="shared" ca="1" si="201"/>
        <v>96.498277647233266</v>
      </c>
      <c r="O194">
        <f t="shared" ca="1" si="201"/>
        <v>98.040927490804478</v>
      </c>
      <c r="P194">
        <f t="shared" ca="1" si="201"/>
        <v>97.403123591431196</v>
      </c>
      <c r="Q194">
        <f t="shared" ca="1" si="140"/>
        <v>98.441918977838725</v>
      </c>
      <c r="R194">
        <f t="shared" ca="1" si="141"/>
        <v>0</v>
      </c>
      <c r="S194">
        <f t="shared" ca="1" si="142"/>
        <v>0</v>
      </c>
    </row>
    <row r="195" spans="5:19" x14ac:dyDescent="0.75">
      <c r="E195">
        <v>190</v>
      </c>
      <c r="F195">
        <v>100</v>
      </c>
      <c r="G195">
        <f t="shared" ca="1" si="138"/>
        <v>91.313219907988625</v>
      </c>
      <c r="H195">
        <f t="shared" ca="1" si="138"/>
        <v>102.02798993134954</v>
      </c>
      <c r="I195">
        <f t="shared" ca="1" si="138"/>
        <v>108.83848113868392</v>
      </c>
      <c r="J195">
        <f t="shared" ca="1" si="138"/>
        <v>117.45011815479766</v>
      </c>
      <c r="K195">
        <f t="shared" ref="K195:P195" ca="1" si="202">J195*EXP(($C$4-0.5*$C$5^2)*$C$10+$C$5*SQRT($C$10)*NORMINV(RAND(),0,1))</f>
        <v>113.49315466039732</v>
      </c>
      <c r="L195">
        <f t="shared" ca="1" si="202"/>
        <v>110.24117540823873</v>
      </c>
      <c r="M195">
        <f t="shared" ca="1" si="202"/>
        <v>106.3357117328044</v>
      </c>
      <c r="N195">
        <f t="shared" ca="1" si="202"/>
        <v>102.82843147684987</v>
      </c>
      <c r="O195">
        <f t="shared" ca="1" si="202"/>
        <v>102.63551372772361</v>
      </c>
      <c r="P195">
        <f t="shared" ca="1" si="202"/>
        <v>95.599823299133121</v>
      </c>
      <c r="Q195">
        <f t="shared" ca="1" si="140"/>
        <v>104.61487449436062</v>
      </c>
      <c r="R195">
        <f t="shared" ca="1" si="141"/>
        <v>4.6148744943606204</v>
      </c>
      <c r="S195">
        <f t="shared" ca="1" si="142"/>
        <v>4.5234938568494627</v>
      </c>
    </row>
    <row r="196" spans="5:19" x14ac:dyDescent="0.75">
      <c r="E196">
        <v>191</v>
      </c>
      <c r="F196">
        <v>100</v>
      </c>
      <c r="G196">
        <f t="shared" ca="1" si="138"/>
        <v>98.889535182341106</v>
      </c>
      <c r="H196">
        <f t="shared" ca="1" si="138"/>
        <v>109.06815980319851</v>
      </c>
      <c r="I196">
        <f t="shared" ca="1" si="138"/>
        <v>111.4114527852574</v>
      </c>
      <c r="J196">
        <f t="shared" ca="1" si="138"/>
        <v>117.95694933180516</v>
      </c>
      <c r="K196">
        <f t="shared" ref="K196:P196" ca="1" si="203">J196*EXP(($C$4-0.5*$C$5^2)*$C$10+$C$5*SQRT($C$10)*NORMINV(RAND(),0,1))</f>
        <v>115.81593336356944</v>
      </c>
      <c r="L196">
        <f t="shared" ca="1" si="203"/>
        <v>123.05128246713006</v>
      </c>
      <c r="M196">
        <f t="shared" ca="1" si="203"/>
        <v>127.95614244653818</v>
      </c>
      <c r="N196">
        <f t="shared" ca="1" si="203"/>
        <v>131.11004777765234</v>
      </c>
      <c r="O196">
        <f t="shared" ca="1" si="203"/>
        <v>139.0857504288231</v>
      </c>
      <c r="P196">
        <f t="shared" ca="1" si="203"/>
        <v>138.44146431860494</v>
      </c>
      <c r="Q196">
        <f t="shared" ca="1" si="140"/>
        <v>119.34424708226547</v>
      </c>
      <c r="R196">
        <f t="shared" ca="1" si="141"/>
        <v>19.344247082265468</v>
      </c>
      <c r="S196">
        <f t="shared" ca="1" si="142"/>
        <v>18.961205326154683</v>
      </c>
    </row>
    <row r="197" spans="5:19" x14ac:dyDescent="0.75">
      <c r="E197">
        <v>192</v>
      </c>
      <c r="F197">
        <v>100</v>
      </c>
      <c r="G197">
        <f t="shared" ca="1" si="138"/>
        <v>90.581234299008969</v>
      </c>
      <c r="H197">
        <f t="shared" ca="1" si="138"/>
        <v>86.977343271930977</v>
      </c>
      <c r="I197">
        <f t="shared" ca="1" si="138"/>
        <v>90.924575832819883</v>
      </c>
      <c r="J197">
        <f t="shared" ca="1" si="138"/>
        <v>97.519613545329278</v>
      </c>
      <c r="K197">
        <f t="shared" ref="K197:P197" ca="1" si="204">J197*EXP(($C$4-0.5*$C$5^2)*$C$10+$C$5*SQRT($C$10)*NORMINV(RAND(),0,1))</f>
        <v>97.891629323118394</v>
      </c>
      <c r="L197">
        <f t="shared" ca="1" si="204"/>
        <v>92.231863252371681</v>
      </c>
      <c r="M197">
        <f t="shared" ca="1" si="204"/>
        <v>93.417368436690538</v>
      </c>
      <c r="N197">
        <f t="shared" ca="1" si="204"/>
        <v>96.173968982136316</v>
      </c>
      <c r="O197">
        <f t="shared" ca="1" si="204"/>
        <v>91.317643979575664</v>
      </c>
      <c r="P197">
        <f t="shared" ca="1" si="204"/>
        <v>92.018341188822575</v>
      </c>
      <c r="Q197">
        <f t="shared" ca="1" si="140"/>
        <v>93.550325646527668</v>
      </c>
      <c r="R197">
        <f t="shared" ca="1" si="141"/>
        <v>0</v>
      </c>
      <c r="S197">
        <f t="shared" ca="1" si="142"/>
        <v>0</v>
      </c>
    </row>
    <row r="198" spans="5:19" x14ac:dyDescent="0.75">
      <c r="E198">
        <v>193</v>
      </c>
      <c r="F198">
        <v>100</v>
      </c>
      <c r="G198">
        <f t="shared" ca="1" si="138"/>
        <v>107.48348368713548</v>
      </c>
      <c r="H198">
        <f t="shared" ca="1" si="138"/>
        <v>103.93927288244329</v>
      </c>
      <c r="I198">
        <f t="shared" ca="1" si="138"/>
        <v>109.92037476539406</v>
      </c>
      <c r="J198">
        <f t="shared" ref="J198:P198" ca="1" si="205">I198*EXP(($C$4-0.5*$C$5^2)*$C$10+$C$5*SQRT($C$10)*NORMINV(RAND(),0,1))</f>
        <v>105.86100600338953</v>
      </c>
      <c r="K198">
        <f t="shared" ca="1" si="205"/>
        <v>101.41092522724291</v>
      </c>
      <c r="L198">
        <f t="shared" ca="1" si="205"/>
        <v>94.953424538363151</v>
      </c>
      <c r="M198">
        <f t="shared" ca="1" si="205"/>
        <v>88.726212327118915</v>
      </c>
      <c r="N198">
        <f t="shared" ca="1" si="205"/>
        <v>84.427987627975568</v>
      </c>
      <c r="O198">
        <f t="shared" ca="1" si="205"/>
        <v>81.112131759089749</v>
      </c>
      <c r="P198">
        <f t="shared" ca="1" si="205"/>
        <v>88.177951948912863</v>
      </c>
      <c r="Q198">
        <f t="shared" ca="1" si="140"/>
        <v>96.910251887915038</v>
      </c>
      <c r="R198">
        <f t="shared" ca="1" si="141"/>
        <v>0</v>
      </c>
      <c r="S198">
        <f t="shared" ca="1" si="142"/>
        <v>0</v>
      </c>
    </row>
    <row r="199" spans="5:19" x14ac:dyDescent="0.75">
      <c r="E199">
        <v>194</v>
      </c>
      <c r="F199">
        <v>100</v>
      </c>
      <c r="G199">
        <f t="shared" ref="G199:J262" ca="1" si="206">F199*EXP(($C$4-0.5*$C$5^2)*$C$10+$C$5*SQRT($C$10)*NORMINV(RAND(),0,1))</f>
        <v>102.46437572896335</v>
      </c>
      <c r="H199">
        <f t="shared" ca="1" si="206"/>
        <v>106.43728851186538</v>
      </c>
      <c r="I199">
        <f t="shared" ca="1" si="206"/>
        <v>94.202454295611474</v>
      </c>
      <c r="J199">
        <f t="shared" ca="1" si="206"/>
        <v>95.300671787294547</v>
      </c>
      <c r="K199">
        <f t="shared" ref="K199:P199" ca="1" si="207">J199*EXP(($C$4-0.5*$C$5^2)*$C$10+$C$5*SQRT($C$10)*NORMINV(RAND(),0,1))</f>
        <v>112.5524082837874</v>
      </c>
      <c r="L199">
        <f t="shared" ca="1" si="207"/>
        <v>108.90101433574078</v>
      </c>
      <c r="M199">
        <f t="shared" ca="1" si="207"/>
        <v>98.520281178122787</v>
      </c>
      <c r="N199">
        <f t="shared" ca="1" si="207"/>
        <v>101.62700742951566</v>
      </c>
      <c r="O199">
        <f t="shared" ca="1" si="207"/>
        <v>103.21902098061086</v>
      </c>
      <c r="P199">
        <f t="shared" ca="1" si="207"/>
        <v>97.853649730533462</v>
      </c>
      <c r="Q199">
        <f t="shared" ref="Q199:Q262" ca="1" si="208">AVERAGE(F199:P199)</f>
        <v>101.91619747836779</v>
      </c>
      <c r="R199">
        <f t="shared" ref="R199:R262" ca="1" si="209">MAX(Q199-$C$7,0)</f>
        <v>1.916197478367792</v>
      </c>
      <c r="S199">
        <f t="shared" ref="S199:S262" ca="1" si="210">EXP(-$C$4*$C$6)*R199</f>
        <v>1.8782542260898596</v>
      </c>
    </row>
    <row r="200" spans="5:19" x14ac:dyDescent="0.75">
      <c r="E200">
        <v>195</v>
      </c>
      <c r="F200">
        <v>100</v>
      </c>
      <c r="G200">
        <f t="shared" ca="1" si="206"/>
        <v>103.75433732689119</v>
      </c>
      <c r="H200">
        <f t="shared" ca="1" si="206"/>
        <v>95.679857301409626</v>
      </c>
      <c r="I200">
        <f t="shared" ca="1" si="206"/>
        <v>90.829309095078727</v>
      </c>
      <c r="J200">
        <f t="shared" ca="1" si="206"/>
        <v>104.33103256079538</v>
      </c>
      <c r="K200">
        <f t="shared" ref="K200:P200" ca="1" si="211">J200*EXP(($C$4-0.5*$C$5^2)*$C$10+$C$5*SQRT($C$10)*NORMINV(RAND(),0,1))</f>
        <v>105.45698641123352</v>
      </c>
      <c r="L200">
        <f t="shared" ca="1" si="211"/>
        <v>110.85869430976405</v>
      </c>
      <c r="M200">
        <f t="shared" ca="1" si="211"/>
        <v>115.03420907162412</v>
      </c>
      <c r="N200">
        <f t="shared" ca="1" si="211"/>
        <v>117.45867169871099</v>
      </c>
      <c r="O200">
        <f t="shared" ca="1" si="211"/>
        <v>107.96628037089475</v>
      </c>
      <c r="P200">
        <f t="shared" ca="1" si="211"/>
        <v>102.50368348598457</v>
      </c>
      <c r="Q200">
        <f t="shared" ca="1" si="208"/>
        <v>104.89755105748972</v>
      </c>
      <c r="R200">
        <f t="shared" ca="1" si="209"/>
        <v>4.8975510574897214</v>
      </c>
      <c r="S200">
        <f t="shared" ca="1" si="210"/>
        <v>4.8005730490035212</v>
      </c>
    </row>
    <row r="201" spans="5:19" x14ac:dyDescent="0.75">
      <c r="E201">
        <v>196</v>
      </c>
      <c r="F201">
        <v>100</v>
      </c>
      <c r="G201">
        <f t="shared" ca="1" si="206"/>
        <v>104.80130365939917</v>
      </c>
      <c r="H201">
        <f t="shared" ca="1" si="206"/>
        <v>98.344332936063068</v>
      </c>
      <c r="I201">
        <f t="shared" ca="1" si="206"/>
        <v>91.924415781403624</v>
      </c>
      <c r="J201">
        <f t="shared" ca="1" si="206"/>
        <v>92.234160093613113</v>
      </c>
      <c r="K201">
        <f t="shared" ref="K201:P201" ca="1" si="212">J201*EXP(($C$4-0.5*$C$5^2)*$C$10+$C$5*SQRT($C$10)*NORMINV(RAND(),0,1))</f>
        <v>92.474296902655396</v>
      </c>
      <c r="L201">
        <f t="shared" ca="1" si="212"/>
        <v>84.774958104512478</v>
      </c>
      <c r="M201">
        <f t="shared" ca="1" si="212"/>
        <v>82.255688087303852</v>
      </c>
      <c r="N201">
        <f t="shared" ca="1" si="212"/>
        <v>76.944235667651569</v>
      </c>
      <c r="O201">
        <f t="shared" ca="1" si="212"/>
        <v>69.846170749614927</v>
      </c>
      <c r="P201">
        <f t="shared" ca="1" si="212"/>
        <v>72.236783571679155</v>
      </c>
      <c r="Q201">
        <f t="shared" ca="1" si="208"/>
        <v>87.803304141263297</v>
      </c>
      <c r="R201">
        <f t="shared" ca="1" si="209"/>
        <v>0</v>
      </c>
      <c r="S201">
        <f t="shared" ca="1" si="210"/>
        <v>0</v>
      </c>
    </row>
    <row r="202" spans="5:19" x14ac:dyDescent="0.75">
      <c r="E202">
        <v>197</v>
      </c>
      <c r="F202">
        <v>100</v>
      </c>
      <c r="G202">
        <f t="shared" ca="1" si="206"/>
        <v>100.29069392069768</v>
      </c>
      <c r="H202">
        <f t="shared" ca="1" si="206"/>
        <v>109.2153933004127</v>
      </c>
      <c r="I202">
        <f t="shared" ca="1" si="206"/>
        <v>102.89409621453804</v>
      </c>
      <c r="J202">
        <f t="shared" ca="1" si="206"/>
        <v>111.03263090935428</v>
      </c>
      <c r="K202">
        <f t="shared" ref="K202:P202" ca="1" si="213">J202*EXP(($C$4-0.5*$C$5^2)*$C$10+$C$5*SQRT($C$10)*NORMINV(RAND(),0,1))</f>
        <v>117.11302840180949</v>
      </c>
      <c r="L202">
        <f t="shared" ca="1" si="213"/>
        <v>112.46417607273584</v>
      </c>
      <c r="M202">
        <f t="shared" ca="1" si="213"/>
        <v>102.51224458817858</v>
      </c>
      <c r="N202">
        <f t="shared" ca="1" si="213"/>
        <v>100.04349224802088</v>
      </c>
      <c r="O202">
        <f t="shared" ca="1" si="213"/>
        <v>104.37153536461307</v>
      </c>
      <c r="P202">
        <f t="shared" ca="1" si="213"/>
        <v>105.5638672358084</v>
      </c>
      <c r="Q202">
        <f t="shared" ca="1" si="208"/>
        <v>105.95465075056082</v>
      </c>
      <c r="R202">
        <f t="shared" ca="1" si="209"/>
        <v>5.9546507505608162</v>
      </c>
      <c r="S202">
        <f t="shared" ca="1" si="210"/>
        <v>5.8367407657047865</v>
      </c>
    </row>
    <row r="203" spans="5:19" x14ac:dyDescent="0.75">
      <c r="E203">
        <v>198</v>
      </c>
      <c r="F203">
        <v>100</v>
      </c>
      <c r="G203">
        <f t="shared" ca="1" si="206"/>
        <v>94.318520144078093</v>
      </c>
      <c r="H203">
        <f t="shared" ca="1" si="206"/>
        <v>88.607117438861522</v>
      </c>
      <c r="I203">
        <f t="shared" ca="1" si="206"/>
        <v>105.15577197748364</v>
      </c>
      <c r="J203">
        <f t="shared" ca="1" si="206"/>
        <v>111.5998195326296</v>
      </c>
      <c r="K203">
        <f t="shared" ref="K203:P203" ca="1" si="214">J203*EXP(($C$4-0.5*$C$5^2)*$C$10+$C$5*SQRT($C$10)*NORMINV(RAND(),0,1))</f>
        <v>115.41528739330961</v>
      </c>
      <c r="L203">
        <f t="shared" ca="1" si="214"/>
        <v>120.79764542354629</v>
      </c>
      <c r="M203">
        <f t="shared" ca="1" si="214"/>
        <v>112.38764447093578</v>
      </c>
      <c r="N203">
        <f t="shared" ca="1" si="214"/>
        <v>125.93242975110137</v>
      </c>
      <c r="O203">
        <f t="shared" ca="1" si="214"/>
        <v>119.29613635567323</v>
      </c>
      <c r="P203">
        <f t="shared" ca="1" si="214"/>
        <v>114.0142991288737</v>
      </c>
      <c r="Q203">
        <f t="shared" ca="1" si="208"/>
        <v>109.7749701469539</v>
      </c>
      <c r="R203">
        <f t="shared" ca="1" si="209"/>
        <v>9.7749701469539048</v>
      </c>
      <c r="S203">
        <f t="shared" ca="1" si="210"/>
        <v>9.581412769657355</v>
      </c>
    </row>
    <row r="204" spans="5:19" x14ac:dyDescent="0.75">
      <c r="E204">
        <v>199</v>
      </c>
      <c r="F204">
        <v>100</v>
      </c>
      <c r="G204">
        <f t="shared" ca="1" si="206"/>
        <v>96.591735806807833</v>
      </c>
      <c r="H204">
        <f t="shared" ca="1" si="206"/>
        <v>103.65359831265248</v>
      </c>
      <c r="I204">
        <f t="shared" ca="1" si="206"/>
        <v>106.86505203327641</v>
      </c>
      <c r="J204">
        <f t="shared" ca="1" si="206"/>
        <v>111.90607808288276</v>
      </c>
      <c r="K204">
        <f t="shared" ref="K204:P204" ca="1" si="215">J204*EXP(($C$4-0.5*$C$5^2)*$C$10+$C$5*SQRT($C$10)*NORMINV(RAND(),0,1))</f>
        <v>124.57462126125483</v>
      </c>
      <c r="L204">
        <f t="shared" ca="1" si="215"/>
        <v>128.92669029685902</v>
      </c>
      <c r="M204">
        <f t="shared" ca="1" si="215"/>
        <v>116.27954821566698</v>
      </c>
      <c r="N204">
        <f t="shared" ca="1" si="215"/>
        <v>124.10355225590371</v>
      </c>
      <c r="O204">
        <f t="shared" ca="1" si="215"/>
        <v>122.51611185729297</v>
      </c>
      <c r="P204">
        <f t="shared" ca="1" si="215"/>
        <v>129.59250864036611</v>
      </c>
      <c r="Q204">
        <f t="shared" ca="1" si="208"/>
        <v>115.00086334208756</v>
      </c>
      <c r="R204">
        <f t="shared" ca="1" si="209"/>
        <v>15.000863342087555</v>
      </c>
      <c r="S204">
        <f t="shared" ca="1" si="210"/>
        <v>14.70382634637016</v>
      </c>
    </row>
    <row r="205" spans="5:19" x14ac:dyDescent="0.75">
      <c r="E205">
        <v>200</v>
      </c>
      <c r="F205">
        <v>100</v>
      </c>
      <c r="G205">
        <f t="shared" ca="1" si="206"/>
        <v>108.84160899679355</v>
      </c>
      <c r="H205">
        <f t="shared" ca="1" si="206"/>
        <v>113.04503365763624</v>
      </c>
      <c r="I205">
        <f t="shared" ca="1" si="206"/>
        <v>118.00467011011938</v>
      </c>
      <c r="J205">
        <f t="shared" ca="1" si="206"/>
        <v>122.85841918261829</v>
      </c>
      <c r="K205">
        <f t="shared" ref="K205:P205" ca="1" si="216">J205*EXP(($C$4-0.5*$C$5^2)*$C$10+$C$5*SQRT($C$10)*NORMINV(RAND(),0,1))</f>
        <v>130.41949949857496</v>
      </c>
      <c r="L205">
        <f t="shared" ca="1" si="216"/>
        <v>145.56567273780976</v>
      </c>
      <c r="M205">
        <f t="shared" ca="1" si="216"/>
        <v>143.44905493192832</v>
      </c>
      <c r="N205">
        <f t="shared" ca="1" si="216"/>
        <v>146.12983921532484</v>
      </c>
      <c r="O205">
        <f t="shared" ca="1" si="216"/>
        <v>151.32859542187771</v>
      </c>
      <c r="P205">
        <f t="shared" ca="1" si="216"/>
        <v>156.66089927336165</v>
      </c>
      <c r="Q205">
        <f t="shared" ca="1" si="208"/>
        <v>130.57302663873133</v>
      </c>
      <c r="R205">
        <f t="shared" ca="1" si="209"/>
        <v>30.573026638731335</v>
      </c>
      <c r="S205">
        <f t="shared" ca="1" si="210"/>
        <v>29.967640150256543</v>
      </c>
    </row>
    <row r="206" spans="5:19" x14ac:dyDescent="0.75">
      <c r="E206">
        <v>201</v>
      </c>
      <c r="F206">
        <v>100</v>
      </c>
      <c r="G206">
        <f t="shared" ca="1" si="206"/>
        <v>101.80841555651989</v>
      </c>
      <c r="H206">
        <f t="shared" ca="1" si="206"/>
        <v>100.89028597026739</v>
      </c>
      <c r="I206">
        <f t="shared" ca="1" si="206"/>
        <v>115.92248079625668</v>
      </c>
      <c r="J206">
        <f t="shared" ca="1" si="206"/>
        <v>129.5585727509806</v>
      </c>
      <c r="K206">
        <f t="shared" ref="K206:P206" ca="1" si="217">J206*EXP(($C$4-0.5*$C$5^2)*$C$10+$C$5*SQRT($C$10)*NORMINV(RAND(),0,1))</f>
        <v>116.58111287258006</v>
      </c>
      <c r="L206">
        <f t="shared" ca="1" si="217"/>
        <v>104.11975281492342</v>
      </c>
      <c r="M206">
        <f t="shared" ca="1" si="217"/>
        <v>101.23733331391026</v>
      </c>
      <c r="N206">
        <f t="shared" ca="1" si="217"/>
        <v>106.81021560200044</v>
      </c>
      <c r="O206">
        <f t="shared" ca="1" si="217"/>
        <v>102.57324279148764</v>
      </c>
      <c r="P206">
        <f t="shared" ca="1" si="217"/>
        <v>110.11184395345335</v>
      </c>
      <c r="Q206">
        <f t="shared" ca="1" si="208"/>
        <v>108.14665967476181</v>
      </c>
      <c r="R206">
        <f t="shared" ca="1" si="209"/>
        <v>8.146659674761807</v>
      </c>
      <c r="S206">
        <f t="shared" ca="1" si="210"/>
        <v>7.9853450050831656</v>
      </c>
    </row>
    <row r="207" spans="5:19" x14ac:dyDescent="0.75">
      <c r="E207">
        <v>202</v>
      </c>
      <c r="F207">
        <v>100</v>
      </c>
      <c r="G207">
        <f t="shared" ca="1" si="206"/>
        <v>96.564152753896266</v>
      </c>
      <c r="H207">
        <f t="shared" ca="1" si="206"/>
        <v>91.879378401506955</v>
      </c>
      <c r="I207">
        <f t="shared" ca="1" si="206"/>
        <v>86.115134483303692</v>
      </c>
      <c r="J207">
        <f t="shared" ca="1" si="206"/>
        <v>77.012435555897795</v>
      </c>
      <c r="K207">
        <f t="shared" ref="K207:P207" ca="1" si="218">J207*EXP(($C$4-0.5*$C$5^2)*$C$10+$C$5*SQRT($C$10)*NORMINV(RAND(),0,1))</f>
        <v>79.559791693404591</v>
      </c>
      <c r="L207">
        <f t="shared" ca="1" si="218"/>
        <v>81.322150975990908</v>
      </c>
      <c r="M207">
        <f t="shared" ca="1" si="218"/>
        <v>81.414938836778077</v>
      </c>
      <c r="N207">
        <f t="shared" ca="1" si="218"/>
        <v>75.203969097508136</v>
      </c>
      <c r="O207">
        <f t="shared" ca="1" si="218"/>
        <v>75.097254899951423</v>
      </c>
      <c r="P207">
        <f t="shared" ca="1" si="218"/>
        <v>76.652834844667083</v>
      </c>
      <c r="Q207">
        <f t="shared" ca="1" si="208"/>
        <v>83.711094685718621</v>
      </c>
      <c r="R207">
        <f t="shared" ca="1" si="209"/>
        <v>0</v>
      </c>
      <c r="S207">
        <f t="shared" ca="1" si="210"/>
        <v>0</v>
      </c>
    </row>
    <row r="208" spans="5:19" x14ac:dyDescent="0.75">
      <c r="E208">
        <v>203</v>
      </c>
      <c r="F208">
        <v>100</v>
      </c>
      <c r="G208">
        <f t="shared" ca="1" si="206"/>
        <v>102.9088773482241</v>
      </c>
      <c r="H208">
        <f t="shared" ca="1" si="206"/>
        <v>111.78308065383438</v>
      </c>
      <c r="I208">
        <f t="shared" ca="1" si="206"/>
        <v>120.11525103581272</v>
      </c>
      <c r="J208">
        <f t="shared" ca="1" si="206"/>
        <v>120.03068293379923</v>
      </c>
      <c r="K208">
        <f t="shared" ref="K208:P208" ca="1" si="219">J208*EXP(($C$4-0.5*$C$5^2)*$C$10+$C$5*SQRT($C$10)*NORMINV(RAND(),0,1))</f>
        <v>112.4847823429746</v>
      </c>
      <c r="L208">
        <f t="shared" ca="1" si="219"/>
        <v>122.90211021586663</v>
      </c>
      <c r="M208">
        <f t="shared" ca="1" si="219"/>
        <v>129.11591541436988</v>
      </c>
      <c r="N208">
        <f t="shared" ca="1" si="219"/>
        <v>134.00592514060494</v>
      </c>
      <c r="O208">
        <f t="shared" ca="1" si="219"/>
        <v>137.20001620665693</v>
      </c>
      <c r="P208">
        <f t="shared" ca="1" si="219"/>
        <v>139.82631854592964</v>
      </c>
      <c r="Q208">
        <f t="shared" ca="1" si="208"/>
        <v>120.94299634891571</v>
      </c>
      <c r="R208">
        <f t="shared" ca="1" si="209"/>
        <v>20.942996348915713</v>
      </c>
      <c r="S208">
        <f t="shared" ca="1" si="210"/>
        <v>20.528297236275399</v>
      </c>
    </row>
    <row r="209" spans="5:19" x14ac:dyDescent="0.75">
      <c r="E209">
        <v>204</v>
      </c>
      <c r="F209">
        <v>100</v>
      </c>
      <c r="G209">
        <f t="shared" ca="1" si="206"/>
        <v>91.748516699597801</v>
      </c>
      <c r="H209">
        <f t="shared" ca="1" si="206"/>
        <v>98.222073675748547</v>
      </c>
      <c r="I209">
        <f t="shared" ca="1" si="206"/>
        <v>101.82678441865104</v>
      </c>
      <c r="J209">
        <f t="shared" ca="1" si="206"/>
        <v>95.10844969228269</v>
      </c>
      <c r="K209">
        <f t="shared" ref="K209:P209" ca="1" si="220">J209*EXP(($C$4-0.5*$C$5^2)*$C$10+$C$5*SQRT($C$10)*NORMINV(RAND(),0,1))</f>
        <v>94.884280120111214</v>
      </c>
      <c r="L209">
        <f t="shared" ca="1" si="220"/>
        <v>87.22331003587631</v>
      </c>
      <c r="M209">
        <f t="shared" ca="1" si="220"/>
        <v>82.611127751416959</v>
      </c>
      <c r="N209">
        <f t="shared" ca="1" si="220"/>
        <v>76.41461862979979</v>
      </c>
      <c r="O209">
        <f t="shared" ca="1" si="220"/>
        <v>75.264607454375124</v>
      </c>
      <c r="P209">
        <f t="shared" ca="1" si="220"/>
        <v>73.843279165842333</v>
      </c>
      <c r="Q209">
        <f t="shared" ca="1" si="208"/>
        <v>88.831549785791069</v>
      </c>
      <c r="R209">
        <f t="shared" ca="1" si="209"/>
        <v>0</v>
      </c>
      <c r="S209">
        <f t="shared" ca="1" si="210"/>
        <v>0</v>
      </c>
    </row>
    <row r="210" spans="5:19" x14ac:dyDescent="0.75">
      <c r="E210">
        <v>205</v>
      </c>
      <c r="F210">
        <v>100</v>
      </c>
      <c r="G210">
        <f t="shared" ca="1" si="206"/>
        <v>94.738126515044499</v>
      </c>
      <c r="H210">
        <f t="shared" ca="1" si="206"/>
        <v>91.815943004930645</v>
      </c>
      <c r="I210">
        <f t="shared" ca="1" si="206"/>
        <v>100.46015518062659</v>
      </c>
      <c r="J210">
        <f t="shared" ca="1" si="206"/>
        <v>106.16051864694954</v>
      </c>
      <c r="K210">
        <f t="shared" ref="K210:P210" ca="1" si="221">J210*EXP(($C$4-0.5*$C$5^2)*$C$10+$C$5*SQRT($C$10)*NORMINV(RAND(),0,1))</f>
        <v>102.62585665431958</v>
      </c>
      <c r="L210">
        <f t="shared" ca="1" si="221"/>
        <v>103.19656730929614</v>
      </c>
      <c r="M210">
        <f t="shared" ca="1" si="221"/>
        <v>109.15618869877881</v>
      </c>
      <c r="N210">
        <f t="shared" ca="1" si="221"/>
        <v>94.157963392320355</v>
      </c>
      <c r="O210">
        <f t="shared" ca="1" si="221"/>
        <v>89.718028877939844</v>
      </c>
      <c r="P210">
        <f t="shared" ca="1" si="221"/>
        <v>86.181315020509047</v>
      </c>
      <c r="Q210">
        <f t="shared" ca="1" si="208"/>
        <v>98.019151209155922</v>
      </c>
      <c r="R210">
        <f t="shared" ca="1" si="209"/>
        <v>0</v>
      </c>
      <c r="S210">
        <f t="shared" ca="1" si="210"/>
        <v>0</v>
      </c>
    </row>
    <row r="211" spans="5:19" x14ac:dyDescent="0.75">
      <c r="E211">
        <v>206</v>
      </c>
      <c r="F211">
        <v>100</v>
      </c>
      <c r="G211">
        <f t="shared" ca="1" si="206"/>
        <v>90.983188691214167</v>
      </c>
      <c r="H211">
        <f t="shared" ca="1" si="206"/>
        <v>89.144310552845269</v>
      </c>
      <c r="I211">
        <f t="shared" ca="1" si="206"/>
        <v>88.945808087662272</v>
      </c>
      <c r="J211">
        <f t="shared" ca="1" si="206"/>
        <v>81.871332892867841</v>
      </c>
      <c r="K211">
        <f t="shared" ref="K211:P211" ca="1" si="222">J211*EXP(($C$4-0.5*$C$5^2)*$C$10+$C$5*SQRT($C$10)*NORMINV(RAND(),0,1))</f>
        <v>77.671472267542569</v>
      </c>
      <c r="L211">
        <f t="shared" ca="1" si="222"/>
        <v>74.711818229936426</v>
      </c>
      <c r="M211">
        <f t="shared" ca="1" si="222"/>
        <v>70.303667412216939</v>
      </c>
      <c r="N211">
        <f t="shared" ca="1" si="222"/>
        <v>75.834698442604363</v>
      </c>
      <c r="O211">
        <f t="shared" ca="1" si="222"/>
        <v>79.693714086439613</v>
      </c>
      <c r="P211">
        <f t="shared" ca="1" si="222"/>
        <v>72.732196038702781</v>
      </c>
      <c r="Q211">
        <f t="shared" ca="1" si="208"/>
        <v>81.990200609275647</v>
      </c>
      <c r="R211">
        <f t="shared" ca="1" si="209"/>
        <v>0</v>
      </c>
      <c r="S211">
        <f t="shared" ca="1" si="210"/>
        <v>0</v>
      </c>
    </row>
    <row r="212" spans="5:19" x14ac:dyDescent="0.75">
      <c r="E212">
        <v>207</v>
      </c>
      <c r="F212">
        <v>100</v>
      </c>
      <c r="G212">
        <f t="shared" ca="1" si="206"/>
        <v>105.47985395857805</v>
      </c>
      <c r="H212">
        <f t="shared" ca="1" si="206"/>
        <v>97.312068582492472</v>
      </c>
      <c r="I212">
        <f t="shared" ca="1" si="206"/>
        <v>102.98058710537588</v>
      </c>
      <c r="J212">
        <f t="shared" ca="1" si="206"/>
        <v>99.402917539590874</v>
      </c>
      <c r="K212">
        <f t="shared" ref="K212:P212" ca="1" si="223">J212*EXP(($C$4-0.5*$C$5^2)*$C$10+$C$5*SQRT($C$10)*NORMINV(RAND(),0,1))</f>
        <v>86.826884626364503</v>
      </c>
      <c r="L212">
        <f t="shared" ca="1" si="223"/>
        <v>94.125915164174302</v>
      </c>
      <c r="M212">
        <f t="shared" ca="1" si="223"/>
        <v>89.862716437826421</v>
      </c>
      <c r="N212">
        <f t="shared" ca="1" si="223"/>
        <v>86.976848460703749</v>
      </c>
      <c r="O212">
        <f t="shared" ca="1" si="223"/>
        <v>83.787223485189486</v>
      </c>
      <c r="P212">
        <f t="shared" ca="1" si="223"/>
        <v>84.20050978851593</v>
      </c>
      <c r="Q212">
        <f t="shared" ca="1" si="208"/>
        <v>93.723229558982894</v>
      </c>
      <c r="R212">
        <f t="shared" ca="1" si="209"/>
        <v>0</v>
      </c>
      <c r="S212">
        <f t="shared" ca="1" si="210"/>
        <v>0</v>
      </c>
    </row>
    <row r="213" spans="5:19" x14ac:dyDescent="0.75">
      <c r="E213">
        <v>208</v>
      </c>
      <c r="F213">
        <v>100</v>
      </c>
      <c r="G213">
        <f t="shared" ca="1" si="206"/>
        <v>99.055760786594732</v>
      </c>
      <c r="H213">
        <f t="shared" ca="1" si="206"/>
        <v>99.816748906437198</v>
      </c>
      <c r="I213">
        <f t="shared" ca="1" si="206"/>
        <v>102.12944580723392</v>
      </c>
      <c r="J213">
        <f t="shared" ca="1" si="206"/>
        <v>108.30509536570727</v>
      </c>
      <c r="K213">
        <f t="shared" ref="K213:P213" ca="1" si="224">J213*EXP(($C$4-0.5*$C$5^2)*$C$10+$C$5*SQRT($C$10)*NORMINV(RAND(),0,1))</f>
        <v>108.18891534673793</v>
      </c>
      <c r="L213">
        <f t="shared" ca="1" si="224"/>
        <v>110.12033173992747</v>
      </c>
      <c r="M213">
        <f t="shared" ca="1" si="224"/>
        <v>125.22262338220209</v>
      </c>
      <c r="N213">
        <f t="shared" ca="1" si="224"/>
        <v>125.7912468534663</v>
      </c>
      <c r="O213">
        <f t="shared" ca="1" si="224"/>
        <v>128.26346677609646</v>
      </c>
      <c r="P213">
        <f t="shared" ca="1" si="224"/>
        <v>122.27723578356022</v>
      </c>
      <c r="Q213">
        <f t="shared" ca="1" si="208"/>
        <v>111.74280643163303</v>
      </c>
      <c r="R213">
        <f t="shared" ca="1" si="209"/>
        <v>11.742806431633028</v>
      </c>
      <c r="S213">
        <f t="shared" ca="1" si="210"/>
        <v>11.510283285184727</v>
      </c>
    </row>
    <row r="214" spans="5:19" x14ac:dyDescent="0.75">
      <c r="E214">
        <v>209</v>
      </c>
      <c r="F214">
        <v>100</v>
      </c>
      <c r="G214">
        <f t="shared" ca="1" si="206"/>
        <v>100.75962051889218</v>
      </c>
      <c r="H214">
        <f t="shared" ca="1" si="206"/>
        <v>106.35283207296298</v>
      </c>
      <c r="I214">
        <f t="shared" ca="1" si="206"/>
        <v>106.4726489352135</v>
      </c>
      <c r="J214">
        <f t="shared" ca="1" si="206"/>
        <v>112.84533187733005</v>
      </c>
      <c r="K214">
        <f t="shared" ref="K214:P214" ca="1" si="225">J214*EXP(($C$4-0.5*$C$5^2)*$C$10+$C$5*SQRT($C$10)*NORMINV(RAND(),0,1))</f>
        <v>118.19736964509649</v>
      </c>
      <c r="L214">
        <f t="shared" ca="1" si="225"/>
        <v>115.79503414664968</v>
      </c>
      <c r="M214">
        <f t="shared" ca="1" si="225"/>
        <v>119.33632205891762</v>
      </c>
      <c r="N214">
        <f t="shared" ca="1" si="225"/>
        <v>124.1667360197099</v>
      </c>
      <c r="O214">
        <f t="shared" ca="1" si="225"/>
        <v>122.66073061937607</v>
      </c>
      <c r="P214">
        <f t="shared" ca="1" si="225"/>
        <v>114.34909953190572</v>
      </c>
      <c r="Q214">
        <f t="shared" ca="1" si="208"/>
        <v>112.81233867509583</v>
      </c>
      <c r="R214">
        <f t="shared" ca="1" si="209"/>
        <v>12.81233867509583</v>
      </c>
      <c r="S214">
        <f t="shared" ca="1" si="210"/>
        <v>12.558637371285764</v>
      </c>
    </row>
    <row r="215" spans="5:19" x14ac:dyDescent="0.75">
      <c r="E215">
        <v>210</v>
      </c>
      <c r="F215">
        <v>100</v>
      </c>
      <c r="G215">
        <f t="shared" ca="1" si="206"/>
        <v>104.98900161061049</v>
      </c>
      <c r="H215">
        <f t="shared" ca="1" si="206"/>
        <v>101.3690760972907</v>
      </c>
      <c r="I215">
        <f t="shared" ca="1" si="206"/>
        <v>105.9502735294011</v>
      </c>
      <c r="J215">
        <f t="shared" ca="1" si="206"/>
        <v>103.25465956349996</v>
      </c>
      <c r="K215">
        <f t="shared" ref="K215:P215" ca="1" si="226">J215*EXP(($C$4-0.5*$C$5^2)*$C$10+$C$5*SQRT($C$10)*NORMINV(RAND(),0,1))</f>
        <v>102.12978393138904</v>
      </c>
      <c r="L215">
        <f t="shared" ca="1" si="226"/>
        <v>113.37625874866328</v>
      </c>
      <c r="M215">
        <f t="shared" ca="1" si="226"/>
        <v>124.18094931575503</v>
      </c>
      <c r="N215">
        <f t="shared" ca="1" si="226"/>
        <v>126.74112047201993</v>
      </c>
      <c r="O215">
        <f t="shared" ca="1" si="226"/>
        <v>131.06676633400221</v>
      </c>
      <c r="P215">
        <f t="shared" ca="1" si="226"/>
        <v>133.17760656635363</v>
      </c>
      <c r="Q215">
        <f t="shared" ca="1" si="208"/>
        <v>113.29413601536231</v>
      </c>
      <c r="R215">
        <f t="shared" ca="1" si="209"/>
        <v>13.294136015362312</v>
      </c>
      <c r="S215">
        <f t="shared" ca="1" si="210"/>
        <v>13.030894485017692</v>
      </c>
    </row>
    <row r="216" spans="5:19" x14ac:dyDescent="0.75">
      <c r="E216">
        <v>211</v>
      </c>
      <c r="F216">
        <v>100</v>
      </c>
      <c r="G216">
        <f t="shared" ca="1" si="206"/>
        <v>98.890874726162664</v>
      </c>
      <c r="H216">
        <f t="shared" ca="1" si="206"/>
        <v>96.850582218994262</v>
      </c>
      <c r="I216">
        <f t="shared" ca="1" si="206"/>
        <v>89.517832851333594</v>
      </c>
      <c r="J216">
        <f t="shared" ca="1" si="206"/>
        <v>85.396839978057073</v>
      </c>
      <c r="K216">
        <f t="shared" ref="K216:P216" ca="1" si="227">J216*EXP(($C$4-0.5*$C$5^2)*$C$10+$C$5*SQRT($C$10)*NORMINV(RAND(),0,1))</f>
        <v>82.602410393289418</v>
      </c>
      <c r="L216">
        <f t="shared" ca="1" si="227"/>
        <v>73.896881459940133</v>
      </c>
      <c r="M216">
        <f t="shared" ca="1" si="227"/>
        <v>78.110561220059736</v>
      </c>
      <c r="N216">
        <f t="shared" ca="1" si="227"/>
        <v>77.353384649172355</v>
      </c>
      <c r="O216">
        <f t="shared" ca="1" si="227"/>
        <v>79.033864622815514</v>
      </c>
      <c r="P216">
        <f t="shared" ca="1" si="227"/>
        <v>90.117336596007007</v>
      </c>
      <c r="Q216">
        <f t="shared" ca="1" si="208"/>
        <v>86.524597155984694</v>
      </c>
      <c r="R216">
        <f t="shared" ca="1" si="209"/>
        <v>0</v>
      </c>
      <c r="S216">
        <f t="shared" ca="1" si="210"/>
        <v>0</v>
      </c>
    </row>
    <row r="217" spans="5:19" x14ac:dyDescent="0.75">
      <c r="E217">
        <v>212</v>
      </c>
      <c r="F217">
        <v>100</v>
      </c>
      <c r="G217">
        <f t="shared" ca="1" si="206"/>
        <v>103.39329528838248</v>
      </c>
      <c r="H217">
        <f t="shared" ca="1" si="206"/>
        <v>93.896993028105328</v>
      </c>
      <c r="I217">
        <f t="shared" ca="1" si="206"/>
        <v>95.974282647607325</v>
      </c>
      <c r="J217">
        <f t="shared" ca="1" si="206"/>
        <v>103.0990475264133</v>
      </c>
      <c r="K217">
        <f t="shared" ref="K217:P217" ca="1" si="228">J217*EXP(($C$4-0.5*$C$5^2)*$C$10+$C$5*SQRT($C$10)*NORMINV(RAND(),0,1))</f>
        <v>107.48331590240896</v>
      </c>
      <c r="L217">
        <f t="shared" ca="1" si="228"/>
        <v>108.31525572790898</v>
      </c>
      <c r="M217">
        <f t="shared" ca="1" si="228"/>
        <v>106.91313352160513</v>
      </c>
      <c r="N217">
        <f t="shared" ca="1" si="228"/>
        <v>103.99911735739984</v>
      </c>
      <c r="O217">
        <f t="shared" ca="1" si="228"/>
        <v>105.44228627006996</v>
      </c>
      <c r="P217">
        <f t="shared" ca="1" si="228"/>
        <v>104.7374169344681</v>
      </c>
      <c r="Q217">
        <f t="shared" ca="1" si="208"/>
        <v>103.02310401857903</v>
      </c>
      <c r="R217">
        <f t="shared" ca="1" si="209"/>
        <v>3.0231040185790334</v>
      </c>
      <c r="S217">
        <f t="shared" ca="1" si="210"/>
        <v>2.9632425482794891</v>
      </c>
    </row>
    <row r="218" spans="5:19" x14ac:dyDescent="0.75">
      <c r="E218">
        <v>213</v>
      </c>
      <c r="F218">
        <v>100</v>
      </c>
      <c r="G218">
        <f t="shared" ca="1" si="206"/>
        <v>100.96842253689601</v>
      </c>
      <c r="H218">
        <f t="shared" ca="1" si="206"/>
        <v>113.29979304938287</v>
      </c>
      <c r="I218">
        <f t="shared" ca="1" si="206"/>
        <v>112.04482105915784</v>
      </c>
      <c r="J218">
        <f t="shared" ca="1" si="206"/>
        <v>118.80143800503313</v>
      </c>
      <c r="K218">
        <f t="shared" ref="K218:P218" ca="1" si="229">J218*EXP(($C$4-0.5*$C$5^2)*$C$10+$C$5*SQRT($C$10)*NORMINV(RAND(),0,1))</f>
        <v>128.64070301222873</v>
      </c>
      <c r="L218">
        <f t="shared" ca="1" si="229"/>
        <v>121.5356674663068</v>
      </c>
      <c r="M218">
        <f t="shared" ca="1" si="229"/>
        <v>111.35872481974738</v>
      </c>
      <c r="N218">
        <f t="shared" ca="1" si="229"/>
        <v>101.13074224925538</v>
      </c>
      <c r="O218">
        <f t="shared" ca="1" si="229"/>
        <v>99.528688442626645</v>
      </c>
      <c r="P218">
        <f t="shared" ca="1" si="229"/>
        <v>93.544433130766606</v>
      </c>
      <c r="Q218">
        <f t="shared" ca="1" si="208"/>
        <v>109.1684939792183</v>
      </c>
      <c r="R218">
        <f t="shared" ca="1" si="209"/>
        <v>9.1684939792182973</v>
      </c>
      <c r="S218">
        <f t="shared" ca="1" si="210"/>
        <v>8.9869456346507484</v>
      </c>
    </row>
    <row r="219" spans="5:19" x14ac:dyDescent="0.75">
      <c r="E219">
        <v>214</v>
      </c>
      <c r="F219">
        <v>100</v>
      </c>
      <c r="G219">
        <f t="shared" ca="1" si="206"/>
        <v>94.886128104002438</v>
      </c>
      <c r="H219">
        <f t="shared" ca="1" si="206"/>
        <v>94.670280336117401</v>
      </c>
      <c r="I219">
        <f t="shared" ca="1" si="206"/>
        <v>91.149015419786323</v>
      </c>
      <c r="J219">
        <f t="shared" ca="1" si="206"/>
        <v>92.859014267422765</v>
      </c>
      <c r="K219">
        <f t="shared" ref="K219:P219" ca="1" si="230">J219*EXP(($C$4-0.5*$C$5^2)*$C$10+$C$5*SQRT($C$10)*NORMINV(RAND(),0,1))</f>
        <v>88.974176569892862</v>
      </c>
      <c r="L219">
        <f t="shared" ca="1" si="230"/>
        <v>98.324640827912802</v>
      </c>
      <c r="M219">
        <f t="shared" ca="1" si="230"/>
        <v>92.289103494789387</v>
      </c>
      <c r="N219">
        <f t="shared" ca="1" si="230"/>
        <v>91.804337807981995</v>
      </c>
      <c r="O219">
        <f t="shared" ca="1" si="230"/>
        <v>94.078067920758912</v>
      </c>
      <c r="P219">
        <f t="shared" ca="1" si="230"/>
        <v>98.475399713583286</v>
      </c>
      <c r="Q219">
        <f t="shared" ca="1" si="208"/>
        <v>94.319105860204402</v>
      </c>
      <c r="R219">
        <f t="shared" ca="1" si="209"/>
        <v>0</v>
      </c>
      <c r="S219">
        <f t="shared" ca="1" si="210"/>
        <v>0</v>
      </c>
    </row>
    <row r="220" spans="5:19" x14ac:dyDescent="0.75">
      <c r="E220">
        <v>215</v>
      </c>
      <c r="F220">
        <v>100</v>
      </c>
      <c r="G220">
        <f t="shared" ca="1" si="206"/>
        <v>96.863080788575104</v>
      </c>
      <c r="H220">
        <f t="shared" ca="1" si="206"/>
        <v>94.187685507366083</v>
      </c>
      <c r="I220">
        <f t="shared" ca="1" si="206"/>
        <v>96.856860596347303</v>
      </c>
      <c r="J220">
        <f t="shared" ca="1" si="206"/>
        <v>99.637312713803269</v>
      </c>
      <c r="K220">
        <f t="shared" ref="K220:P220" ca="1" si="231">J220*EXP(($C$4-0.5*$C$5^2)*$C$10+$C$5*SQRT($C$10)*NORMINV(RAND(),0,1))</f>
        <v>93.575946527510098</v>
      </c>
      <c r="L220">
        <f t="shared" ca="1" si="231"/>
        <v>100.92668055819253</v>
      </c>
      <c r="M220">
        <f t="shared" ca="1" si="231"/>
        <v>96.314721763234118</v>
      </c>
      <c r="N220">
        <f t="shared" ca="1" si="231"/>
        <v>102.9080646343704</v>
      </c>
      <c r="O220">
        <f t="shared" ca="1" si="231"/>
        <v>85.703361574447769</v>
      </c>
      <c r="P220">
        <f t="shared" ca="1" si="231"/>
        <v>89.085461051474965</v>
      </c>
      <c r="Q220">
        <f t="shared" ca="1" si="208"/>
        <v>96.005379610483772</v>
      </c>
      <c r="R220">
        <f t="shared" ca="1" si="209"/>
        <v>0</v>
      </c>
      <c r="S220">
        <f t="shared" ca="1" si="210"/>
        <v>0</v>
      </c>
    </row>
    <row r="221" spans="5:19" x14ac:dyDescent="0.75">
      <c r="E221">
        <v>216</v>
      </c>
      <c r="F221">
        <v>100</v>
      </c>
      <c r="G221">
        <f t="shared" ca="1" si="206"/>
        <v>104.63535126040355</v>
      </c>
      <c r="H221">
        <f t="shared" ca="1" si="206"/>
        <v>99.074439047838709</v>
      </c>
      <c r="I221">
        <f t="shared" ca="1" si="206"/>
        <v>101.05552703617973</v>
      </c>
      <c r="J221">
        <f t="shared" ca="1" si="206"/>
        <v>103.62474191254603</v>
      </c>
      <c r="K221">
        <f t="shared" ref="K221:P221" ca="1" si="232">J221*EXP(($C$4-0.5*$C$5^2)*$C$10+$C$5*SQRT($C$10)*NORMINV(RAND(),0,1))</f>
        <v>108.2994701043131</v>
      </c>
      <c r="L221">
        <f t="shared" ca="1" si="232"/>
        <v>105.11101643785938</v>
      </c>
      <c r="M221">
        <f t="shared" ca="1" si="232"/>
        <v>110.17284264998656</v>
      </c>
      <c r="N221">
        <f t="shared" ca="1" si="232"/>
        <v>101.17731661237539</v>
      </c>
      <c r="O221">
        <f t="shared" ca="1" si="232"/>
        <v>107.26961914294213</v>
      </c>
      <c r="P221">
        <f t="shared" ca="1" si="232"/>
        <v>106.99951206520417</v>
      </c>
      <c r="Q221">
        <f t="shared" ca="1" si="208"/>
        <v>104.31089420633171</v>
      </c>
      <c r="R221">
        <f t="shared" ca="1" si="209"/>
        <v>4.3108942063317102</v>
      </c>
      <c r="S221">
        <f t="shared" ca="1" si="210"/>
        <v>4.2255327818121202</v>
      </c>
    </row>
    <row r="222" spans="5:19" x14ac:dyDescent="0.75">
      <c r="E222">
        <v>217</v>
      </c>
      <c r="F222">
        <v>100</v>
      </c>
      <c r="G222">
        <f t="shared" ca="1" si="206"/>
        <v>105.42107016189877</v>
      </c>
      <c r="H222">
        <f t="shared" ca="1" si="206"/>
        <v>99.091991274717003</v>
      </c>
      <c r="I222">
        <f t="shared" ca="1" si="206"/>
        <v>102.58377870808729</v>
      </c>
      <c r="J222">
        <f t="shared" ca="1" si="206"/>
        <v>103.72323095730547</v>
      </c>
      <c r="K222">
        <f t="shared" ref="K222:P222" ca="1" si="233">J222*EXP(($C$4-0.5*$C$5^2)*$C$10+$C$5*SQRT($C$10)*NORMINV(RAND(),0,1))</f>
        <v>94.625991564220826</v>
      </c>
      <c r="L222">
        <f t="shared" ca="1" si="233"/>
        <v>95.138962541815843</v>
      </c>
      <c r="M222">
        <f t="shared" ca="1" si="233"/>
        <v>96.864697175464087</v>
      </c>
      <c r="N222">
        <f t="shared" ca="1" si="233"/>
        <v>97.91636574786375</v>
      </c>
      <c r="O222">
        <f t="shared" ca="1" si="233"/>
        <v>100.76829891733503</v>
      </c>
      <c r="P222">
        <f t="shared" ca="1" si="233"/>
        <v>103.09305055247668</v>
      </c>
      <c r="Q222">
        <f t="shared" ca="1" si="208"/>
        <v>99.929767054653169</v>
      </c>
      <c r="R222">
        <f t="shared" ca="1" si="209"/>
        <v>0</v>
      </c>
      <c r="S222">
        <f t="shared" ca="1" si="210"/>
        <v>0</v>
      </c>
    </row>
    <row r="223" spans="5:19" x14ac:dyDescent="0.75">
      <c r="E223">
        <v>218</v>
      </c>
      <c r="F223">
        <v>100</v>
      </c>
      <c r="G223">
        <f t="shared" ca="1" si="206"/>
        <v>95.119646704030743</v>
      </c>
      <c r="H223">
        <f t="shared" ca="1" si="206"/>
        <v>91.794603443685574</v>
      </c>
      <c r="I223">
        <f t="shared" ca="1" si="206"/>
        <v>84.408796860081452</v>
      </c>
      <c r="J223">
        <f t="shared" ca="1" si="206"/>
        <v>87.29130335754752</v>
      </c>
      <c r="K223">
        <f t="shared" ref="K223:P223" ca="1" si="234">J223*EXP(($C$4-0.5*$C$5^2)*$C$10+$C$5*SQRT($C$10)*NORMINV(RAND(),0,1))</f>
        <v>78.081424639973363</v>
      </c>
      <c r="L223">
        <f t="shared" ca="1" si="234"/>
        <v>83.168906167577632</v>
      </c>
      <c r="M223">
        <f t="shared" ca="1" si="234"/>
        <v>84.037137837047624</v>
      </c>
      <c r="N223">
        <f t="shared" ca="1" si="234"/>
        <v>81.937697841204141</v>
      </c>
      <c r="O223">
        <f t="shared" ca="1" si="234"/>
        <v>83.820904526593296</v>
      </c>
      <c r="P223">
        <f t="shared" ca="1" si="234"/>
        <v>77.670954896456408</v>
      </c>
      <c r="Q223">
        <f t="shared" ca="1" si="208"/>
        <v>86.12103420674525</v>
      </c>
      <c r="R223">
        <f t="shared" ca="1" si="209"/>
        <v>0</v>
      </c>
      <c r="S223">
        <f t="shared" ca="1" si="210"/>
        <v>0</v>
      </c>
    </row>
    <row r="224" spans="5:19" x14ac:dyDescent="0.75">
      <c r="E224">
        <v>219</v>
      </c>
      <c r="F224">
        <v>100</v>
      </c>
      <c r="G224">
        <f t="shared" ca="1" si="206"/>
        <v>98.02432024079009</v>
      </c>
      <c r="H224">
        <f t="shared" ca="1" si="206"/>
        <v>90.992854323705714</v>
      </c>
      <c r="I224">
        <f t="shared" ca="1" si="206"/>
        <v>97.682969952990945</v>
      </c>
      <c r="J224">
        <f t="shared" ca="1" si="206"/>
        <v>87.106301885410886</v>
      </c>
      <c r="K224">
        <f t="shared" ref="K224:P224" ca="1" si="235">J224*EXP(($C$4-0.5*$C$5^2)*$C$10+$C$5*SQRT($C$10)*NORMINV(RAND(),0,1))</f>
        <v>88.639467973424942</v>
      </c>
      <c r="L224">
        <f t="shared" ca="1" si="235"/>
        <v>88.582336435545344</v>
      </c>
      <c r="M224">
        <f t="shared" ca="1" si="235"/>
        <v>85.857654771290328</v>
      </c>
      <c r="N224">
        <f t="shared" ca="1" si="235"/>
        <v>83.572354203114514</v>
      </c>
      <c r="O224">
        <f t="shared" ca="1" si="235"/>
        <v>84.889913196446557</v>
      </c>
      <c r="P224">
        <f t="shared" ca="1" si="235"/>
        <v>78.825601705247479</v>
      </c>
      <c r="Q224">
        <f t="shared" ca="1" si="208"/>
        <v>89.470343153451523</v>
      </c>
      <c r="R224">
        <f t="shared" ca="1" si="209"/>
        <v>0</v>
      </c>
      <c r="S224">
        <f t="shared" ca="1" si="210"/>
        <v>0</v>
      </c>
    </row>
    <row r="225" spans="5:19" x14ac:dyDescent="0.75">
      <c r="E225">
        <v>220</v>
      </c>
      <c r="F225">
        <v>100</v>
      </c>
      <c r="G225">
        <f t="shared" ca="1" si="206"/>
        <v>110.84282219025337</v>
      </c>
      <c r="H225">
        <f t="shared" ca="1" si="206"/>
        <v>116.9462533950864</v>
      </c>
      <c r="I225">
        <f t="shared" ca="1" si="206"/>
        <v>130.09901228435911</v>
      </c>
      <c r="J225">
        <f t="shared" ca="1" si="206"/>
        <v>135.392358411788</v>
      </c>
      <c r="K225">
        <f t="shared" ref="K225:P225" ca="1" si="236">J225*EXP(($C$4-0.5*$C$5^2)*$C$10+$C$5*SQRT($C$10)*NORMINV(RAND(),0,1))</f>
        <v>134.15671114958798</v>
      </c>
      <c r="L225">
        <f t="shared" ca="1" si="236"/>
        <v>141.49724780579447</v>
      </c>
      <c r="M225">
        <f t="shared" ca="1" si="236"/>
        <v>131.83574349357747</v>
      </c>
      <c r="N225">
        <f t="shared" ca="1" si="236"/>
        <v>138.45392356796776</v>
      </c>
      <c r="O225">
        <f t="shared" ca="1" si="236"/>
        <v>148.01497215268145</v>
      </c>
      <c r="P225">
        <f t="shared" ca="1" si="236"/>
        <v>145.04626801206368</v>
      </c>
      <c r="Q225">
        <f t="shared" ca="1" si="208"/>
        <v>130.20775567846906</v>
      </c>
      <c r="R225">
        <f t="shared" ca="1" si="209"/>
        <v>30.207755678469056</v>
      </c>
      <c r="S225">
        <f t="shared" ca="1" si="210"/>
        <v>29.609602039609971</v>
      </c>
    </row>
    <row r="226" spans="5:19" x14ac:dyDescent="0.75">
      <c r="E226">
        <v>221</v>
      </c>
      <c r="F226">
        <v>100</v>
      </c>
      <c r="G226">
        <f t="shared" ca="1" si="206"/>
        <v>105.49191435746231</v>
      </c>
      <c r="H226">
        <f t="shared" ca="1" si="206"/>
        <v>95.85861101515475</v>
      </c>
      <c r="I226">
        <f t="shared" ca="1" si="206"/>
        <v>104.93891973481269</v>
      </c>
      <c r="J226">
        <f t="shared" ca="1" si="206"/>
        <v>108.1079173632218</v>
      </c>
      <c r="K226">
        <f t="shared" ref="K226:P226" ca="1" si="237">J226*EXP(($C$4-0.5*$C$5^2)*$C$10+$C$5*SQRT($C$10)*NORMINV(RAND(),0,1))</f>
        <v>114.49061382263044</v>
      </c>
      <c r="L226">
        <f t="shared" ca="1" si="237"/>
        <v>103.31439612919677</v>
      </c>
      <c r="M226">
        <f t="shared" ca="1" si="237"/>
        <v>102.27929074397836</v>
      </c>
      <c r="N226">
        <f t="shared" ca="1" si="237"/>
        <v>96.8433934086421</v>
      </c>
      <c r="O226">
        <f t="shared" ca="1" si="237"/>
        <v>96.027922337047912</v>
      </c>
      <c r="P226">
        <f t="shared" ca="1" si="237"/>
        <v>111.46313743746543</v>
      </c>
      <c r="Q226">
        <f t="shared" ca="1" si="208"/>
        <v>103.52873784996477</v>
      </c>
      <c r="R226">
        <f t="shared" ca="1" si="209"/>
        <v>3.5287378499647701</v>
      </c>
      <c r="S226">
        <f t="shared" ca="1" si="210"/>
        <v>3.4588641589827995</v>
      </c>
    </row>
    <row r="227" spans="5:19" x14ac:dyDescent="0.75">
      <c r="E227">
        <v>222</v>
      </c>
      <c r="F227">
        <v>100</v>
      </c>
      <c r="G227">
        <f t="shared" ca="1" si="206"/>
        <v>98.840705917404193</v>
      </c>
      <c r="H227">
        <f t="shared" ca="1" si="206"/>
        <v>106.3193601732481</v>
      </c>
      <c r="I227">
        <f t="shared" ca="1" si="206"/>
        <v>114.56029346096764</v>
      </c>
      <c r="J227">
        <f t="shared" ca="1" si="206"/>
        <v>120.16256693114406</v>
      </c>
      <c r="K227">
        <f t="shared" ref="K227:P227" ca="1" si="238">J227*EXP(($C$4-0.5*$C$5^2)*$C$10+$C$5*SQRT($C$10)*NORMINV(RAND(),0,1))</f>
        <v>130.53493535384666</v>
      </c>
      <c r="L227">
        <f t="shared" ca="1" si="238"/>
        <v>130.18204013446254</v>
      </c>
      <c r="M227">
        <f t="shared" ca="1" si="238"/>
        <v>137.86257414414879</v>
      </c>
      <c r="N227">
        <f t="shared" ca="1" si="238"/>
        <v>135.99443733085664</v>
      </c>
      <c r="O227">
        <f t="shared" ca="1" si="238"/>
        <v>141.82606404719527</v>
      </c>
      <c r="P227">
        <f t="shared" ca="1" si="238"/>
        <v>133.52122049070198</v>
      </c>
      <c r="Q227">
        <f t="shared" ca="1" si="208"/>
        <v>122.70947254399783</v>
      </c>
      <c r="R227">
        <f t="shared" ca="1" si="209"/>
        <v>22.709472543997833</v>
      </c>
      <c r="S227">
        <f t="shared" ca="1" si="210"/>
        <v>22.259794859122859</v>
      </c>
    </row>
    <row r="228" spans="5:19" x14ac:dyDescent="0.75">
      <c r="E228">
        <v>223</v>
      </c>
      <c r="F228">
        <v>100</v>
      </c>
      <c r="G228">
        <f t="shared" ca="1" si="206"/>
        <v>106.09823610673577</v>
      </c>
      <c r="H228">
        <f t="shared" ca="1" si="206"/>
        <v>124.62136725190445</v>
      </c>
      <c r="I228">
        <f t="shared" ca="1" si="206"/>
        <v>139.40153661109187</v>
      </c>
      <c r="J228">
        <f t="shared" ca="1" si="206"/>
        <v>145.92410523783775</v>
      </c>
      <c r="K228">
        <f t="shared" ref="K228:P228" ca="1" si="239">J228*EXP(($C$4-0.5*$C$5^2)*$C$10+$C$5*SQRT($C$10)*NORMINV(RAND(),0,1))</f>
        <v>139.64529572541088</v>
      </c>
      <c r="L228">
        <f t="shared" ca="1" si="239"/>
        <v>144.48943675255373</v>
      </c>
      <c r="M228">
        <f t="shared" ca="1" si="239"/>
        <v>140.36646679175226</v>
      </c>
      <c r="N228">
        <f t="shared" ca="1" si="239"/>
        <v>149.58834359443048</v>
      </c>
      <c r="O228">
        <f t="shared" ca="1" si="239"/>
        <v>149.56853374088959</v>
      </c>
      <c r="P228">
        <f t="shared" ca="1" si="239"/>
        <v>156.54656741889198</v>
      </c>
      <c r="Q228">
        <f t="shared" ca="1" si="208"/>
        <v>136.0227172028635</v>
      </c>
      <c r="R228">
        <f t="shared" ca="1" si="209"/>
        <v>36.022717202863504</v>
      </c>
      <c r="S228">
        <f t="shared" ca="1" si="210"/>
        <v>35.309419611151235</v>
      </c>
    </row>
    <row r="229" spans="5:19" x14ac:dyDescent="0.75">
      <c r="E229">
        <v>224</v>
      </c>
      <c r="F229">
        <v>100</v>
      </c>
      <c r="G229">
        <f t="shared" ca="1" si="206"/>
        <v>100.52302923772709</v>
      </c>
      <c r="H229">
        <f t="shared" ca="1" si="206"/>
        <v>99.258219602794654</v>
      </c>
      <c r="I229">
        <f t="shared" ca="1" si="206"/>
        <v>102.64306360364705</v>
      </c>
      <c r="J229">
        <f t="shared" ca="1" si="206"/>
        <v>118.21215014962239</v>
      </c>
      <c r="K229">
        <f t="shared" ref="K229:P229" ca="1" si="240">J229*EXP(($C$4-0.5*$C$5^2)*$C$10+$C$5*SQRT($C$10)*NORMINV(RAND(),0,1))</f>
        <v>126.98929257574882</v>
      </c>
      <c r="L229">
        <f t="shared" ca="1" si="240"/>
        <v>119.61446401050094</v>
      </c>
      <c r="M229">
        <f t="shared" ca="1" si="240"/>
        <v>122.42942912054313</v>
      </c>
      <c r="N229">
        <f t="shared" ca="1" si="240"/>
        <v>114.66894871042744</v>
      </c>
      <c r="O229">
        <f t="shared" ca="1" si="240"/>
        <v>113.1594709553539</v>
      </c>
      <c r="P229">
        <f t="shared" ca="1" si="240"/>
        <v>109.16360263530942</v>
      </c>
      <c r="Q229">
        <f t="shared" ca="1" si="208"/>
        <v>111.51469732742498</v>
      </c>
      <c r="R229">
        <f t="shared" ca="1" si="209"/>
        <v>11.514697327424983</v>
      </c>
      <c r="S229">
        <f t="shared" ca="1" si="210"/>
        <v>11.286691043870809</v>
      </c>
    </row>
    <row r="230" spans="5:19" x14ac:dyDescent="0.75">
      <c r="E230">
        <v>225</v>
      </c>
      <c r="F230">
        <v>100</v>
      </c>
      <c r="G230">
        <f t="shared" ca="1" si="206"/>
        <v>99.793405009503289</v>
      </c>
      <c r="H230">
        <f t="shared" ca="1" si="206"/>
        <v>102.05526233413917</v>
      </c>
      <c r="I230">
        <f t="shared" ca="1" si="206"/>
        <v>113.60986565011324</v>
      </c>
      <c r="J230">
        <f t="shared" ca="1" si="206"/>
        <v>115.46525994244665</v>
      </c>
      <c r="K230">
        <f t="shared" ref="K230:P230" ca="1" si="241">J230*EXP(($C$4-0.5*$C$5^2)*$C$10+$C$5*SQRT($C$10)*NORMINV(RAND(),0,1))</f>
        <v>102.17091981878636</v>
      </c>
      <c r="L230">
        <f t="shared" ca="1" si="241"/>
        <v>111.03968668809387</v>
      </c>
      <c r="M230">
        <f t="shared" ca="1" si="241"/>
        <v>106.63892621430553</v>
      </c>
      <c r="N230">
        <f t="shared" ca="1" si="241"/>
        <v>105.37934085131987</v>
      </c>
      <c r="O230">
        <f t="shared" ca="1" si="241"/>
        <v>113.84138367526025</v>
      </c>
      <c r="P230">
        <f t="shared" ca="1" si="241"/>
        <v>112.43630057611644</v>
      </c>
      <c r="Q230">
        <f t="shared" ca="1" si="208"/>
        <v>107.4936682509168</v>
      </c>
      <c r="R230">
        <f t="shared" ca="1" si="209"/>
        <v>7.493668250916798</v>
      </c>
      <c r="S230">
        <f t="shared" ca="1" si="210"/>
        <v>7.3452836777495989</v>
      </c>
    </row>
    <row r="231" spans="5:19" x14ac:dyDescent="0.75">
      <c r="E231">
        <v>226</v>
      </c>
      <c r="F231">
        <v>100</v>
      </c>
      <c r="G231">
        <f t="shared" ca="1" si="206"/>
        <v>97.423378812579259</v>
      </c>
      <c r="H231">
        <f t="shared" ca="1" si="206"/>
        <v>91.04307448622734</v>
      </c>
      <c r="I231">
        <f t="shared" ca="1" si="206"/>
        <v>90.354874039018014</v>
      </c>
      <c r="J231">
        <f t="shared" ca="1" si="206"/>
        <v>89.469644961258737</v>
      </c>
      <c r="K231">
        <f t="shared" ref="K231:P231" ca="1" si="242">J231*EXP(($C$4-0.5*$C$5^2)*$C$10+$C$5*SQRT($C$10)*NORMINV(RAND(),0,1))</f>
        <v>85.699256652285882</v>
      </c>
      <c r="L231">
        <f t="shared" ca="1" si="242"/>
        <v>97.258773196810836</v>
      </c>
      <c r="M231">
        <f t="shared" ca="1" si="242"/>
        <v>98.654562489569557</v>
      </c>
      <c r="N231">
        <f t="shared" ca="1" si="242"/>
        <v>97.855678981758771</v>
      </c>
      <c r="O231">
        <f t="shared" ca="1" si="242"/>
        <v>99.507575918947794</v>
      </c>
      <c r="P231">
        <f t="shared" ca="1" si="242"/>
        <v>102.23467479315603</v>
      </c>
      <c r="Q231">
        <f t="shared" ca="1" si="208"/>
        <v>95.409226757419276</v>
      </c>
      <c r="R231">
        <f t="shared" ca="1" si="209"/>
        <v>0</v>
      </c>
      <c r="S231">
        <f t="shared" ca="1" si="210"/>
        <v>0</v>
      </c>
    </row>
    <row r="232" spans="5:19" x14ac:dyDescent="0.75">
      <c r="E232">
        <v>227</v>
      </c>
      <c r="F232">
        <v>100</v>
      </c>
      <c r="G232">
        <f t="shared" ca="1" si="206"/>
        <v>99.682265565807597</v>
      </c>
      <c r="H232">
        <f t="shared" ca="1" si="206"/>
        <v>97.56224758315561</v>
      </c>
      <c r="I232">
        <f t="shared" ca="1" si="206"/>
        <v>95.872758068504652</v>
      </c>
      <c r="J232">
        <f t="shared" ca="1" si="206"/>
        <v>99.707741621934318</v>
      </c>
      <c r="K232">
        <f t="shared" ref="K232:P232" ca="1" si="243">J232*EXP(($C$4-0.5*$C$5^2)*$C$10+$C$5*SQRT($C$10)*NORMINV(RAND(),0,1))</f>
        <v>96.674739098622695</v>
      </c>
      <c r="L232">
        <f t="shared" ca="1" si="243"/>
        <v>92.798014252284162</v>
      </c>
      <c r="M232">
        <f t="shared" ca="1" si="243"/>
        <v>84.982610154329052</v>
      </c>
      <c r="N232">
        <f t="shared" ca="1" si="243"/>
        <v>89.169409785175446</v>
      </c>
      <c r="O232">
        <f t="shared" ca="1" si="243"/>
        <v>94.7546255755326</v>
      </c>
      <c r="P232">
        <f t="shared" ca="1" si="243"/>
        <v>108.89753294730015</v>
      </c>
      <c r="Q232">
        <f t="shared" ca="1" si="208"/>
        <v>96.372904059331489</v>
      </c>
      <c r="R232">
        <f t="shared" ca="1" si="209"/>
        <v>0</v>
      </c>
      <c r="S232">
        <f t="shared" ca="1" si="210"/>
        <v>0</v>
      </c>
    </row>
    <row r="233" spans="5:19" x14ac:dyDescent="0.75">
      <c r="E233">
        <v>228</v>
      </c>
      <c r="F233">
        <v>100</v>
      </c>
      <c r="G233">
        <f t="shared" ca="1" si="206"/>
        <v>100.0613240750498</v>
      </c>
      <c r="H233">
        <f t="shared" ca="1" si="206"/>
        <v>106.11852108461893</v>
      </c>
      <c r="I233">
        <f t="shared" ca="1" si="206"/>
        <v>114.30754656518238</v>
      </c>
      <c r="J233">
        <f t="shared" ca="1" si="206"/>
        <v>118.9015793487528</v>
      </c>
      <c r="K233">
        <f t="shared" ref="K233:P233" ca="1" si="244">J233*EXP(($C$4-0.5*$C$5^2)*$C$10+$C$5*SQRT($C$10)*NORMINV(RAND(),0,1))</f>
        <v>130.98427433442143</v>
      </c>
      <c r="L233">
        <f t="shared" ca="1" si="244"/>
        <v>120.24770398559814</v>
      </c>
      <c r="M233">
        <f t="shared" ca="1" si="244"/>
        <v>122.09807574914829</v>
      </c>
      <c r="N233">
        <f t="shared" ca="1" si="244"/>
        <v>115.06455659449362</v>
      </c>
      <c r="O233">
        <f t="shared" ca="1" si="244"/>
        <v>109.11284023857749</v>
      </c>
      <c r="P233">
        <f t="shared" ca="1" si="244"/>
        <v>113.66007042762851</v>
      </c>
      <c r="Q233">
        <f t="shared" ca="1" si="208"/>
        <v>113.68695385486104</v>
      </c>
      <c r="R233">
        <f t="shared" ca="1" si="209"/>
        <v>13.686953854861045</v>
      </c>
      <c r="S233">
        <f t="shared" ca="1" si="210"/>
        <v>13.415934010145575</v>
      </c>
    </row>
    <row r="234" spans="5:19" x14ac:dyDescent="0.75">
      <c r="E234">
        <v>229</v>
      </c>
      <c r="F234">
        <v>100</v>
      </c>
      <c r="G234">
        <f t="shared" ca="1" si="206"/>
        <v>105.29817244015062</v>
      </c>
      <c r="H234">
        <f t="shared" ca="1" si="206"/>
        <v>108.85303533039625</v>
      </c>
      <c r="I234">
        <f t="shared" ca="1" si="206"/>
        <v>111.70827137255583</v>
      </c>
      <c r="J234">
        <f t="shared" ca="1" si="206"/>
        <v>105.59171861502013</v>
      </c>
      <c r="K234">
        <f t="shared" ref="K234:P234" ca="1" si="245">J234*EXP(($C$4-0.5*$C$5^2)*$C$10+$C$5*SQRT($C$10)*NORMINV(RAND(),0,1))</f>
        <v>103.44869804698808</v>
      </c>
      <c r="L234">
        <f t="shared" ca="1" si="245"/>
        <v>109.79114168337233</v>
      </c>
      <c r="M234">
        <f t="shared" ca="1" si="245"/>
        <v>112.97144853451942</v>
      </c>
      <c r="N234">
        <f t="shared" ca="1" si="245"/>
        <v>117.70552884684327</v>
      </c>
      <c r="O234">
        <f t="shared" ca="1" si="245"/>
        <v>123.9820628107075</v>
      </c>
      <c r="P234">
        <f t="shared" ca="1" si="245"/>
        <v>133.69480575820018</v>
      </c>
      <c r="Q234">
        <f t="shared" ca="1" si="208"/>
        <v>112.09498940352304</v>
      </c>
      <c r="R234">
        <f t="shared" ca="1" si="209"/>
        <v>12.094989403523044</v>
      </c>
      <c r="S234">
        <f t="shared" ca="1" si="210"/>
        <v>11.855492566992551</v>
      </c>
    </row>
    <row r="235" spans="5:19" x14ac:dyDescent="0.75">
      <c r="E235">
        <v>230</v>
      </c>
      <c r="F235">
        <v>100</v>
      </c>
      <c r="G235">
        <f t="shared" ca="1" si="206"/>
        <v>99.765344910491578</v>
      </c>
      <c r="H235">
        <f t="shared" ca="1" si="206"/>
        <v>93.278195615446791</v>
      </c>
      <c r="I235">
        <f t="shared" ca="1" si="206"/>
        <v>86.982966938196299</v>
      </c>
      <c r="J235">
        <f t="shared" ca="1" si="206"/>
        <v>87.105831542438025</v>
      </c>
      <c r="K235">
        <f t="shared" ref="K235:P235" ca="1" si="246">J235*EXP(($C$4-0.5*$C$5^2)*$C$10+$C$5*SQRT($C$10)*NORMINV(RAND(),0,1))</f>
        <v>91.251137222285607</v>
      </c>
      <c r="L235">
        <f t="shared" ca="1" si="246"/>
        <v>78.188672241842923</v>
      </c>
      <c r="M235">
        <f t="shared" ca="1" si="246"/>
        <v>75.793601327174471</v>
      </c>
      <c r="N235">
        <f t="shared" ca="1" si="246"/>
        <v>71.238639393476632</v>
      </c>
      <c r="O235">
        <f t="shared" ca="1" si="246"/>
        <v>80.103918303871424</v>
      </c>
      <c r="P235">
        <f t="shared" ca="1" si="246"/>
        <v>75.82684091964073</v>
      </c>
      <c r="Q235">
        <f t="shared" ca="1" si="208"/>
        <v>85.412286219533129</v>
      </c>
      <c r="R235">
        <f t="shared" ca="1" si="209"/>
        <v>0</v>
      </c>
      <c r="S235">
        <f t="shared" ca="1" si="210"/>
        <v>0</v>
      </c>
    </row>
    <row r="236" spans="5:19" x14ac:dyDescent="0.75">
      <c r="E236">
        <v>231</v>
      </c>
      <c r="F236">
        <v>100</v>
      </c>
      <c r="G236">
        <f t="shared" ca="1" si="206"/>
        <v>98.378325888696651</v>
      </c>
      <c r="H236">
        <f t="shared" ca="1" si="206"/>
        <v>103.26495769744558</v>
      </c>
      <c r="I236">
        <f t="shared" ca="1" si="206"/>
        <v>116.5875888342339</v>
      </c>
      <c r="J236">
        <f t="shared" ca="1" si="206"/>
        <v>106.70670443911754</v>
      </c>
      <c r="K236">
        <f t="shared" ref="K236:P236" ca="1" si="247">J236*EXP(($C$4-0.5*$C$5^2)*$C$10+$C$5*SQRT($C$10)*NORMINV(RAND(),0,1))</f>
        <v>128.93669908816412</v>
      </c>
      <c r="L236">
        <f t="shared" ca="1" si="247"/>
        <v>119.67800312827964</v>
      </c>
      <c r="M236">
        <f t="shared" ca="1" si="247"/>
        <v>124.0110150231634</v>
      </c>
      <c r="N236">
        <f t="shared" ca="1" si="247"/>
        <v>130.73292754311851</v>
      </c>
      <c r="O236">
        <f t="shared" ca="1" si="247"/>
        <v>128.86195020345741</v>
      </c>
      <c r="P236">
        <f t="shared" ca="1" si="247"/>
        <v>126.91833814969844</v>
      </c>
      <c r="Q236">
        <f t="shared" ca="1" si="208"/>
        <v>116.73422818139774</v>
      </c>
      <c r="R236">
        <f t="shared" ca="1" si="209"/>
        <v>16.734228181397739</v>
      </c>
      <c r="S236">
        <f t="shared" ca="1" si="210"/>
        <v>16.402868262218579</v>
      </c>
    </row>
    <row r="237" spans="5:19" x14ac:dyDescent="0.75">
      <c r="E237">
        <v>232</v>
      </c>
      <c r="F237">
        <v>100</v>
      </c>
      <c r="G237">
        <f t="shared" ca="1" si="206"/>
        <v>95.415005095583382</v>
      </c>
      <c r="H237">
        <f t="shared" ca="1" si="206"/>
        <v>93.801083668294538</v>
      </c>
      <c r="I237">
        <f t="shared" ca="1" si="206"/>
        <v>101.70502151280583</v>
      </c>
      <c r="J237">
        <f t="shared" ca="1" si="206"/>
        <v>101.39883451213188</v>
      </c>
      <c r="K237">
        <f t="shared" ref="K237:P237" ca="1" si="248">J237*EXP(($C$4-0.5*$C$5^2)*$C$10+$C$5*SQRT($C$10)*NORMINV(RAND(),0,1))</f>
        <v>102.40057817402018</v>
      </c>
      <c r="L237">
        <f t="shared" ca="1" si="248"/>
        <v>96.807411677062305</v>
      </c>
      <c r="M237">
        <f t="shared" ca="1" si="248"/>
        <v>95.289485599997832</v>
      </c>
      <c r="N237">
        <f t="shared" ca="1" si="248"/>
        <v>94.772284239639134</v>
      </c>
      <c r="O237">
        <f t="shared" ca="1" si="248"/>
        <v>89.81362650272203</v>
      </c>
      <c r="P237">
        <f t="shared" ca="1" si="248"/>
        <v>78.400177686257734</v>
      </c>
      <c r="Q237">
        <f t="shared" ca="1" si="208"/>
        <v>95.436682606228629</v>
      </c>
      <c r="R237">
        <f t="shared" ca="1" si="209"/>
        <v>0</v>
      </c>
      <c r="S237">
        <f t="shared" ca="1" si="210"/>
        <v>0</v>
      </c>
    </row>
    <row r="238" spans="5:19" x14ac:dyDescent="0.75">
      <c r="E238">
        <v>233</v>
      </c>
      <c r="F238">
        <v>100</v>
      </c>
      <c r="G238">
        <f t="shared" ca="1" si="206"/>
        <v>101.20605357189041</v>
      </c>
      <c r="H238">
        <f t="shared" ca="1" si="206"/>
        <v>104.30889625275775</v>
      </c>
      <c r="I238">
        <f t="shared" ca="1" si="206"/>
        <v>102.25414024942788</v>
      </c>
      <c r="J238">
        <f t="shared" ca="1" si="206"/>
        <v>111.12401966271868</v>
      </c>
      <c r="K238">
        <f t="shared" ref="K238:P238" ca="1" si="249">J238*EXP(($C$4-0.5*$C$5^2)*$C$10+$C$5*SQRT($C$10)*NORMINV(RAND(),0,1))</f>
        <v>112.0245340319555</v>
      </c>
      <c r="L238">
        <f t="shared" ca="1" si="249"/>
        <v>110.73432067982107</v>
      </c>
      <c r="M238">
        <f t="shared" ca="1" si="249"/>
        <v>128.05622829819112</v>
      </c>
      <c r="N238">
        <f t="shared" ca="1" si="249"/>
        <v>130.93944097317771</v>
      </c>
      <c r="O238">
        <f t="shared" ca="1" si="249"/>
        <v>131.85618222034535</v>
      </c>
      <c r="P238">
        <f t="shared" ca="1" si="249"/>
        <v>127.46161132255328</v>
      </c>
      <c r="Q238">
        <f t="shared" ca="1" si="208"/>
        <v>114.54231156934898</v>
      </c>
      <c r="R238">
        <f t="shared" ca="1" si="209"/>
        <v>14.542311569348982</v>
      </c>
      <c r="S238">
        <f t="shared" ca="1" si="210"/>
        <v>14.254354507089349</v>
      </c>
    </row>
    <row r="239" spans="5:19" x14ac:dyDescent="0.75">
      <c r="E239">
        <v>234</v>
      </c>
      <c r="F239">
        <v>100</v>
      </c>
      <c r="G239">
        <f t="shared" ca="1" si="206"/>
        <v>98.879894355778447</v>
      </c>
      <c r="H239">
        <f t="shared" ca="1" si="206"/>
        <v>110.82936127034679</v>
      </c>
      <c r="I239">
        <f t="shared" ca="1" si="206"/>
        <v>104.70416840392737</v>
      </c>
      <c r="J239">
        <f t="shared" ca="1" si="206"/>
        <v>98.650437364531015</v>
      </c>
      <c r="K239">
        <f t="shared" ref="K239:P239" ca="1" si="250">J239*EXP(($C$4-0.5*$C$5^2)*$C$10+$C$5*SQRT($C$10)*NORMINV(RAND(),0,1))</f>
        <v>102.79140358217651</v>
      </c>
      <c r="L239">
        <f t="shared" ca="1" si="250"/>
        <v>105.12170377619299</v>
      </c>
      <c r="M239">
        <f t="shared" ca="1" si="250"/>
        <v>97.371848350571909</v>
      </c>
      <c r="N239">
        <f t="shared" ca="1" si="250"/>
        <v>103.54637944587093</v>
      </c>
      <c r="O239">
        <f t="shared" ca="1" si="250"/>
        <v>102.151144125274</v>
      </c>
      <c r="P239">
        <f t="shared" ca="1" si="250"/>
        <v>94.046786892900158</v>
      </c>
      <c r="Q239">
        <f t="shared" ca="1" si="208"/>
        <v>101.64482977887</v>
      </c>
      <c r="R239">
        <f t="shared" ca="1" si="209"/>
        <v>1.6448297788700046</v>
      </c>
      <c r="S239">
        <f t="shared" ca="1" si="210"/>
        <v>1.612259967063822</v>
      </c>
    </row>
    <row r="240" spans="5:19" x14ac:dyDescent="0.75">
      <c r="E240">
        <v>235</v>
      </c>
      <c r="F240">
        <v>100</v>
      </c>
      <c r="G240">
        <f t="shared" ca="1" si="206"/>
        <v>101.52633419690824</v>
      </c>
      <c r="H240">
        <f t="shared" ca="1" si="206"/>
        <v>100.84007852727495</v>
      </c>
      <c r="I240">
        <f t="shared" ca="1" si="206"/>
        <v>108.1584366548167</v>
      </c>
      <c r="J240">
        <f t="shared" ca="1" si="206"/>
        <v>98.966710151305222</v>
      </c>
      <c r="K240">
        <f t="shared" ref="K240:P240" ca="1" si="251">J240*EXP(($C$4-0.5*$C$5^2)*$C$10+$C$5*SQRT($C$10)*NORMINV(RAND(),0,1))</f>
        <v>107.13525238841365</v>
      </c>
      <c r="L240">
        <f t="shared" ca="1" si="251"/>
        <v>117.42680205681015</v>
      </c>
      <c r="M240">
        <f t="shared" ca="1" si="251"/>
        <v>119.94799162397027</v>
      </c>
      <c r="N240">
        <f t="shared" ca="1" si="251"/>
        <v>110.77774800474624</v>
      </c>
      <c r="O240">
        <f t="shared" ca="1" si="251"/>
        <v>117.62318598710858</v>
      </c>
      <c r="P240">
        <f t="shared" ca="1" si="251"/>
        <v>116.08271671450858</v>
      </c>
      <c r="Q240">
        <f t="shared" ca="1" si="208"/>
        <v>108.95320511871478</v>
      </c>
      <c r="R240">
        <f t="shared" ca="1" si="209"/>
        <v>8.9532051187147772</v>
      </c>
      <c r="S240">
        <f t="shared" ca="1" si="210"/>
        <v>8.7759197792074755</v>
      </c>
    </row>
    <row r="241" spans="5:19" x14ac:dyDescent="0.75">
      <c r="E241">
        <v>236</v>
      </c>
      <c r="F241">
        <v>100</v>
      </c>
      <c r="G241">
        <f t="shared" ca="1" si="206"/>
        <v>96.077984753402518</v>
      </c>
      <c r="H241">
        <f t="shared" ca="1" si="206"/>
        <v>95.029735647080386</v>
      </c>
      <c r="I241">
        <f t="shared" ca="1" si="206"/>
        <v>97.916847823834601</v>
      </c>
      <c r="J241">
        <f t="shared" ca="1" si="206"/>
        <v>99.361860409305976</v>
      </c>
      <c r="K241">
        <f t="shared" ref="K241:P241" ca="1" si="252">J241*EXP(($C$4-0.5*$C$5^2)*$C$10+$C$5*SQRT($C$10)*NORMINV(RAND(),0,1))</f>
        <v>96.430912850985095</v>
      </c>
      <c r="L241">
        <f t="shared" ca="1" si="252"/>
        <v>89.712717037408694</v>
      </c>
      <c r="M241">
        <f t="shared" ca="1" si="252"/>
        <v>84.382457914978218</v>
      </c>
      <c r="N241">
        <f t="shared" ca="1" si="252"/>
        <v>82.405695089317234</v>
      </c>
      <c r="O241">
        <f t="shared" ca="1" si="252"/>
        <v>83.724209726528727</v>
      </c>
      <c r="P241">
        <f t="shared" ca="1" si="252"/>
        <v>83.350139932912441</v>
      </c>
      <c r="Q241">
        <f t="shared" ca="1" si="208"/>
        <v>91.672051016886698</v>
      </c>
      <c r="R241">
        <f t="shared" ca="1" si="209"/>
        <v>0</v>
      </c>
      <c r="S241">
        <f t="shared" ca="1" si="210"/>
        <v>0</v>
      </c>
    </row>
    <row r="242" spans="5:19" x14ac:dyDescent="0.75">
      <c r="E242">
        <v>237</v>
      </c>
      <c r="F242">
        <v>100</v>
      </c>
      <c r="G242">
        <f t="shared" ca="1" si="206"/>
        <v>103.82727713513577</v>
      </c>
      <c r="H242">
        <f t="shared" ca="1" si="206"/>
        <v>100.29646189893234</v>
      </c>
      <c r="I242">
        <f t="shared" ca="1" si="206"/>
        <v>104.71507502954151</v>
      </c>
      <c r="J242">
        <f t="shared" ca="1" si="206"/>
        <v>107.01738617040661</v>
      </c>
      <c r="K242">
        <f t="shared" ref="K242:P242" ca="1" si="253">J242*EXP(($C$4-0.5*$C$5^2)*$C$10+$C$5*SQRT($C$10)*NORMINV(RAND(),0,1))</f>
        <v>116.93793785441187</v>
      </c>
      <c r="L242">
        <f t="shared" ca="1" si="253"/>
        <v>119.21915040019785</v>
      </c>
      <c r="M242">
        <f t="shared" ca="1" si="253"/>
        <v>116.00219187372089</v>
      </c>
      <c r="N242">
        <f t="shared" ca="1" si="253"/>
        <v>116.11843281593065</v>
      </c>
      <c r="O242">
        <f t="shared" ca="1" si="253"/>
        <v>119.31183404425335</v>
      </c>
      <c r="P242">
        <f t="shared" ca="1" si="253"/>
        <v>113.793230482242</v>
      </c>
      <c r="Q242">
        <f t="shared" ca="1" si="208"/>
        <v>110.65808888225206</v>
      </c>
      <c r="R242">
        <f t="shared" ca="1" si="209"/>
        <v>10.658088882252059</v>
      </c>
      <c r="S242">
        <f t="shared" ca="1" si="210"/>
        <v>10.447044582368946</v>
      </c>
    </row>
    <row r="243" spans="5:19" x14ac:dyDescent="0.75">
      <c r="E243">
        <v>238</v>
      </c>
      <c r="F243">
        <v>100</v>
      </c>
      <c r="G243">
        <f t="shared" ca="1" si="206"/>
        <v>95.639866145649137</v>
      </c>
      <c r="H243">
        <f t="shared" ca="1" si="206"/>
        <v>93.395779258166385</v>
      </c>
      <c r="I243">
        <f t="shared" ca="1" si="206"/>
        <v>85.301277954402437</v>
      </c>
      <c r="J243">
        <f t="shared" ca="1" si="206"/>
        <v>79.777627391118799</v>
      </c>
      <c r="K243">
        <f t="shared" ref="K243:P243" ca="1" si="254">J243*EXP(($C$4-0.5*$C$5^2)*$C$10+$C$5*SQRT($C$10)*NORMINV(RAND(),0,1))</f>
        <v>85.12190437741657</v>
      </c>
      <c r="L243">
        <f t="shared" ca="1" si="254"/>
        <v>91.364091096653951</v>
      </c>
      <c r="M243">
        <f t="shared" ca="1" si="254"/>
        <v>84.102545343066154</v>
      </c>
      <c r="N243">
        <f t="shared" ca="1" si="254"/>
        <v>77.688971100154845</v>
      </c>
      <c r="O243">
        <f t="shared" ca="1" si="254"/>
        <v>80.027925652657927</v>
      </c>
      <c r="P243">
        <f t="shared" ca="1" si="254"/>
        <v>80.862388203564194</v>
      </c>
      <c r="Q243">
        <f t="shared" ca="1" si="208"/>
        <v>86.662034229350041</v>
      </c>
      <c r="R243">
        <f t="shared" ca="1" si="209"/>
        <v>0</v>
      </c>
      <c r="S243">
        <f t="shared" ca="1" si="210"/>
        <v>0</v>
      </c>
    </row>
    <row r="244" spans="5:19" x14ac:dyDescent="0.75">
      <c r="E244">
        <v>239</v>
      </c>
      <c r="F244">
        <v>100</v>
      </c>
      <c r="G244">
        <f t="shared" ca="1" si="206"/>
        <v>99.016172928282572</v>
      </c>
      <c r="H244">
        <f t="shared" ca="1" si="206"/>
        <v>96.477034516466077</v>
      </c>
      <c r="I244">
        <f t="shared" ca="1" si="206"/>
        <v>94.840506783794623</v>
      </c>
      <c r="J244">
        <f t="shared" ca="1" si="206"/>
        <v>95.885539949361686</v>
      </c>
      <c r="K244">
        <f t="shared" ref="K244:P244" ca="1" si="255">J244*EXP(($C$4-0.5*$C$5^2)*$C$10+$C$5*SQRT($C$10)*NORMINV(RAND(),0,1))</f>
        <v>103.25985641830442</v>
      </c>
      <c r="L244">
        <f t="shared" ca="1" si="255"/>
        <v>115.14706183970384</v>
      </c>
      <c r="M244">
        <f t="shared" ca="1" si="255"/>
        <v>115.10434053913113</v>
      </c>
      <c r="N244">
        <f t="shared" ca="1" si="255"/>
        <v>113.56995094308144</v>
      </c>
      <c r="O244">
        <f t="shared" ca="1" si="255"/>
        <v>117.69093739291546</v>
      </c>
      <c r="P244">
        <f t="shared" ca="1" si="255"/>
        <v>117.40376106927272</v>
      </c>
      <c r="Q244">
        <f t="shared" ca="1" si="208"/>
        <v>106.21774203457402</v>
      </c>
      <c r="R244">
        <f t="shared" ca="1" si="209"/>
        <v>6.217742034574016</v>
      </c>
      <c r="S244">
        <f t="shared" ca="1" si="210"/>
        <v>6.0946224932530955</v>
      </c>
    </row>
    <row r="245" spans="5:19" x14ac:dyDescent="0.75">
      <c r="E245">
        <v>240</v>
      </c>
      <c r="F245">
        <v>100</v>
      </c>
      <c r="G245">
        <f t="shared" ca="1" si="206"/>
        <v>94.454604869504493</v>
      </c>
      <c r="H245">
        <f t="shared" ca="1" si="206"/>
        <v>95.091635573258699</v>
      </c>
      <c r="I245">
        <f t="shared" ca="1" si="206"/>
        <v>90.678011684141453</v>
      </c>
      <c r="J245">
        <f t="shared" ca="1" si="206"/>
        <v>92.350862241482076</v>
      </c>
      <c r="K245">
        <f t="shared" ref="K245:P245" ca="1" si="256">J245*EXP(($C$4-0.5*$C$5^2)*$C$10+$C$5*SQRT($C$10)*NORMINV(RAND(),0,1))</f>
        <v>87.172376718627547</v>
      </c>
      <c r="L245">
        <f t="shared" ca="1" si="256"/>
        <v>97.319180202481036</v>
      </c>
      <c r="M245">
        <f t="shared" ca="1" si="256"/>
        <v>93.575990933434113</v>
      </c>
      <c r="N245">
        <f t="shared" ca="1" si="256"/>
        <v>90.202944900345585</v>
      </c>
      <c r="O245">
        <f t="shared" ca="1" si="256"/>
        <v>90.608734608356841</v>
      </c>
      <c r="P245">
        <f t="shared" ca="1" si="256"/>
        <v>96.346530668254005</v>
      </c>
      <c r="Q245">
        <f t="shared" ca="1" si="208"/>
        <v>93.436442945444156</v>
      </c>
      <c r="R245">
        <f t="shared" ca="1" si="209"/>
        <v>0</v>
      </c>
      <c r="S245">
        <f t="shared" ca="1" si="210"/>
        <v>0</v>
      </c>
    </row>
    <row r="246" spans="5:19" x14ac:dyDescent="0.75">
      <c r="E246">
        <v>241</v>
      </c>
      <c r="F246">
        <v>100</v>
      </c>
      <c r="G246">
        <f t="shared" ca="1" si="206"/>
        <v>84.147410682822326</v>
      </c>
      <c r="H246">
        <f t="shared" ca="1" si="206"/>
        <v>78.813052335384825</v>
      </c>
      <c r="I246">
        <f t="shared" ca="1" si="206"/>
        <v>78.75887450489688</v>
      </c>
      <c r="J246">
        <f t="shared" ca="1" si="206"/>
        <v>76.464156858823969</v>
      </c>
      <c r="K246">
        <f t="shared" ref="K246:P246" ca="1" si="257">J246*EXP(($C$4-0.5*$C$5^2)*$C$10+$C$5*SQRT($C$10)*NORMINV(RAND(),0,1))</f>
        <v>77.669751518559494</v>
      </c>
      <c r="L246">
        <f t="shared" ca="1" si="257"/>
        <v>79.870318511973537</v>
      </c>
      <c r="M246">
        <f t="shared" ca="1" si="257"/>
        <v>79.324175882206973</v>
      </c>
      <c r="N246">
        <f t="shared" ca="1" si="257"/>
        <v>78.201046973300834</v>
      </c>
      <c r="O246">
        <f t="shared" ca="1" si="257"/>
        <v>82.567956847973889</v>
      </c>
      <c r="P246">
        <f t="shared" ca="1" si="257"/>
        <v>82.391827293469049</v>
      </c>
      <c r="Q246">
        <f t="shared" ca="1" si="208"/>
        <v>81.655324673582896</v>
      </c>
      <c r="R246">
        <f t="shared" ca="1" si="209"/>
        <v>0</v>
      </c>
      <c r="S246">
        <f t="shared" ca="1" si="210"/>
        <v>0</v>
      </c>
    </row>
    <row r="247" spans="5:19" x14ac:dyDescent="0.75">
      <c r="E247">
        <v>242</v>
      </c>
      <c r="F247">
        <v>100</v>
      </c>
      <c r="G247">
        <f t="shared" ca="1" si="206"/>
        <v>102.24249250608683</v>
      </c>
      <c r="H247">
        <f t="shared" ca="1" si="206"/>
        <v>106.82684513380974</v>
      </c>
      <c r="I247">
        <f t="shared" ca="1" si="206"/>
        <v>107.84798668115928</v>
      </c>
      <c r="J247">
        <f t="shared" ca="1" si="206"/>
        <v>97.794390988984347</v>
      </c>
      <c r="K247">
        <f t="shared" ref="K247:P247" ca="1" si="258">J247*EXP(($C$4-0.5*$C$5^2)*$C$10+$C$5*SQRT($C$10)*NORMINV(RAND(),0,1))</f>
        <v>95.913664974897898</v>
      </c>
      <c r="L247">
        <f t="shared" ca="1" si="258"/>
        <v>103.43819452358721</v>
      </c>
      <c r="M247">
        <f t="shared" ca="1" si="258"/>
        <v>108.56724900261975</v>
      </c>
      <c r="N247">
        <f t="shared" ca="1" si="258"/>
        <v>105.6608052398623</v>
      </c>
      <c r="O247">
        <f t="shared" ca="1" si="258"/>
        <v>111.53558259760591</v>
      </c>
      <c r="P247">
        <f t="shared" ca="1" si="258"/>
        <v>109.96542336283629</v>
      </c>
      <c r="Q247">
        <f t="shared" ca="1" si="208"/>
        <v>104.52660318285903</v>
      </c>
      <c r="R247">
        <f t="shared" ca="1" si="209"/>
        <v>4.5266031828590343</v>
      </c>
      <c r="S247">
        <f t="shared" ca="1" si="210"/>
        <v>4.4369704344245608</v>
      </c>
    </row>
    <row r="248" spans="5:19" x14ac:dyDescent="0.75">
      <c r="E248">
        <v>243</v>
      </c>
      <c r="F248">
        <v>100</v>
      </c>
      <c r="G248">
        <f t="shared" ca="1" si="206"/>
        <v>98.411106994423562</v>
      </c>
      <c r="H248">
        <f t="shared" ca="1" si="206"/>
        <v>103.16467798001678</v>
      </c>
      <c r="I248">
        <f t="shared" ca="1" si="206"/>
        <v>103.36729357690103</v>
      </c>
      <c r="J248">
        <f t="shared" ca="1" si="206"/>
        <v>116.75211681377594</v>
      </c>
      <c r="K248">
        <f t="shared" ref="K248:P248" ca="1" si="259">J248*EXP(($C$4-0.5*$C$5^2)*$C$10+$C$5*SQRT($C$10)*NORMINV(RAND(),0,1))</f>
        <v>120.8115046990642</v>
      </c>
      <c r="L248">
        <f t="shared" ca="1" si="259"/>
        <v>129.19485971593579</v>
      </c>
      <c r="M248">
        <f t="shared" ca="1" si="259"/>
        <v>124.31320561348006</v>
      </c>
      <c r="N248">
        <f t="shared" ca="1" si="259"/>
        <v>115.72392771231726</v>
      </c>
      <c r="O248">
        <f t="shared" ca="1" si="259"/>
        <v>112.91330212588298</v>
      </c>
      <c r="P248">
        <f t="shared" ca="1" si="259"/>
        <v>118.10351765517231</v>
      </c>
      <c r="Q248">
        <f t="shared" ca="1" si="208"/>
        <v>112.97777389881544</v>
      </c>
      <c r="R248">
        <f t="shared" ca="1" si="209"/>
        <v>12.977773898815443</v>
      </c>
      <c r="S248">
        <f t="shared" ca="1" si="210"/>
        <v>12.720796758093933</v>
      </c>
    </row>
    <row r="249" spans="5:19" x14ac:dyDescent="0.75">
      <c r="E249">
        <v>244</v>
      </c>
      <c r="F249">
        <v>100</v>
      </c>
      <c r="G249">
        <f t="shared" ca="1" si="206"/>
        <v>99.802442607703483</v>
      </c>
      <c r="H249">
        <f t="shared" ca="1" si="206"/>
        <v>99.121121588063048</v>
      </c>
      <c r="I249">
        <f t="shared" ca="1" si="206"/>
        <v>96.37649258747426</v>
      </c>
      <c r="J249">
        <f t="shared" ca="1" si="206"/>
        <v>87.670540056053881</v>
      </c>
      <c r="K249">
        <f t="shared" ref="K249:P249" ca="1" si="260">J249*EXP(($C$4-0.5*$C$5^2)*$C$10+$C$5*SQRT($C$10)*NORMINV(RAND(),0,1))</f>
        <v>90.328937417754133</v>
      </c>
      <c r="L249">
        <f t="shared" ca="1" si="260"/>
        <v>90.544124183356217</v>
      </c>
      <c r="M249">
        <f t="shared" ca="1" si="260"/>
        <v>89.443834979939354</v>
      </c>
      <c r="N249">
        <f t="shared" ca="1" si="260"/>
        <v>91.939012147715786</v>
      </c>
      <c r="O249">
        <f t="shared" ca="1" si="260"/>
        <v>103.0865655690769</v>
      </c>
      <c r="P249">
        <f t="shared" ca="1" si="260"/>
        <v>111.27459207512857</v>
      </c>
      <c r="Q249">
        <f t="shared" ca="1" si="208"/>
        <v>96.326151201115039</v>
      </c>
      <c r="R249">
        <f t="shared" ca="1" si="209"/>
        <v>0</v>
      </c>
      <c r="S249">
        <f t="shared" ca="1" si="210"/>
        <v>0</v>
      </c>
    </row>
    <row r="250" spans="5:19" x14ac:dyDescent="0.75">
      <c r="E250">
        <v>245</v>
      </c>
      <c r="F250">
        <v>100</v>
      </c>
      <c r="G250">
        <f t="shared" ca="1" si="206"/>
        <v>92.459443579937457</v>
      </c>
      <c r="H250">
        <f t="shared" ca="1" si="206"/>
        <v>88.345780553137658</v>
      </c>
      <c r="I250">
        <f t="shared" ca="1" si="206"/>
        <v>90.38718676439764</v>
      </c>
      <c r="J250">
        <f t="shared" ca="1" si="206"/>
        <v>91.921941427517652</v>
      </c>
      <c r="K250">
        <f t="shared" ref="K250:P250" ca="1" si="261">J250*EXP(($C$4-0.5*$C$5^2)*$C$10+$C$5*SQRT($C$10)*NORMINV(RAND(),0,1))</f>
        <v>98.136637732798903</v>
      </c>
      <c r="L250">
        <f t="shared" ca="1" si="261"/>
        <v>106.97799748185707</v>
      </c>
      <c r="M250">
        <f t="shared" ca="1" si="261"/>
        <v>111.66045627651998</v>
      </c>
      <c r="N250">
        <f t="shared" ca="1" si="261"/>
        <v>100.62572569599024</v>
      </c>
      <c r="O250">
        <f t="shared" ca="1" si="261"/>
        <v>114.68358160756281</v>
      </c>
      <c r="P250">
        <f t="shared" ca="1" si="261"/>
        <v>106.87023646377197</v>
      </c>
      <c r="Q250">
        <f t="shared" ca="1" si="208"/>
        <v>100.1880897803174</v>
      </c>
      <c r="R250">
        <f t="shared" ca="1" si="209"/>
        <v>0.18808978031739798</v>
      </c>
      <c r="S250">
        <f t="shared" ca="1" si="210"/>
        <v>0.18436535312967256</v>
      </c>
    </row>
    <row r="251" spans="5:19" x14ac:dyDescent="0.75">
      <c r="E251">
        <v>246</v>
      </c>
      <c r="F251">
        <v>100</v>
      </c>
      <c r="G251">
        <f t="shared" ca="1" si="206"/>
        <v>99.218652803698987</v>
      </c>
      <c r="H251">
        <f t="shared" ca="1" si="206"/>
        <v>104.04211161601252</v>
      </c>
      <c r="I251">
        <f t="shared" ca="1" si="206"/>
        <v>113.83604607835551</v>
      </c>
      <c r="J251">
        <f t="shared" ca="1" si="206"/>
        <v>112.9890921380851</v>
      </c>
      <c r="K251">
        <f t="shared" ref="K251:P251" ca="1" si="262">J251*EXP(($C$4-0.5*$C$5^2)*$C$10+$C$5*SQRT($C$10)*NORMINV(RAND(),0,1))</f>
        <v>99.945791554381529</v>
      </c>
      <c r="L251">
        <f t="shared" ca="1" si="262"/>
        <v>105.35221321973496</v>
      </c>
      <c r="M251">
        <f t="shared" ca="1" si="262"/>
        <v>96.539746996332042</v>
      </c>
      <c r="N251">
        <f t="shared" ca="1" si="262"/>
        <v>89.032060877557953</v>
      </c>
      <c r="O251">
        <f t="shared" ca="1" si="262"/>
        <v>87.020779287566484</v>
      </c>
      <c r="P251">
        <f t="shared" ca="1" si="262"/>
        <v>84.041965027136243</v>
      </c>
      <c r="Q251">
        <f t="shared" ca="1" si="208"/>
        <v>99.274405418078288</v>
      </c>
      <c r="R251">
        <f t="shared" ca="1" si="209"/>
        <v>0</v>
      </c>
      <c r="S251">
        <f t="shared" ca="1" si="210"/>
        <v>0</v>
      </c>
    </row>
    <row r="252" spans="5:19" x14ac:dyDescent="0.75">
      <c r="E252">
        <v>247</v>
      </c>
      <c r="F252">
        <v>100</v>
      </c>
      <c r="G252">
        <f t="shared" ca="1" si="206"/>
        <v>98.559861711560444</v>
      </c>
      <c r="H252">
        <f t="shared" ca="1" si="206"/>
        <v>98.300315343643817</v>
      </c>
      <c r="I252">
        <f t="shared" ca="1" si="206"/>
        <v>98.970367416216519</v>
      </c>
      <c r="J252">
        <f t="shared" ca="1" si="206"/>
        <v>91.910577044254055</v>
      </c>
      <c r="K252">
        <f t="shared" ref="K252:P252" ca="1" si="263">J252*EXP(($C$4-0.5*$C$5^2)*$C$10+$C$5*SQRT($C$10)*NORMINV(RAND(),0,1))</f>
        <v>87.320450334162189</v>
      </c>
      <c r="L252">
        <f t="shared" ca="1" si="263"/>
        <v>87.259125168117635</v>
      </c>
      <c r="M252">
        <f t="shared" ca="1" si="263"/>
        <v>97.397604788672737</v>
      </c>
      <c r="N252">
        <f t="shared" ca="1" si="263"/>
        <v>99.14416093381152</v>
      </c>
      <c r="O252">
        <f t="shared" ca="1" si="263"/>
        <v>93.945219119477429</v>
      </c>
      <c r="P252">
        <f t="shared" ca="1" si="263"/>
        <v>95.989950663808784</v>
      </c>
      <c r="Q252">
        <f t="shared" ca="1" si="208"/>
        <v>95.345239320338663</v>
      </c>
      <c r="R252">
        <f t="shared" ca="1" si="209"/>
        <v>0</v>
      </c>
      <c r="S252">
        <f t="shared" ca="1" si="210"/>
        <v>0</v>
      </c>
    </row>
    <row r="253" spans="5:19" x14ac:dyDescent="0.75">
      <c r="E253">
        <v>248</v>
      </c>
      <c r="F253">
        <v>100</v>
      </c>
      <c r="G253">
        <f t="shared" ca="1" si="206"/>
        <v>101.10869704445746</v>
      </c>
      <c r="H253">
        <f t="shared" ca="1" si="206"/>
        <v>106.40245228274219</v>
      </c>
      <c r="I253">
        <f t="shared" ca="1" si="206"/>
        <v>112.09373117542461</v>
      </c>
      <c r="J253">
        <f t="shared" ca="1" si="206"/>
        <v>118.00295130718359</v>
      </c>
      <c r="K253">
        <f t="shared" ref="K253:P253" ca="1" si="264">J253*EXP(($C$4-0.5*$C$5^2)*$C$10+$C$5*SQRT($C$10)*NORMINV(RAND(),0,1))</f>
        <v>124.31338334361193</v>
      </c>
      <c r="L253">
        <f t="shared" ca="1" si="264"/>
        <v>116.07740940511815</v>
      </c>
      <c r="M253">
        <f t="shared" ca="1" si="264"/>
        <v>114.52051482718812</v>
      </c>
      <c r="N253">
        <f t="shared" ca="1" si="264"/>
        <v>110.04791484457246</v>
      </c>
      <c r="O253">
        <f t="shared" ca="1" si="264"/>
        <v>111.68236717669565</v>
      </c>
      <c r="P253">
        <f t="shared" ca="1" si="264"/>
        <v>99.878954405341943</v>
      </c>
      <c r="Q253">
        <f t="shared" ca="1" si="208"/>
        <v>110.37530689203055</v>
      </c>
      <c r="R253">
        <f t="shared" ca="1" si="209"/>
        <v>10.375306892030551</v>
      </c>
      <c r="S253">
        <f t="shared" ca="1" si="210"/>
        <v>10.16986205071878</v>
      </c>
    </row>
    <row r="254" spans="5:19" x14ac:dyDescent="0.75">
      <c r="E254">
        <v>249</v>
      </c>
      <c r="F254">
        <v>100</v>
      </c>
      <c r="G254">
        <f t="shared" ca="1" si="206"/>
        <v>100.29358091631127</v>
      </c>
      <c r="H254">
        <f t="shared" ca="1" si="206"/>
        <v>95.882425071086303</v>
      </c>
      <c r="I254">
        <f t="shared" ca="1" si="206"/>
        <v>84.675980540084922</v>
      </c>
      <c r="J254">
        <f t="shared" ca="1" si="206"/>
        <v>85.205363093141202</v>
      </c>
      <c r="K254">
        <f t="shared" ref="K254:P254" ca="1" si="265">J254*EXP(($C$4-0.5*$C$5^2)*$C$10+$C$5*SQRT($C$10)*NORMINV(RAND(),0,1))</f>
        <v>89.252165959023813</v>
      </c>
      <c r="L254">
        <f t="shared" ca="1" si="265"/>
        <v>84.714955213112319</v>
      </c>
      <c r="M254">
        <f t="shared" ca="1" si="265"/>
        <v>84.229935077318004</v>
      </c>
      <c r="N254">
        <f t="shared" ca="1" si="265"/>
        <v>81.805552158407238</v>
      </c>
      <c r="O254">
        <f t="shared" ca="1" si="265"/>
        <v>85.27524245482094</v>
      </c>
      <c r="P254">
        <f t="shared" ca="1" si="265"/>
        <v>85.096879069894769</v>
      </c>
      <c r="Q254">
        <f t="shared" ca="1" si="208"/>
        <v>88.766552686654606</v>
      </c>
      <c r="R254">
        <f t="shared" ca="1" si="209"/>
        <v>0</v>
      </c>
      <c r="S254">
        <f t="shared" ca="1" si="210"/>
        <v>0</v>
      </c>
    </row>
    <row r="255" spans="5:19" x14ac:dyDescent="0.75">
      <c r="E255">
        <v>250</v>
      </c>
      <c r="F255">
        <v>100</v>
      </c>
      <c r="G255">
        <f t="shared" ca="1" si="206"/>
        <v>90.657971306043152</v>
      </c>
      <c r="H255">
        <f t="shared" ca="1" si="206"/>
        <v>93.293247148808817</v>
      </c>
      <c r="I255">
        <f t="shared" ca="1" si="206"/>
        <v>85.043379643288006</v>
      </c>
      <c r="J255">
        <f t="shared" ca="1" si="206"/>
        <v>81.151979095920197</v>
      </c>
      <c r="K255">
        <f t="shared" ref="K255:P255" ca="1" si="266">J255*EXP(($C$4-0.5*$C$5^2)*$C$10+$C$5*SQRT($C$10)*NORMINV(RAND(),0,1))</f>
        <v>75.800267376736869</v>
      </c>
      <c r="L255">
        <f t="shared" ca="1" si="266"/>
        <v>75.514387405754931</v>
      </c>
      <c r="M255">
        <f t="shared" ca="1" si="266"/>
        <v>76.641265549007414</v>
      </c>
      <c r="N255">
        <f t="shared" ca="1" si="266"/>
        <v>76.468877240992498</v>
      </c>
      <c r="O255">
        <f t="shared" ca="1" si="266"/>
        <v>73.506133601173602</v>
      </c>
      <c r="P255">
        <f t="shared" ca="1" si="266"/>
        <v>67.603236641726298</v>
      </c>
      <c r="Q255">
        <f t="shared" ca="1" si="208"/>
        <v>81.425522273586523</v>
      </c>
      <c r="R255">
        <f t="shared" ca="1" si="209"/>
        <v>0</v>
      </c>
      <c r="S255">
        <f t="shared" ca="1" si="210"/>
        <v>0</v>
      </c>
    </row>
    <row r="256" spans="5:19" x14ac:dyDescent="0.75">
      <c r="E256">
        <v>251</v>
      </c>
      <c r="F256">
        <v>100</v>
      </c>
      <c r="G256">
        <f t="shared" ca="1" si="206"/>
        <v>91.372512448817005</v>
      </c>
      <c r="H256">
        <f t="shared" ca="1" si="206"/>
        <v>90.024309841768996</v>
      </c>
      <c r="I256">
        <f t="shared" ca="1" si="206"/>
        <v>93.841583539660576</v>
      </c>
      <c r="J256">
        <f t="shared" ca="1" si="206"/>
        <v>98.747264846901871</v>
      </c>
      <c r="K256">
        <f t="shared" ref="K256:P256" ca="1" si="267">J256*EXP(($C$4-0.5*$C$5^2)*$C$10+$C$5*SQRT($C$10)*NORMINV(RAND(),0,1))</f>
        <v>96.080606251556944</v>
      </c>
      <c r="L256">
        <f t="shared" ca="1" si="267"/>
        <v>101.86824555016686</v>
      </c>
      <c r="M256">
        <f t="shared" ca="1" si="267"/>
        <v>98.617303669872925</v>
      </c>
      <c r="N256">
        <f t="shared" ca="1" si="267"/>
        <v>98.061745877005066</v>
      </c>
      <c r="O256">
        <f t="shared" ca="1" si="267"/>
        <v>99.153340077313885</v>
      </c>
      <c r="P256">
        <f t="shared" ca="1" si="267"/>
        <v>112.57546043315426</v>
      </c>
      <c r="Q256">
        <f t="shared" ca="1" si="208"/>
        <v>98.212942957838052</v>
      </c>
      <c r="R256">
        <f t="shared" ca="1" si="209"/>
        <v>0</v>
      </c>
      <c r="S256">
        <f t="shared" ca="1" si="210"/>
        <v>0</v>
      </c>
    </row>
    <row r="257" spans="5:19" x14ac:dyDescent="0.75">
      <c r="E257">
        <v>252</v>
      </c>
      <c r="F257">
        <v>100</v>
      </c>
      <c r="G257">
        <f t="shared" ca="1" si="206"/>
        <v>93.181590124440447</v>
      </c>
      <c r="H257">
        <f t="shared" ca="1" si="206"/>
        <v>84.753290980001083</v>
      </c>
      <c r="I257">
        <f t="shared" ca="1" si="206"/>
        <v>93.047922653097515</v>
      </c>
      <c r="J257">
        <f t="shared" ca="1" si="206"/>
        <v>92.967622548946679</v>
      </c>
      <c r="K257">
        <f t="shared" ref="K257:P257" ca="1" si="268">J257*EXP(($C$4-0.5*$C$5^2)*$C$10+$C$5*SQRT($C$10)*NORMINV(RAND(),0,1))</f>
        <v>92.023146149104079</v>
      </c>
      <c r="L257">
        <f t="shared" ca="1" si="268"/>
        <v>92.557969149170134</v>
      </c>
      <c r="M257">
        <f t="shared" ca="1" si="268"/>
        <v>83.38720908520088</v>
      </c>
      <c r="N257">
        <f t="shared" ca="1" si="268"/>
        <v>85.47105519694982</v>
      </c>
      <c r="O257">
        <f t="shared" ca="1" si="268"/>
        <v>86.586383846022741</v>
      </c>
      <c r="P257">
        <f t="shared" ca="1" si="268"/>
        <v>78.941936052080891</v>
      </c>
      <c r="Q257">
        <f t="shared" ca="1" si="208"/>
        <v>89.356193253183108</v>
      </c>
      <c r="R257">
        <f t="shared" ca="1" si="209"/>
        <v>0</v>
      </c>
      <c r="S257">
        <f t="shared" ca="1" si="210"/>
        <v>0</v>
      </c>
    </row>
    <row r="258" spans="5:19" x14ac:dyDescent="0.75">
      <c r="E258">
        <v>253</v>
      </c>
      <c r="F258">
        <v>100</v>
      </c>
      <c r="G258">
        <f t="shared" ca="1" si="206"/>
        <v>101.48554149614117</v>
      </c>
      <c r="H258">
        <f t="shared" ca="1" si="206"/>
        <v>109.16199136143385</v>
      </c>
      <c r="I258">
        <f t="shared" ca="1" si="206"/>
        <v>110.83278167847853</v>
      </c>
      <c r="J258">
        <f t="shared" ca="1" si="206"/>
        <v>108.15728354801274</v>
      </c>
      <c r="K258">
        <f t="shared" ref="K258:P258" ca="1" si="269">J258*EXP(($C$4-0.5*$C$5^2)*$C$10+$C$5*SQRT($C$10)*NORMINV(RAND(),0,1))</f>
        <v>103.66974987810424</v>
      </c>
      <c r="L258">
        <f t="shared" ca="1" si="269"/>
        <v>110.01731465700108</v>
      </c>
      <c r="M258">
        <f t="shared" ca="1" si="269"/>
        <v>98.444769238500342</v>
      </c>
      <c r="N258">
        <f t="shared" ca="1" si="269"/>
        <v>112.74529837643959</v>
      </c>
      <c r="O258">
        <f t="shared" ca="1" si="269"/>
        <v>125.13630437100895</v>
      </c>
      <c r="P258">
        <f t="shared" ca="1" si="269"/>
        <v>128.08981722824623</v>
      </c>
      <c r="Q258">
        <f t="shared" ca="1" si="208"/>
        <v>109.79462289394242</v>
      </c>
      <c r="R258">
        <f t="shared" ca="1" si="209"/>
        <v>9.7946228939424174</v>
      </c>
      <c r="S258">
        <f t="shared" ca="1" si="210"/>
        <v>9.6006763661823289</v>
      </c>
    </row>
    <row r="259" spans="5:19" x14ac:dyDescent="0.75">
      <c r="E259">
        <v>254</v>
      </c>
      <c r="F259">
        <v>100</v>
      </c>
      <c r="G259">
        <f t="shared" ca="1" si="206"/>
        <v>95.948075594309373</v>
      </c>
      <c r="H259">
        <f t="shared" ca="1" si="206"/>
        <v>103.39205437599409</v>
      </c>
      <c r="I259">
        <f t="shared" ca="1" si="206"/>
        <v>106.62884483776214</v>
      </c>
      <c r="J259">
        <f t="shared" ca="1" si="206"/>
        <v>102.84917688008584</v>
      </c>
      <c r="K259">
        <f t="shared" ref="K259:P259" ca="1" si="270">J259*EXP(($C$4-0.5*$C$5^2)*$C$10+$C$5*SQRT($C$10)*NORMINV(RAND(),0,1))</f>
        <v>114.92523945278161</v>
      </c>
      <c r="L259">
        <f t="shared" ca="1" si="270"/>
        <v>111.46779259640714</v>
      </c>
      <c r="M259">
        <f t="shared" ca="1" si="270"/>
        <v>126.30468197528597</v>
      </c>
      <c r="N259">
        <f t="shared" ca="1" si="270"/>
        <v>117.85067902680534</v>
      </c>
      <c r="O259">
        <f t="shared" ca="1" si="270"/>
        <v>124.26729052693592</v>
      </c>
      <c r="P259">
        <f t="shared" ca="1" si="270"/>
        <v>126.89494879244293</v>
      </c>
      <c r="Q259">
        <f t="shared" ca="1" si="208"/>
        <v>111.86625309625546</v>
      </c>
      <c r="R259">
        <f t="shared" ca="1" si="209"/>
        <v>11.866253096255463</v>
      </c>
      <c r="S259">
        <f t="shared" ca="1" si="210"/>
        <v>11.631285542071781</v>
      </c>
    </row>
    <row r="260" spans="5:19" x14ac:dyDescent="0.75">
      <c r="E260">
        <v>255</v>
      </c>
      <c r="F260">
        <v>100</v>
      </c>
      <c r="G260">
        <f t="shared" ca="1" si="206"/>
        <v>109.59824320360082</v>
      </c>
      <c r="H260">
        <f t="shared" ca="1" si="206"/>
        <v>92.819181445784253</v>
      </c>
      <c r="I260">
        <f t="shared" ca="1" si="206"/>
        <v>84.561589187350549</v>
      </c>
      <c r="J260">
        <f t="shared" ca="1" si="206"/>
        <v>80.803201218688329</v>
      </c>
      <c r="K260">
        <f t="shared" ref="K260:P260" ca="1" si="271">J260*EXP(($C$4-0.5*$C$5^2)*$C$10+$C$5*SQRT($C$10)*NORMINV(RAND(),0,1))</f>
        <v>82.07473850914954</v>
      </c>
      <c r="L260">
        <f t="shared" ca="1" si="271"/>
        <v>79.263207078516061</v>
      </c>
      <c r="M260">
        <f t="shared" ca="1" si="271"/>
        <v>78.743748721342513</v>
      </c>
      <c r="N260">
        <f t="shared" ca="1" si="271"/>
        <v>75.969536618301873</v>
      </c>
      <c r="O260">
        <f t="shared" ca="1" si="271"/>
        <v>74.746444828405046</v>
      </c>
      <c r="P260">
        <f t="shared" ca="1" si="271"/>
        <v>78.530231571946004</v>
      </c>
      <c r="Q260">
        <f t="shared" ca="1" si="208"/>
        <v>85.191829307553178</v>
      </c>
      <c r="R260">
        <f t="shared" ca="1" si="209"/>
        <v>0</v>
      </c>
      <c r="S260">
        <f t="shared" ca="1" si="210"/>
        <v>0</v>
      </c>
    </row>
    <row r="261" spans="5:19" x14ac:dyDescent="0.75">
      <c r="E261">
        <v>256</v>
      </c>
      <c r="F261">
        <v>100</v>
      </c>
      <c r="G261">
        <f t="shared" ca="1" si="206"/>
        <v>109.85177395005294</v>
      </c>
      <c r="H261">
        <f t="shared" ca="1" si="206"/>
        <v>106.66206965797656</v>
      </c>
      <c r="I261">
        <f t="shared" ca="1" si="206"/>
        <v>96.571620731432489</v>
      </c>
      <c r="J261">
        <f t="shared" ca="1" si="206"/>
        <v>99.857806368114097</v>
      </c>
      <c r="K261">
        <f t="shared" ref="K261:P261" ca="1" si="272">J261*EXP(($C$4-0.5*$C$5^2)*$C$10+$C$5*SQRT($C$10)*NORMINV(RAND(),0,1))</f>
        <v>100.2666120539473</v>
      </c>
      <c r="L261">
        <f t="shared" ca="1" si="272"/>
        <v>99.194556518428882</v>
      </c>
      <c r="M261">
        <f t="shared" ca="1" si="272"/>
        <v>103.861266908372</v>
      </c>
      <c r="N261">
        <f t="shared" ca="1" si="272"/>
        <v>109.88468596097894</v>
      </c>
      <c r="O261">
        <f t="shared" ca="1" si="272"/>
        <v>102.63882759784285</v>
      </c>
      <c r="P261">
        <f t="shared" ca="1" si="272"/>
        <v>107.86760622551124</v>
      </c>
      <c r="Q261">
        <f t="shared" ca="1" si="208"/>
        <v>103.33243872478702</v>
      </c>
      <c r="R261">
        <f t="shared" ca="1" si="209"/>
        <v>3.3324387247870249</v>
      </c>
      <c r="S261">
        <f t="shared" ca="1" si="210"/>
        <v>3.266452016912297</v>
      </c>
    </row>
    <row r="262" spans="5:19" x14ac:dyDescent="0.75">
      <c r="E262">
        <v>257</v>
      </c>
      <c r="F262">
        <v>100</v>
      </c>
      <c r="G262">
        <f t="shared" ca="1" si="206"/>
        <v>96.029073453480777</v>
      </c>
      <c r="H262">
        <f t="shared" ca="1" si="206"/>
        <v>99.530969061818737</v>
      </c>
      <c r="I262">
        <f t="shared" ca="1" si="206"/>
        <v>104.15732524030052</v>
      </c>
      <c r="J262">
        <f t="shared" ref="J262:P262" ca="1" si="273">I262*EXP(($C$4-0.5*$C$5^2)*$C$10+$C$5*SQRT($C$10)*NORMINV(RAND(),0,1))</f>
        <v>97.690564740582417</v>
      </c>
      <c r="K262">
        <f t="shared" ca="1" si="273"/>
        <v>97.792107841840163</v>
      </c>
      <c r="L262">
        <f t="shared" ca="1" si="273"/>
        <v>90.520427761599706</v>
      </c>
      <c r="M262">
        <f t="shared" ca="1" si="273"/>
        <v>97.503918251001764</v>
      </c>
      <c r="N262">
        <f t="shared" ca="1" si="273"/>
        <v>90.862266284299068</v>
      </c>
      <c r="O262">
        <f t="shared" ca="1" si="273"/>
        <v>90.284436042629281</v>
      </c>
      <c r="P262">
        <f t="shared" ca="1" si="273"/>
        <v>80.385674016118458</v>
      </c>
      <c r="Q262">
        <f t="shared" ca="1" si="208"/>
        <v>94.977887517606447</v>
      </c>
      <c r="R262">
        <f t="shared" ca="1" si="209"/>
        <v>0</v>
      </c>
      <c r="S262">
        <f t="shared" ca="1" si="210"/>
        <v>0</v>
      </c>
    </row>
    <row r="263" spans="5:19" x14ac:dyDescent="0.75">
      <c r="E263">
        <v>258</v>
      </c>
      <c r="F263">
        <v>100</v>
      </c>
      <c r="G263">
        <f t="shared" ref="G263:J326" ca="1" si="274">F263*EXP(($C$4-0.5*$C$5^2)*$C$10+$C$5*SQRT($C$10)*NORMINV(RAND(),0,1))</f>
        <v>104.93786355691965</v>
      </c>
      <c r="H263">
        <f t="shared" ca="1" si="274"/>
        <v>105.38359976263149</v>
      </c>
      <c r="I263">
        <f t="shared" ca="1" si="274"/>
        <v>107.35342482596195</v>
      </c>
      <c r="J263">
        <f t="shared" ca="1" si="274"/>
        <v>103.82533909170412</v>
      </c>
      <c r="K263">
        <f t="shared" ref="K263:P263" ca="1" si="275">J263*EXP(($C$4-0.5*$C$5^2)*$C$10+$C$5*SQRT($C$10)*NORMINV(RAND(),0,1))</f>
        <v>85.924563119041721</v>
      </c>
      <c r="L263">
        <f t="shared" ca="1" si="275"/>
        <v>101.53096176889581</v>
      </c>
      <c r="M263">
        <f t="shared" ca="1" si="275"/>
        <v>93.129854316234699</v>
      </c>
      <c r="N263">
        <f t="shared" ca="1" si="275"/>
        <v>88.655139422456841</v>
      </c>
      <c r="O263">
        <f t="shared" ca="1" si="275"/>
        <v>86.685671223342084</v>
      </c>
      <c r="P263">
        <f t="shared" ca="1" si="275"/>
        <v>87.507827553007644</v>
      </c>
      <c r="Q263">
        <f t="shared" ref="Q263:Q326" ca="1" si="276">AVERAGE(F263:P263)</f>
        <v>96.81220405819964</v>
      </c>
      <c r="R263">
        <f t="shared" ref="R263:R326" ca="1" si="277">MAX(Q263-$C$7,0)</f>
        <v>0</v>
      </c>
      <c r="S263">
        <f t="shared" ref="S263:S326" ca="1" si="278">EXP(-$C$4*$C$6)*R263</f>
        <v>0</v>
      </c>
    </row>
    <row r="264" spans="5:19" x14ac:dyDescent="0.75">
      <c r="E264">
        <v>259</v>
      </c>
      <c r="F264">
        <v>100</v>
      </c>
      <c r="G264">
        <f t="shared" ca="1" si="274"/>
        <v>99.438574306897991</v>
      </c>
      <c r="H264">
        <f t="shared" ca="1" si="274"/>
        <v>93.735428374343869</v>
      </c>
      <c r="I264">
        <f t="shared" ca="1" si="274"/>
        <v>96.615460886513631</v>
      </c>
      <c r="J264">
        <f t="shared" ca="1" si="274"/>
        <v>99.023940634760564</v>
      </c>
      <c r="K264">
        <f t="shared" ref="K264:P264" ca="1" si="279">J264*EXP(($C$4-0.5*$C$5^2)*$C$10+$C$5*SQRT($C$10)*NORMINV(RAND(),0,1))</f>
        <v>92.765708339488071</v>
      </c>
      <c r="L264">
        <f t="shared" ca="1" si="279"/>
        <v>99.278597812720633</v>
      </c>
      <c r="M264">
        <f t="shared" ca="1" si="279"/>
        <v>98.118441701665702</v>
      </c>
      <c r="N264">
        <f t="shared" ca="1" si="279"/>
        <v>94.398814472757834</v>
      </c>
      <c r="O264">
        <f t="shared" ca="1" si="279"/>
        <v>98.286832489759547</v>
      </c>
      <c r="P264">
        <f t="shared" ca="1" si="279"/>
        <v>97.993265230607562</v>
      </c>
      <c r="Q264">
        <f t="shared" ca="1" si="276"/>
        <v>97.241369477228673</v>
      </c>
      <c r="R264">
        <f t="shared" ca="1" si="277"/>
        <v>0</v>
      </c>
      <c r="S264">
        <f t="shared" ca="1" si="278"/>
        <v>0</v>
      </c>
    </row>
    <row r="265" spans="5:19" x14ac:dyDescent="0.75">
      <c r="E265">
        <v>260</v>
      </c>
      <c r="F265">
        <v>100</v>
      </c>
      <c r="G265">
        <f t="shared" ca="1" si="274"/>
        <v>100.12116794658309</v>
      </c>
      <c r="H265">
        <f t="shared" ca="1" si="274"/>
        <v>103.51155219370027</v>
      </c>
      <c r="I265">
        <f t="shared" ca="1" si="274"/>
        <v>94.483807850734081</v>
      </c>
      <c r="J265">
        <f t="shared" ca="1" si="274"/>
        <v>101.37830961966232</v>
      </c>
      <c r="K265">
        <f t="shared" ref="K265:P265" ca="1" si="280">J265*EXP(($C$4-0.5*$C$5^2)*$C$10+$C$5*SQRT($C$10)*NORMINV(RAND(),0,1))</f>
        <v>100.95069644429425</v>
      </c>
      <c r="L265">
        <f t="shared" ca="1" si="280"/>
        <v>96.475574991347074</v>
      </c>
      <c r="M265">
        <f t="shared" ca="1" si="280"/>
        <v>96.887930210259981</v>
      </c>
      <c r="N265">
        <f t="shared" ca="1" si="280"/>
        <v>108.51248909153381</v>
      </c>
      <c r="O265">
        <f t="shared" ca="1" si="280"/>
        <v>102.5639059581527</v>
      </c>
      <c r="P265">
        <f t="shared" ca="1" si="280"/>
        <v>107.40590069848159</v>
      </c>
      <c r="Q265">
        <f t="shared" ca="1" si="276"/>
        <v>101.11739409134084</v>
      </c>
      <c r="R265">
        <f t="shared" ca="1" si="277"/>
        <v>1.1173940913408416</v>
      </c>
      <c r="S265">
        <f t="shared" ca="1" si="278"/>
        <v>1.0952682058931003</v>
      </c>
    </row>
    <row r="266" spans="5:19" x14ac:dyDescent="0.75">
      <c r="E266">
        <v>261</v>
      </c>
      <c r="F266">
        <v>100</v>
      </c>
      <c r="G266">
        <f t="shared" ca="1" si="274"/>
        <v>103.36638810869998</v>
      </c>
      <c r="H266">
        <f t="shared" ca="1" si="274"/>
        <v>94.191051315872727</v>
      </c>
      <c r="I266">
        <f t="shared" ca="1" si="274"/>
        <v>92.617494015679924</v>
      </c>
      <c r="J266">
        <f t="shared" ca="1" si="274"/>
        <v>89.830332467363874</v>
      </c>
      <c r="K266">
        <f t="shared" ref="K266:P266" ca="1" si="281">J266*EXP(($C$4-0.5*$C$5^2)*$C$10+$C$5*SQRT($C$10)*NORMINV(RAND(),0,1))</f>
        <v>96.862839553418311</v>
      </c>
      <c r="L266">
        <f t="shared" ca="1" si="281"/>
        <v>104.72045446711455</v>
      </c>
      <c r="M266">
        <f t="shared" ca="1" si="281"/>
        <v>102.82701093767596</v>
      </c>
      <c r="N266">
        <f t="shared" ca="1" si="281"/>
        <v>114.04073018656179</v>
      </c>
      <c r="O266">
        <f t="shared" ca="1" si="281"/>
        <v>118.93044586791277</v>
      </c>
      <c r="P266">
        <f t="shared" ca="1" si="281"/>
        <v>126.6668697261621</v>
      </c>
      <c r="Q266">
        <f t="shared" ca="1" si="276"/>
        <v>104.00487424058745</v>
      </c>
      <c r="R266">
        <f t="shared" ca="1" si="277"/>
        <v>4.0048742405874549</v>
      </c>
      <c r="S266">
        <f t="shared" ca="1" si="278"/>
        <v>3.9255724173842221</v>
      </c>
    </row>
    <row r="267" spans="5:19" x14ac:dyDescent="0.75">
      <c r="E267">
        <v>262</v>
      </c>
      <c r="F267">
        <v>100</v>
      </c>
      <c r="G267">
        <f t="shared" ca="1" si="274"/>
        <v>108.34146766789129</v>
      </c>
      <c r="H267">
        <f t="shared" ca="1" si="274"/>
        <v>108.70802126775661</v>
      </c>
      <c r="I267">
        <f t="shared" ca="1" si="274"/>
        <v>125.11235042224871</v>
      </c>
      <c r="J267">
        <f t="shared" ca="1" si="274"/>
        <v>128.10341161715337</v>
      </c>
      <c r="K267">
        <f t="shared" ref="K267:P267" ca="1" si="282">J267*EXP(($C$4-0.5*$C$5^2)*$C$10+$C$5*SQRT($C$10)*NORMINV(RAND(),0,1))</f>
        <v>125.94034441573351</v>
      </c>
      <c r="L267">
        <f t="shared" ca="1" si="282"/>
        <v>125.17248324062324</v>
      </c>
      <c r="M267">
        <f t="shared" ca="1" si="282"/>
        <v>144.7681465806136</v>
      </c>
      <c r="N267">
        <f t="shared" ca="1" si="282"/>
        <v>135.58249698804991</v>
      </c>
      <c r="O267">
        <f t="shared" ca="1" si="282"/>
        <v>143.88198103786456</v>
      </c>
      <c r="P267">
        <f t="shared" ca="1" si="282"/>
        <v>139.9906353814165</v>
      </c>
      <c r="Q267">
        <f t="shared" ca="1" si="276"/>
        <v>125.96375805630466</v>
      </c>
      <c r="R267">
        <f t="shared" ca="1" si="277"/>
        <v>25.963758056304655</v>
      </c>
      <c r="S267">
        <f t="shared" ca="1" si="278"/>
        <v>25.449641200847402</v>
      </c>
    </row>
    <row r="268" spans="5:19" x14ac:dyDescent="0.75">
      <c r="E268">
        <v>263</v>
      </c>
      <c r="F268">
        <v>100</v>
      </c>
      <c r="G268">
        <f t="shared" ca="1" si="274"/>
        <v>101.65703147203527</v>
      </c>
      <c r="H268">
        <f t="shared" ca="1" si="274"/>
        <v>102.0934997058031</v>
      </c>
      <c r="I268">
        <f t="shared" ca="1" si="274"/>
        <v>110.4629538993873</v>
      </c>
      <c r="J268">
        <f t="shared" ca="1" si="274"/>
        <v>101.73346710492498</v>
      </c>
      <c r="K268">
        <f t="shared" ref="K268:P268" ca="1" si="283">J268*EXP(($C$4-0.5*$C$5^2)*$C$10+$C$5*SQRT($C$10)*NORMINV(RAND(),0,1))</f>
        <v>111.05804239735868</v>
      </c>
      <c r="L268">
        <f t="shared" ca="1" si="283"/>
        <v>101.57430845599649</v>
      </c>
      <c r="M268">
        <f t="shared" ca="1" si="283"/>
        <v>100.52172990223374</v>
      </c>
      <c r="N268">
        <f t="shared" ca="1" si="283"/>
        <v>96.924022466101889</v>
      </c>
      <c r="O268">
        <f t="shared" ca="1" si="283"/>
        <v>92.802384075858896</v>
      </c>
      <c r="P268">
        <f t="shared" ca="1" si="283"/>
        <v>99.267068660279648</v>
      </c>
      <c r="Q268">
        <f t="shared" ca="1" si="276"/>
        <v>101.64495528545272</v>
      </c>
      <c r="R268">
        <f t="shared" ca="1" si="277"/>
        <v>1.6449552854527241</v>
      </c>
      <c r="S268">
        <f t="shared" ca="1" si="278"/>
        <v>1.612382988449695</v>
      </c>
    </row>
    <row r="269" spans="5:19" x14ac:dyDescent="0.75">
      <c r="E269">
        <v>264</v>
      </c>
      <c r="F269">
        <v>100</v>
      </c>
      <c r="G269">
        <f t="shared" ca="1" si="274"/>
        <v>104.56480908999211</v>
      </c>
      <c r="H269">
        <f t="shared" ca="1" si="274"/>
        <v>101.40699123040152</v>
      </c>
      <c r="I269">
        <f t="shared" ca="1" si="274"/>
        <v>98.165597374384035</v>
      </c>
      <c r="J269">
        <f t="shared" ca="1" si="274"/>
        <v>103.55222456716557</v>
      </c>
      <c r="K269">
        <f t="shared" ref="K269:P269" ca="1" si="284">J269*EXP(($C$4-0.5*$C$5^2)*$C$10+$C$5*SQRT($C$10)*NORMINV(RAND(),0,1))</f>
        <v>103.08290164552615</v>
      </c>
      <c r="L269">
        <f t="shared" ca="1" si="284"/>
        <v>95.264486549020134</v>
      </c>
      <c r="M269">
        <f t="shared" ca="1" si="284"/>
        <v>91.038702115985899</v>
      </c>
      <c r="N269">
        <f t="shared" ca="1" si="284"/>
        <v>87.32204709610366</v>
      </c>
      <c r="O269">
        <f t="shared" ca="1" si="284"/>
        <v>86.740225931267673</v>
      </c>
      <c r="P269">
        <f t="shared" ca="1" si="284"/>
        <v>85.275182578073256</v>
      </c>
      <c r="Q269">
        <f t="shared" ca="1" si="276"/>
        <v>96.037560743447287</v>
      </c>
      <c r="R269">
        <f t="shared" ca="1" si="277"/>
        <v>0</v>
      </c>
      <c r="S269">
        <f t="shared" ca="1" si="278"/>
        <v>0</v>
      </c>
    </row>
    <row r="270" spans="5:19" x14ac:dyDescent="0.75">
      <c r="E270">
        <v>265</v>
      </c>
      <c r="F270">
        <v>100</v>
      </c>
      <c r="G270">
        <f t="shared" ca="1" si="274"/>
        <v>104.10273404390279</v>
      </c>
      <c r="H270">
        <f t="shared" ca="1" si="274"/>
        <v>96.275166785225466</v>
      </c>
      <c r="I270">
        <f t="shared" ca="1" si="274"/>
        <v>95.050720691451744</v>
      </c>
      <c r="J270">
        <f t="shared" ca="1" si="274"/>
        <v>95.211763748134373</v>
      </c>
      <c r="K270">
        <f t="shared" ref="K270:P270" ca="1" si="285">J270*EXP(($C$4-0.5*$C$5^2)*$C$10+$C$5*SQRT($C$10)*NORMINV(RAND(),0,1))</f>
        <v>99.04623953185083</v>
      </c>
      <c r="L270">
        <f t="shared" ca="1" si="285"/>
        <v>91.116453240116201</v>
      </c>
      <c r="M270">
        <f t="shared" ca="1" si="285"/>
        <v>89.106677528900903</v>
      </c>
      <c r="N270">
        <f t="shared" ca="1" si="285"/>
        <v>91.960509946877877</v>
      </c>
      <c r="O270">
        <f t="shared" ca="1" si="285"/>
        <v>93.86772631242691</v>
      </c>
      <c r="P270">
        <f t="shared" ca="1" si="285"/>
        <v>92.964547167584925</v>
      </c>
      <c r="Q270">
        <f t="shared" ca="1" si="276"/>
        <v>95.336594454224738</v>
      </c>
      <c r="R270">
        <f t="shared" ca="1" si="277"/>
        <v>0</v>
      </c>
      <c r="S270">
        <f t="shared" ca="1" si="278"/>
        <v>0</v>
      </c>
    </row>
    <row r="271" spans="5:19" x14ac:dyDescent="0.75">
      <c r="E271">
        <v>266</v>
      </c>
      <c r="F271">
        <v>100</v>
      </c>
      <c r="G271">
        <f t="shared" ca="1" si="274"/>
        <v>90.828425776417035</v>
      </c>
      <c r="H271">
        <f t="shared" ca="1" si="274"/>
        <v>89.156270709883373</v>
      </c>
      <c r="I271">
        <f t="shared" ca="1" si="274"/>
        <v>84.912782653492854</v>
      </c>
      <c r="J271">
        <f t="shared" ca="1" si="274"/>
        <v>76.967386294849376</v>
      </c>
      <c r="K271">
        <f t="shared" ref="K271:P271" ca="1" si="286">J271*EXP(($C$4-0.5*$C$5^2)*$C$10+$C$5*SQRT($C$10)*NORMINV(RAND(),0,1))</f>
        <v>76.623507786211789</v>
      </c>
      <c r="L271">
        <f t="shared" ca="1" si="286"/>
        <v>85.658273593494982</v>
      </c>
      <c r="M271">
        <f t="shared" ca="1" si="286"/>
        <v>90.062672463090777</v>
      </c>
      <c r="N271">
        <f t="shared" ca="1" si="286"/>
        <v>88.273614061349704</v>
      </c>
      <c r="O271">
        <f t="shared" ca="1" si="286"/>
        <v>91.481151584024332</v>
      </c>
      <c r="P271">
        <f t="shared" ca="1" si="286"/>
        <v>86.288220801694891</v>
      </c>
      <c r="Q271">
        <f t="shared" ca="1" si="276"/>
        <v>87.295664156773555</v>
      </c>
      <c r="R271">
        <f t="shared" ca="1" si="277"/>
        <v>0</v>
      </c>
      <c r="S271">
        <f t="shared" ca="1" si="278"/>
        <v>0</v>
      </c>
    </row>
    <row r="272" spans="5:19" x14ac:dyDescent="0.75">
      <c r="E272">
        <v>267</v>
      </c>
      <c r="F272">
        <v>100</v>
      </c>
      <c r="G272">
        <f t="shared" ca="1" si="274"/>
        <v>91.171313501632895</v>
      </c>
      <c r="H272">
        <f t="shared" ca="1" si="274"/>
        <v>88.959604863871277</v>
      </c>
      <c r="I272">
        <f t="shared" ca="1" si="274"/>
        <v>84.571983873265282</v>
      </c>
      <c r="J272">
        <f t="shared" ca="1" si="274"/>
        <v>83.120050099380606</v>
      </c>
      <c r="K272">
        <f t="shared" ref="K272:P272" ca="1" si="287">J272*EXP(($C$4-0.5*$C$5^2)*$C$10+$C$5*SQRT($C$10)*NORMINV(RAND(),0,1))</f>
        <v>86.014609703994154</v>
      </c>
      <c r="L272">
        <f t="shared" ca="1" si="287"/>
        <v>96.019167415385269</v>
      </c>
      <c r="M272">
        <f t="shared" ca="1" si="287"/>
        <v>99.04182338443114</v>
      </c>
      <c r="N272">
        <f t="shared" ca="1" si="287"/>
        <v>98.453610327533823</v>
      </c>
      <c r="O272">
        <f t="shared" ca="1" si="287"/>
        <v>90.028347273426576</v>
      </c>
      <c r="P272">
        <f t="shared" ca="1" si="287"/>
        <v>81.95244179801206</v>
      </c>
      <c r="Q272">
        <f t="shared" ca="1" si="276"/>
        <v>90.848450203721185</v>
      </c>
      <c r="R272">
        <f t="shared" ca="1" si="277"/>
        <v>0</v>
      </c>
      <c r="S272">
        <f t="shared" ca="1" si="278"/>
        <v>0</v>
      </c>
    </row>
    <row r="273" spans="5:19" x14ac:dyDescent="0.75">
      <c r="E273">
        <v>268</v>
      </c>
      <c r="F273">
        <v>100</v>
      </c>
      <c r="G273">
        <f t="shared" ca="1" si="274"/>
        <v>100.05261589824437</v>
      </c>
      <c r="H273">
        <f t="shared" ca="1" si="274"/>
        <v>100.44429616682827</v>
      </c>
      <c r="I273">
        <f t="shared" ca="1" si="274"/>
        <v>85.266112863164835</v>
      </c>
      <c r="J273">
        <f t="shared" ca="1" si="274"/>
        <v>86.984741465077903</v>
      </c>
      <c r="K273">
        <f t="shared" ref="K273:P273" ca="1" si="288">J273*EXP(($C$4-0.5*$C$5^2)*$C$10+$C$5*SQRT($C$10)*NORMINV(RAND(),0,1))</f>
        <v>79.9612928028601</v>
      </c>
      <c r="L273">
        <f t="shared" ca="1" si="288"/>
        <v>76.640512725650254</v>
      </c>
      <c r="M273">
        <f t="shared" ca="1" si="288"/>
        <v>73.17256457155878</v>
      </c>
      <c r="N273">
        <f t="shared" ca="1" si="288"/>
        <v>70.698639119975098</v>
      </c>
      <c r="O273">
        <f t="shared" ca="1" si="288"/>
        <v>74.185214902076083</v>
      </c>
      <c r="P273">
        <f t="shared" ca="1" si="288"/>
        <v>75.045913083182512</v>
      </c>
      <c r="Q273">
        <f t="shared" ca="1" si="276"/>
        <v>83.859263963510742</v>
      </c>
      <c r="R273">
        <f t="shared" ca="1" si="277"/>
        <v>0</v>
      </c>
      <c r="S273">
        <f t="shared" ca="1" si="278"/>
        <v>0</v>
      </c>
    </row>
    <row r="274" spans="5:19" x14ac:dyDescent="0.75">
      <c r="E274">
        <v>269</v>
      </c>
      <c r="F274">
        <v>100</v>
      </c>
      <c r="G274">
        <f t="shared" ca="1" si="274"/>
        <v>102.92013344993801</v>
      </c>
      <c r="H274">
        <f t="shared" ca="1" si="274"/>
        <v>101.88324078275816</v>
      </c>
      <c r="I274">
        <f t="shared" ca="1" si="274"/>
        <v>89.364415293119393</v>
      </c>
      <c r="J274">
        <f t="shared" ca="1" si="274"/>
        <v>92.358407097093732</v>
      </c>
      <c r="K274">
        <f t="shared" ref="K274:P274" ca="1" si="289">J274*EXP(($C$4-0.5*$C$5^2)*$C$10+$C$5*SQRT($C$10)*NORMINV(RAND(),0,1))</f>
        <v>86.191332429885179</v>
      </c>
      <c r="L274">
        <f t="shared" ca="1" si="289"/>
        <v>87.599223253668214</v>
      </c>
      <c r="M274">
        <f t="shared" ca="1" si="289"/>
        <v>91.748076586465189</v>
      </c>
      <c r="N274">
        <f t="shared" ca="1" si="289"/>
        <v>90.44369368636653</v>
      </c>
      <c r="O274">
        <f t="shared" ca="1" si="289"/>
        <v>80.01288726661835</v>
      </c>
      <c r="P274">
        <f t="shared" ca="1" si="289"/>
        <v>86.221948938815046</v>
      </c>
      <c r="Q274">
        <f t="shared" ca="1" si="276"/>
        <v>91.70394170770254</v>
      </c>
      <c r="R274">
        <f t="shared" ca="1" si="277"/>
        <v>0</v>
      </c>
      <c r="S274">
        <f t="shared" ca="1" si="278"/>
        <v>0</v>
      </c>
    </row>
    <row r="275" spans="5:19" x14ac:dyDescent="0.75">
      <c r="E275">
        <v>270</v>
      </c>
      <c r="F275">
        <v>100</v>
      </c>
      <c r="G275">
        <f t="shared" ca="1" si="274"/>
        <v>96.536162762521144</v>
      </c>
      <c r="H275">
        <f t="shared" ca="1" si="274"/>
        <v>96.899857402071959</v>
      </c>
      <c r="I275">
        <f t="shared" ca="1" si="274"/>
        <v>94.607372845541278</v>
      </c>
      <c r="J275">
        <f t="shared" ca="1" si="274"/>
        <v>98.923562834216156</v>
      </c>
      <c r="K275">
        <f t="shared" ref="K275:P275" ca="1" si="290">J275*EXP(($C$4-0.5*$C$5^2)*$C$10+$C$5*SQRT($C$10)*NORMINV(RAND(),0,1))</f>
        <v>97.493592835786501</v>
      </c>
      <c r="L275">
        <f t="shared" ca="1" si="290"/>
        <v>93.79409953706606</v>
      </c>
      <c r="M275">
        <f t="shared" ca="1" si="290"/>
        <v>94.331019389516513</v>
      </c>
      <c r="N275">
        <f t="shared" ca="1" si="290"/>
        <v>89.196753038786056</v>
      </c>
      <c r="O275">
        <f t="shared" ca="1" si="290"/>
        <v>93.548717785844346</v>
      </c>
      <c r="P275">
        <f t="shared" ca="1" si="290"/>
        <v>96.053332759109466</v>
      </c>
      <c r="Q275">
        <f t="shared" ca="1" si="276"/>
        <v>95.580406471859945</v>
      </c>
      <c r="R275">
        <f t="shared" ca="1" si="277"/>
        <v>0</v>
      </c>
      <c r="S275">
        <f t="shared" ca="1" si="278"/>
        <v>0</v>
      </c>
    </row>
    <row r="276" spans="5:19" x14ac:dyDescent="0.75">
      <c r="E276">
        <v>271</v>
      </c>
      <c r="F276">
        <v>100</v>
      </c>
      <c r="G276">
        <f t="shared" ca="1" si="274"/>
        <v>102.09064875856022</v>
      </c>
      <c r="H276">
        <f t="shared" ca="1" si="274"/>
        <v>101.45904738822875</v>
      </c>
      <c r="I276">
        <f t="shared" ca="1" si="274"/>
        <v>92.061740859313034</v>
      </c>
      <c r="J276">
        <f t="shared" ca="1" si="274"/>
        <v>93.599860574406748</v>
      </c>
      <c r="K276">
        <f t="shared" ref="K276:P276" ca="1" si="291">J276*EXP(($C$4-0.5*$C$5^2)*$C$10+$C$5*SQRT($C$10)*NORMINV(RAND(),0,1))</f>
        <v>93.532920946795187</v>
      </c>
      <c r="L276">
        <f t="shared" ca="1" si="291"/>
        <v>103.5544726408945</v>
      </c>
      <c r="M276">
        <f t="shared" ca="1" si="291"/>
        <v>108.9524354397991</v>
      </c>
      <c r="N276">
        <f t="shared" ca="1" si="291"/>
        <v>97.738839371099658</v>
      </c>
      <c r="O276">
        <f t="shared" ca="1" si="291"/>
        <v>95.712714335291309</v>
      </c>
      <c r="P276">
        <f t="shared" ca="1" si="291"/>
        <v>90.248180373144848</v>
      </c>
      <c r="Q276">
        <f t="shared" ca="1" si="276"/>
        <v>98.086441880684845</v>
      </c>
      <c r="R276">
        <f t="shared" ca="1" si="277"/>
        <v>0</v>
      </c>
      <c r="S276">
        <f t="shared" ca="1" si="278"/>
        <v>0</v>
      </c>
    </row>
    <row r="277" spans="5:19" x14ac:dyDescent="0.75">
      <c r="E277">
        <v>272</v>
      </c>
      <c r="F277">
        <v>100</v>
      </c>
      <c r="G277">
        <f t="shared" ca="1" si="274"/>
        <v>103.87091290968907</v>
      </c>
      <c r="H277">
        <f t="shared" ca="1" si="274"/>
        <v>102.164344286697</v>
      </c>
      <c r="I277">
        <f t="shared" ca="1" si="274"/>
        <v>110.2961261639314</v>
      </c>
      <c r="J277">
        <f t="shared" ca="1" si="274"/>
        <v>115.9173052679471</v>
      </c>
      <c r="K277">
        <f t="shared" ref="K277:P277" ca="1" si="292">J277*EXP(($C$4-0.5*$C$5^2)*$C$10+$C$5*SQRT($C$10)*NORMINV(RAND(),0,1))</f>
        <v>107.25086163538008</v>
      </c>
      <c r="L277">
        <f t="shared" ca="1" si="292"/>
        <v>94.942905555373031</v>
      </c>
      <c r="M277">
        <f t="shared" ca="1" si="292"/>
        <v>88.837620912684713</v>
      </c>
      <c r="N277">
        <f t="shared" ca="1" si="292"/>
        <v>91.979757214907451</v>
      </c>
      <c r="O277">
        <f t="shared" ca="1" si="292"/>
        <v>84.78769015679211</v>
      </c>
      <c r="P277">
        <f t="shared" ca="1" si="292"/>
        <v>97.536860505053326</v>
      </c>
      <c r="Q277">
        <f t="shared" ca="1" si="276"/>
        <v>99.780398600768649</v>
      </c>
      <c r="R277">
        <f t="shared" ca="1" si="277"/>
        <v>0</v>
      </c>
      <c r="S277">
        <f t="shared" ca="1" si="278"/>
        <v>0</v>
      </c>
    </row>
    <row r="278" spans="5:19" x14ac:dyDescent="0.75">
      <c r="E278">
        <v>273</v>
      </c>
      <c r="F278">
        <v>100</v>
      </c>
      <c r="G278">
        <f t="shared" ca="1" si="274"/>
        <v>110.22766965989233</v>
      </c>
      <c r="H278">
        <f t="shared" ca="1" si="274"/>
        <v>110.9518972420266</v>
      </c>
      <c r="I278">
        <f t="shared" ca="1" si="274"/>
        <v>102.86081746357762</v>
      </c>
      <c r="J278">
        <f t="shared" ca="1" si="274"/>
        <v>100.98078244308198</v>
      </c>
      <c r="K278">
        <f t="shared" ref="K278:P278" ca="1" si="293">J278*EXP(($C$4-0.5*$C$5^2)*$C$10+$C$5*SQRT($C$10)*NORMINV(RAND(),0,1))</f>
        <v>107.384528222181</v>
      </c>
      <c r="L278">
        <f t="shared" ca="1" si="293"/>
        <v>115.59402294823752</v>
      </c>
      <c r="M278">
        <f t="shared" ca="1" si="293"/>
        <v>107.71095244318077</v>
      </c>
      <c r="N278">
        <f t="shared" ca="1" si="293"/>
        <v>108.96960402070917</v>
      </c>
      <c r="O278">
        <f t="shared" ca="1" si="293"/>
        <v>108.96084521325355</v>
      </c>
      <c r="P278">
        <f t="shared" ca="1" si="293"/>
        <v>105.29883205246345</v>
      </c>
      <c r="Q278">
        <f t="shared" ca="1" si="276"/>
        <v>107.17635924623673</v>
      </c>
      <c r="R278">
        <f t="shared" ca="1" si="277"/>
        <v>7.1763592462367285</v>
      </c>
      <c r="S278">
        <f t="shared" ca="1" si="278"/>
        <v>7.034257812333907</v>
      </c>
    </row>
    <row r="279" spans="5:19" x14ac:dyDescent="0.75">
      <c r="E279">
        <v>274</v>
      </c>
      <c r="F279">
        <v>100</v>
      </c>
      <c r="G279">
        <f t="shared" ca="1" si="274"/>
        <v>102.25051053943876</v>
      </c>
      <c r="H279">
        <f t="shared" ca="1" si="274"/>
        <v>104.58570773434305</v>
      </c>
      <c r="I279">
        <f t="shared" ca="1" si="274"/>
        <v>95.240939299926822</v>
      </c>
      <c r="J279">
        <f t="shared" ca="1" si="274"/>
        <v>98.013920346767662</v>
      </c>
      <c r="K279">
        <f t="shared" ref="K279:P279" ca="1" si="294">J279*EXP(($C$4-0.5*$C$5^2)*$C$10+$C$5*SQRT($C$10)*NORMINV(RAND(),0,1))</f>
        <v>99.07729830246015</v>
      </c>
      <c r="L279">
        <f t="shared" ca="1" si="294"/>
        <v>109.12877974660286</v>
      </c>
      <c r="M279">
        <f t="shared" ca="1" si="294"/>
        <v>110.17702264892476</v>
      </c>
      <c r="N279">
        <f t="shared" ca="1" si="294"/>
        <v>114.8160488049615</v>
      </c>
      <c r="O279">
        <f t="shared" ca="1" si="294"/>
        <v>117.84296888847992</v>
      </c>
      <c r="P279">
        <f t="shared" ca="1" si="294"/>
        <v>129.76771009654885</v>
      </c>
      <c r="Q279">
        <f t="shared" ca="1" si="276"/>
        <v>107.35462785531404</v>
      </c>
      <c r="R279">
        <f t="shared" ca="1" si="277"/>
        <v>7.3546278553140354</v>
      </c>
      <c r="S279">
        <f t="shared" ca="1" si="278"/>
        <v>7.2089964664437245</v>
      </c>
    </row>
    <row r="280" spans="5:19" x14ac:dyDescent="0.75">
      <c r="E280">
        <v>275</v>
      </c>
      <c r="F280">
        <v>100</v>
      </c>
      <c r="G280">
        <f t="shared" ca="1" si="274"/>
        <v>86.430015130231368</v>
      </c>
      <c r="H280">
        <f t="shared" ca="1" si="274"/>
        <v>96.206044271399222</v>
      </c>
      <c r="I280">
        <f t="shared" ca="1" si="274"/>
        <v>101.62130837368993</v>
      </c>
      <c r="J280">
        <f t="shared" ca="1" si="274"/>
        <v>97.166021065596539</v>
      </c>
      <c r="K280">
        <f t="shared" ref="K280:P280" ca="1" si="295">J280*EXP(($C$4-0.5*$C$5^2)*$C$10+$C$5*SQRT($C$10)*NORMINV(RAND(),0,1))</f>
        <v>98.638040690203638</v>
      </c>
      <c r="L280">
        <f t="shared" ca="1" si="295"/>
        <v>101.24977454830668</v>
      </c>
      <c r="M280">
        <f t="shared" ca="1" si="295"/>
        <v>100.70125175598976</v>
      </c>
      <c r="N280">
        <f t="shared" ca="1" si="295"/>
        <v>119.25949320834387</v>
      </c>
      <c r="O280">
        <f t="shared" ca="1" si="295"/>
        <v>120.05162854968667</v>
      </c>
      <c r="P280">
        <f t="shared" ca="1" si="295"/>
        <v>118.98804865542846</v>
      </c>
      <c r="Q280">
        <f t="shared" ca="1" si="276"/>
        <v>103.66469329535239</v>
      </c>
      <c r="R280">
        <f t="shared" ca="1" si="277"/>
        <v>3.664693295352393</v>
      </c>
      <c r="S280">
        <f t="shared" ca="1" si="278"/>
        <v>3.5921275061805766</v>
      </c>
    </row>
    <row r="281" spans="5:19" x14ac:dyDescent="0.75">
      <c r="E281">
        <v>276</v>
      </c>
      <c r="F281">
        <v>100</v>
      </c>
      <c r="G281">
        <f t="shared" ca="1" si="274"/>
        <v>109.09875038313577</v>
      </c>
      <c r="H281">
        <f t="shared" ca="1" si="274"/>
        <v>110.67614333156487</v>
      </c>
      <c r="I281">
        <f t="shared" ca="1" si="274"/>
        <v>100.18930513280839</v>
      </c>
      <c r="J281">
        <f t="shared" ca="1" si="274"/>
        <v>93.213850379300908</v>
      </c>
      <c r="K281">
        <f t="shared" ref="K281:P281" ca="1" si="296">J281*EXP(($C$4-0.5*$C$5^2)*$C$10+$C$5*SQRT($C$10)*NORMINV(RAND(),0,1))</f>
        <v>103.67434441469877</v>
      </c>
      <c r="L281">
        <f t="shared" ca="1" si="296"/>
        <v>105.40351244794203</v>
      </c>
      <c r="M281">
        <f t="shared" ca="1" si="296"/>
        <v>95.022082961061272</v>
      </c>
      <c r="N281">
        <f t="shared" ca="1" si="296"/>
        <v>104.88768261945327</v>
      </c>
      <c r="O281">
        <f t="shared" ca="1" si="296"/>
        <v>119.55993324184331</v>
      </c>
      <c r="P281">
        <f t="shared" ca="1" si="296"/>
        <v>113.55179845666703</v>
      </c>
      <c r="Q281">
        <f t="shared" ca="1" si="276"/>
        <v>105.02521848804325</v>
      </c>
      <c r="R281">
        <f t="shared" ca="1" si="277"/>
        <v>5.0252184880432509</v>
      </c>
      <c r="S281">
        <f t="shared" ca="1" si="278"/>
        <v>4.9257124950565734</v>
      </c>
    </row>
    <row r="282" spans="5:19" x14ac:dyDescent="0.75">
      <c r="E282">
        <v>277</v>
      </c>
      <c r="F282">
        <v>100</v>
      </c>
      <c r="G282">
        <f t="shared" ca="1" si="274"/>
        <v>101.53203295457416</v>
      </c>
      <c r="H282">
        <f t="shared" ca="1" si="274"/>
        <v>95.559570320145468</v>
      </c>
      <c r="I282">
        <f t="shared" ca="1" si="274"/>
        <v>107.54367176984698</v>
      </c>
      <c r="J282">
        <f t="shared" ca="1" si="274"/>
        <v>98.608322266619538</v>
      </c>
      <c r="K282">
        <f t="shared" ref="K282:P282" ca="1" si="297">J282*EXP(($C$4-0.5*$C$5^2)*$C$10+$C$5*SQRT($C$10)*NORMINV(RAND(),0,1))</f>
        <v>102.57152157471165</v>
      </c>
      <c r="L282">
        <f t="shared" ca="1" si="297"/>
        <v>105.10943906955252</v>
      </c>
      <c r="M282">
        <f t="shared" ca="1" si="297"/>
        <v>104.01703554403657</v>
      </c>
      <c r="N282">
        <f t="shared" ca="1" si="297"/>
        <v>106.04243731261612</v>
      </c>
      <c r="O282">
        <f t="shared" ca="1" si="297"/>
        <v>97.386097857321715</v>
      </c>
      <c r="P282">
        <f t="shared" ca="1" si="297"/>
        <v>95.743343986787025</v>
      </c>
      <c r="Q282">
        <f t="shared" ca="1" si="276"/>
        <v>101.28304296874653</v>
      </c>
      <c r="R282">
        <f t="shared" ca="1" si="277"/>
        <v>1.2830429687465283</v>
      </c>
      <c r="S282">
        <f t="shared" ca="1" si="278"/>
        <v>1.2576370157609078</v>
      </c>
    </row>
    <row r="283" spans="5:19" x14ac:dyDescent="0.75">
      <c r="E283">
        <v>278</v>
      </c>
      <c r="F283">
        <v>100</v>
      </c>
      <c r="G283">
        <f t="shared" ca="1" si="274"/>
        <v>105.2578346225617</v>
      </c>
      <c r="H283">
        <f t="shared" ca="1" si="274"/>
        <v>106.58342032748183</v>
      </c>
      <c r="I283">
        <f t="shared" ca="1" si="274"/>
        <v>106.26828019002843</v>
      </c>
      <c r="J283">
        <f t="shared" ca="1" si="274"/>
        <v>112.9385597217026</v>
      </c>
      <c r="K283">
        <f t="shared" ref="K283:P283" ca="1" si="298">J283*EXP(($C$4-0.5*$C$5^2)*$C$10+$C$5*SQRT($C$10)*NORMINV(RAND(),0,1))</f>
        <v>106.64886089621488</v>
      </c>
      <c r="L283">
        <f t="shared" ca="1" si="298"/>
        <v>110.71952735669812</v>
      </c>
      <c r="M283">
        <f t="shared" ca="1" si="298"/>
        <v>114.17658439315035</v>
      </c>
      <c r="N283">
        <f t="shared" ca="1" si="298"/>
        <v>118.2279353844483</v>
      </c>
      <c r="O283">
        <f t="shared" ca="1" si="298"/>
        <v>111.49368582410483</v>
      </c>
      <c r="P283">
        <f t="shared" ca="1" si="298"/>
        <v>105.70310795605269</v>
      </c>
      <c r="Q283">
        <f t="shared" ca="1" si="276"/>
        <v>108.91070878840399</v>
      </c>
      <c r="R283">
        <f t="shared" ca="1" si="277"/>
        <v>8.9107087884039942</v>
      </c>
      <c r="S283">
        <f t="shared" ca="1" si="278"/>
        <v>8.7342649326164388</v>
      </c>
    </row>
    <row r="284" spans="5:19" x14ac:dyDescent="0.75">
      <c r="E284">
        <v>279</v>
      </c>
      <c r="F284">
        <v>100</v>
      </c>
      <c r="G284">
        <f t="shared" ca="1" si="274"/>
        <v>99.334129121844356</v>
      </c>
      <c r="H284">
        <f t="shared" ca="1" si="274"/>
        <v>110.89557731312706</v>
      </c>
      <c r="I284">
        <f t="shared" ca="1" si="274"/>
        <v>101.64972513728496</v>
      </c>
      <c r="J284">
        <f t="shared" ca="1" si="274"/>
        <v>99.354401776140662</v>
      </c>
      <c r="K284">
        <f t="shared" ref="K284:P284" ca="1" si="299">J284*EXP(($C$4-0.5*$C$5^2)*$C$10+$C$5*SQRT($C$10)*NORMINV(RAND(),0,1))</f>
        <v>120.68790531844942</v>
      </c>
      <c r="L284">
        <f t="shared" ca="1" si="299"/>
        <v>124.11606931505206</v>
      </c>
      <c r="M284">
        <f t="shared" ca="1" si="299"/>
        <v>115.56500064271277</v>
      </c>
      <c r="N284">
        <f t="shared" ca="1" si="299"/>
        <v>124.40643450545348</v>
      </c>
      <c r="O284">
        <f t="shared" ca="1" si="299"/>
        <v>123.88477031673294</v>
      </c>
      <c r="P284">
        <f t="shared" ca="1" si="299"/>
        <v>136.45267961793036</v>
      </c>
      <c r="Q284">
        <f t="shared" ca="1" si="276"/>
        <v>114.21333573315711</v>
      </c>
      <c r="R284">
        <f t="shared" ca="1" si="277"/>
        <v>14.213335733157109</v>
      </c>
      <c r="S284">
        <f t="shared" ca="1" si="278"/>
        <v>13.931892828904095</v>
      </c>
    </row>
    <row r="285" spans="5:19" x14ac:dyDescent="0.75">
      <c r="E285">
        <v>280</v>
      </c>
      <c r="F285">
        <v>100</v>
      </c>
      <c r="G285">
        <f t="shared" ca="1" si="274"/>
        <v>100.04758648405216</v>
      </c>
      <c r="H285">
        <f t="shared" ca="1" si="274"/>
        <v>102.81028329425452</v>
      </c>
      <c r="I285">
        <f t="shared" ca="1" si="274"/>
        <v>95.533447158610542</v>
      </c>
      <c r="J285">
        <f t="shared" ca="1" si="274"/>
        <v>97.226557650990415</v>
      </c>
      <c r="K285">
        <f t="shared" ref="K285:P285" ca="1" si="300">J285*EXP(($C$4-0.5*$C$5^2)*$C$10+$C$5*SQRT($C$10)*NORMINV(RAND(),0,1))</f>
        <v>97.213959931010805</v>
      </c>
      <c r="L285">
        <f t="shared" ca="1" si="300"/>
        <v>101.36855473787259</v>
      </c>
      <c r="M285">
        <f t="shared" ca="1" si="300"/>
        <v>100.27484909677061</v>
      </c>
      <c r="N285">
        <f t="shared" ca="1" si="300"/>
        <v>100.84185875352736</v>
      </c>
      <c r="O285">
        <f t="shared" ca="1" si="300"/>
        <v>103.1458375134267</v>
      </c>
      <c r="P285">
        <f t="shared" ca="1" si="300"/>
        <v>96.988401342550418</v>
      </c>
      <c r="Q285">
        <f t="shared" ca="1" si="276"/>
        <v>99.586485087551466</v>
      </c>
      <c r="R285">
        <f t="shared" ca="1" si="277"/>
        <v>0</v>
      </c>
      <c r="S285">
        <f t="shared" ca="1" si="278"/>
        <v>0</v>
      </c>
    </row>
    <row r="286" spans="5:19" x14ac:dyDescent="0.75">
      <c r="E286">
        <v>281</v>
      </c>
      <c r="F286">
        <v>100</v>
      </c>
      <c r="G286">
        <f t="shared" ca="1" si="274"/>
        <v>91.271335073830429</v>
      </c>
      <c r="H286">
        <f t="shared" ca="1" si="274"/>
        <v>96.479975362947997</v>
      </c>
      <c r="I286">
        <f t="shared" ca="1" si="274"/>
        <v>104.89784466797691</v>
      </c>
      <c r="J286">
        <f t="shared" ca="1" si="274"/>
        <v>115.9681287110097</v>
      </c>
      <c r="K286">
        <f t="shared" ref="K286:P286" ca="1" si="301">J286*EXP(($C$4-0.5*$C$5^2)*$C$10+$C$5*SQRT($C$10)*NORMINV(RAND(),0,1))</f>
        <v>119.73576606745166</v>
      </c>
      <c r="L286">
        <f t="shared" ca="1" si="301"/>
        <v>114.7439695606255</v>
      </c>
      <c r="M286">
        <f t="shared" ca="1" si="301"/>
        <v>112.17293279350524</v>
      </c>
      <c r="N286">
        <f t="shared" ca="1" si="301"/>
        <v>124.43568838446738</v>
      </c>
      <c r="O286">
        <f t="shared" ca="1" si="301"/>
        <v>135.23248506119549</v>
      </c>
      <c r="P286">
        <f t="shared" ca="1" si="301"/>
        <v>149.30649063217541</v>
      </c>
      <c r="Q286">
        <f t="shared" ca="1" si="276"/>
        <v>114.93132875592597</v>
      </c>
      <c r="R286">
        <f t="shared" ca="1" si="277"/>
        <v>14.931328755925975</v>
      </c>
      <c r="S286">
        <f t="shared" ca="1" si="278"/>
        <v>14.635668637265645</v>
      </c>
    </row>
    <row r="287" spans="5:19" x14ac:dyDescent="0.75">
      <c r="E287">
        <v>282</v>
      </c>
      <c r="F287">
        <v>100</v>
      </c>
      <c r="G287">
        <f t="shared" ca="1" si="274"/>
        <v>92.447362580500098</v>
      </c>
      <c r="H287">
        <f t="shared" ca="1" si="274"/>
        <v>93.650438162185878</v>
      </c>
      <c r="I287">
        <f t="shared" ca="1" si="274"/>
        <v>92.412484669934358</v>
      </c>
      <c r="J287">
        <f t="shared" ca="1" si="274"/>
        <v>94.475112703953613</v>
      </c>
      <c r="K287">
        <f t="shared" ref="K287:P287" ca="1" si="302">J287*EXP(($C$4-0.5*$C$5^2)*$C$10+$C$5*SQRT($C$10)*NORMINV(RAND(),0,1))</f>
        <v>99.276139231356083</v>
      </c>
      <c r="L287">
        <f t="shared" ca="1" si="302"/>
        <v>103.68177560500983</v>
      </c>
      <c r="M287">
        <f t="shared" ca="1" si="302"/>
        <v>107.09558431692965</v>
      </c>
      <c r="N287">
        <f t="shared" ca="1" si="302"/>
        <v>103.9845837954929</v>
      </c>
      <c r="O287">
        <f t="shared" ca="1" si="302"/>
        <v>104.34104049713933</v>
      </c>
      <c r="P287">
        <f t="shared" ca="1" si="302"/>
        <v>116.91905523976534</v>
      </c>
      <c r="Q287">
        <f t="shared" ca="1" si="276"/>
        <v>100.75305243656975</v>
      </c>
      <c r="R287">
        <f t="shared" ca="1" si="277"/>
        <v>0.75305243656974596</v>
      </c>
      <c r="S287">
        <f t="shared" ca="1" si="278"/>
        <v>0.73814099925608445</v>
      </c>
    </row>
    <row r="288" spans="5:19" x14ac:dyDescent="0.75">
      <c r="E288">
        <v>283</v>
      </c>
      <c r="F288">
        <v>100</v>
      </c>
      <c r="G288">
        <f t="shared" ca="1" si="274"/>
        <v>97.047519602215615</v>
      </c>
      <c r="H288">
        <f t="shared" ca="1" si="274"/>
        <v>94.96398631243288</v>
      </c>
      <c r="I288">
        <f t="shared" ca="1" si="274"/>
        <v>114.18925241926586</v>
      </c>
      <c r="J288">
        <f t="shared" ca="1" si="274"/>
        <v>122.45375661396342</v>
      </c>
      <c r="K288">
        <f t="shared" ref="K288:P288" ca="1" si="303">J288*EXP(($C$4-0.5*$C$5^2)*$C$10+$C$5*SQRT($C$10)*NORMINV(RAND(),0,1))</f>
        <v>117.74692921625193</v>
      </c>
      <c r="L288">
        <f t="shared" ca="1" si="303"/>
        <v>126.38254579332184</v>
      </c>
      <c r="M288">
        <f t="shared" ca="1" si="303"/>
        <v>112.68106972955977</v>
      </c>
      <c r="N288">
        <f t="shared" ca="1" si="303"/>
        <v>108.81496726609697</v>
      </c>
      <c r="O288">
        <f t="shared" ca="1" si="303"/>
        <v>115.15487090372643</v>
      </c>
      <c r="P288">
        <f t="shared" ca="1" si="303"/>
        <v>109.39585220753973</v>
      </c>
      <c r="Q288">
        <f t="shared" ca="1" si="276"/>
        <v>110.80279546039769</v>
      </c>
      <c r="R288">
        <f t="shared" ca="1" si="277"/>
        <v>10.802795460397689</v>
      </c>
      <c r="S288">
        <f t="shared" ca="1" si="278"/>
        <v>10.588885778286054</v>
      </c>
    </row>
    <row r="289" spans="5:19" x14ac:dyDescent="0.75">
      <c r="E289">
        <v>284</v>
      </c>
      <c r="F289">
        <v>100</v>
      </c>
      <c r="G289">
        <f t="shared" ca="1" si="274"/>
        <v>92.459297206533876</v>
      </c>
      <c r="H289">
        <f t="shared" ca="1" si="274"/>
        <v>96.157176087091372</v>
      </c>
      <c r="I289">
        <f t="shared" ca="1" si="274"/>
        <v>102.66077847245981</v>
      </c>
      <c r="J289">
        <f t="shared" ca="1" si="274"/>
        <v>99.025951252116343</v>
      </c>
      <c r="K289">
        <f t="shared" ref="K289:P289" ca="1" si="304">J289*EXP(($C$4-0.5*$C$5^2)*$C$10+$C$5*SQRT($C$10)*NORMINV(RAND(),0,1))</f>
        <v>103.0896692583843</v>
      </c>
      <c r="L289">
        <f t="shared" ca="1" si="304"/>
        <v>99.944845206500446</v>
      </c>
      <c r="M289">
        <f t="shared" ca="1" si="304"/>
        <v>90.147399302237417</v>
      </c>
      <c r="N289">
        <f t="shared" ca="1" si="304"/>
        <v>90.197713960441533</v>
      </c>
      <c r="O289">
        <f t="shared" ca="1" si="304"/>
        <v>82.914608371184357</v>
      </c>
      <c r="P289">
        <f t="shared" ca="1" si="304"/>
        <v>84.166189797089345</v>
      </c>
      <c r="Q289">
        <f t="shared" ca="1" si="276"/>
        <v>94.614875355821695</v>
      </c>
      <c r="R289">
        <f t="shared" ca="1" si="277"/>
        <v>0</v>
      </c>
      <c r="S289">
        <f t="shared" ca="1" si="278"/>
        <v>0</v>
      </c>
    </row>
    <row r="290" spans="5:19" x14ac:dyDescent="0.75">
      <c r="E290">
        <v>285</v>
      </c>
      <c r="F290">
        <v>100</v>
      </c>
      <c r="G290">
        <f t="shared" ca="1" si="274"/>
        <v>94.331100740234064</v>
      </c>
      <c r="H290">
        <f t="shared" ca="1" si="274"/>
        <v>83.26224733012954</v>
      </c>
      <c r="I290">
        <f t="shared" ca="1" si="274"/>
        <v>91.210019235243465</v>
      </c>
      <c r="J290">
        <f t="shared" ca="1" si="274"/>
        <v>88.599517040139943</v>
      </c>
      <c r="K290">
        <f t="shared" ref="K290:P290" ca="1" si="305">J290*EXP(($C$4-0.5*$C$5^2)*$C$10+$C$5*SQRT($C$10)*NORMINV(RAND(),0,1))</f>
        <v>85.501094528339962</v>
      </c>
      <c r="L290">
        <f t="shared" ca="1" si="305"/>
        <v>83.98351653380665</v>
      </c>
      <c r="M290">
        <f t="shared" ca="1" si="305"/>
        <v>83.4778105405113</v>
      </c>
      <c r="N290">
        <f t="shared" ca="1" si="305"/>
        <v>72.077980338543199</v>
      </c>
      <c r="O290">
        <f t="shared" ca="1" si="305"/>
        <v>72.006348022684818</v>
      </c>
      <c r="P290">
        <f t="shared" ca="1" si="305"/>
        <v>73.03832714006785</v>
      </c>
      <c r="Q290">
        <f t="shared" ca="1" si="276"/>
        <v>84.317087404518261</v>
      </c>
      <c r="R290">
        <f t="shared" ca="1" si="277"/>
        <v>0</v>
      </c>
      <c r="S290">
        <f t="shared" ca="1" si="278"/>
        <v>0</v>
      </c>
    </row>
    <row r="291" spans="5:19" x14ac:dyDescent="0.75">
      <c r="E291">
        <v>286</v>
      </c>
      <c r="F291">
        <v>100</v>
      </c>
      <c r="G291">
        <f t="shared" ca="1" si="274"/>
        <v>104.97701524879818</v>
      </c>
      <c r="H291">
        <f t="shared" ca="1" si="274"/>
        <v>104.93725021920342</v>
      </c>
      <c r="I291">
        <f t="shared" ca="1" si="274"/>
        <v>103.59143887279932</v>
      </c>
      <c r="J291">
        <f t="shared" ca="1" si="274"/>
        <v>105.43581535327834</v>
      </c>
      <c r="K291">
        <f t="shared" ref="K291:P291" ca="1" si="306">J291*EXP(($C$4-0.5*$C$5^2)*$C$10+$C$5*SQRT($C$10)*NORMINV(RAND(),0,1))</f>
        <v>117.9887967129001</v>
      </c>
      <c r="L291">
        <f t="shared" ca="1" si="306"/>
        <v>120.63607646959278</v>
      </c>
      <c r="M291">
        <f t="shared" ca="1" si="306"/>
        <v>120.32875074237704</v>
      </c>
      <c r="N291">
        <f t="shared" ca="1" si="306"/>
        <v>123.83154010410365</v>
      </c>
      <c r="O291">
        <f t="shared" ca="1" si="306"/>
        <v>126.17364770172371</v>
      </c>
      <c r="P291">
        <f t="shared" ca="1" si="306"/>
        <v>123.37229774457245</v>
      </c>
      <c r="Q291">
        <f t="shared" ca="1" si="276"/>
        <v>113.75205719721356</v>
      </c>
      <c r="R291">
        <f t="shared" ca="1" si="277"/>
        <v>13.75205719721356</v>
      </c>
      <c r="S291">
        <f t="shared" ca="1" si="278"/>
        <v>13.479748219947346</v>
      </c>
    </row>
    <row r="292" spans="5:19" x14ac:dyDescent="0.75">
      <c r="E292">
        <v>287</v>
      </c>
      <c r="F292">
        <v>100</v>
      </c>
      <c r="G292">
        <f t="shared" ca="1" si="274"/>
        <v>101.48683902244198</v>
      </c>
      <c r="H292">
        <f t="shared" ca="1" si="274"/>
        <v>98.3329752964639</v>
      </c>
      <c r="I292">
        <f t="shared" ca="1" si="274"/>
        <v>89.400109972988574</v>
      </c>
      <c r="J292">
        <f t="shared" ca="1" si="274"/>
        <v>85.480071666536432</v>
      </c>
      <c r="K292">
        <f t="shared" ref="K292:P292" ca="1" si="307">J292*EXP(($C$4-0.5*$C$5^2)*$C$10+$C$5*SQRT($C$10)*NORMINV(RAND(),0,1))</f>
        <v>88.154902491830967</v>
      </c>
      <c r="L292">
        <f t="shared" ca="1" si="307"/>
        <v>80.958626417967011</v>
      </c>
      <c r="M292">
        <f t="shared" ca="1" si="307"/>
        <v>79.161201749733451</v>
      </c>
      <c r="N292">
        <f t="shared" ca="1" si="307"/>
        <v>80.741826897304719</v>
      </c>
      <c r="O292">
        <f t="shared" ca="1" si="307"/>
        <v>95.950702058222191</v>
      </c>
      <c r="P292">
        <f t="shared" ca="1" si="307"/>
        <v>91.654860637742161</v>
      </c>
      <c r="Q292">
        <f t="shared" ca="1" si="276"/>
        <v>90.120192382839207</v>
      </c>
      <c r="R292">
        <f t="shared" ca="1" si="277"/>
        <v>0</v>
      </c>
      <c r="S292">
        <f t="shared" ca="1" si="278"/>
        <v>0</v>
      </c>
    </row>
    <row r="293" spans="5:19" x14ac:dyDescent="0.75">
      <c r="E293">
        <v>288</v>
      </c>
      <c r="F293">
        <v>100</v>
      </c>
      <c r="G293">
        <f t="shared" ca="1" si="274"/>
        <v>97.35626981319794</v>
      </c>
      <c r="H293">
        <f t="shared" ca="1" si="274"/>
        <v>94.200572816372059</v>
      </c>
      <c r="I293">
        <f t="shared" ca="1" si="274"/>
        <v>88.356174905654356</v>
      </c>
      <c r="J293">
        <f t="shared" ca="1" si="274"/>
        <v>83.88571693738065</v>
      </c>
      <c r="K293">
        <f t="shared" ref="K293:P293" ca="1" si="308">J293*EXP(($C$4-0.5*$C$5^2)*$C$10+$C$5*SQRT($C$10)*NORMINV(RAND(),0,1))</f>
        <v>75.36944197635971</v>
      </c>
      <c r="L293">
        <f t="shared" ca="1" si="308"/>
        <v>71.544985158005133</v>
      </c>
      <c r="M293">
        <f t="shared" ca="1" si="308"/>
        <v>70.825339825420201</v>
      </c>
      <c r="N293">
        <f t="shared" ca="1" si="308"/>
        <v>67.171158891904113</v>
      </c>
      <c r="O293">
        <f t="shared" ca="1" si="308"/>
        <v>67.850873674003054</v>
      </c>
      <c r="P293">
        <f t="shared" ca="1" si="308"/>
        <v>74.305625647932914</v>
      </c>
      <c r="Q293">
        <f t="shared" ca="1" si="276"/>
        <v>80.987832695111834</v>
      </c>
      <c r="R293">
        <f t="shared" ca="1" si="277"/>
        <v>0</v>
      </c>
      <c r="S293">
        <f t="shared" ca="1" si="278"/>
        <v>0</v>
      </c>
    </row>
    <row r="294" spans="5:19" x14ac:dyDescent="0.75">
      <c r="E294">
        <v>289</v>
      </c>
      <c r="F294">
        <v>100</v>
      </c>
      <c r="G294">
        <f t="shared" ca="1" si="274"/>
        <v>103.25482808422109</v>
      </c>
      <c r="H294">
        <f t="shared" ca="1" si="274"/>
        <v>94.198494928857642</v>
      </c>
      <c r="I294">
        <f t="shared" ca="1" si="274"/>
        <v>96.865653708963904</v>
      </c>
      <c r="J294">
        <f t="shared" ca="1" si="274"/>
        <v>96.987933406905512</v>
      </c>
      <c r="K294">
        <f t="shared" ref="K294:P294" ca="1" si="309">J294*EXP(($C$4-0.5*$C$5^2)*$C$10+$C$5*SQRT($C$10)*NORMINV(RAND(),0,1))</f>
        <v>114.58905856555874</v>
      </c>
      <c r="L294">
        <f t="shared" ca="1" si="309"/>
        <v>116.23439546291125</v>
      </c>
      <c r="M294">
        <f t="shared" ca="1" si="309"/>
        <v>114.05601721563286</v>
      </c>
      <c r="N294">
        <f t="shared" ca="1" si="309"/>
        <v>121.56978275335517</v>
      </c>
      <c r="O294">
        <f t="shared" ca="1" si="309"/>
        <v>114.45681963650586</v>
      </c>
      <c r="P294">
        <f t="shared" ca="1" si="309"/>
        <v>110.56482244346972</v>
      </c>
      <c r="Q294">
        <f t="shared" ca="1" si="276"/>
        <v>107.52525510967106</v>
      </c>
      <c r="R294">
        <f t="shared" ca="1" si="277"/>
        <v>7.5252551096710647</v>
      </c>
      <c r="S294">
        <f t="shared" ca="1" si="278"/>
        <v>7.3762450747944586</v>
      </c>
    </row>
    <row r="295" spans="5:19" x14ac:dyDescent="0.75">
      <c r="E295">
        <v>290</v>
      </c>
      <c r="F295">
        <v>100</v>
      </c>
      <c r="G295">
        <f t="shared" ca="1" si="274"/>
        <v>105.99134662633179</v>
      </c>
      <c r="H295">
        <f t="shared" ca="1" si="274"/>
        <v>112.38457152419905</v>
      </c>
      <c r="I295">
        <f t="shared" ca="1" si="274"/>
        <v>115.20648352067063</v>
      </c>
      <c r="J295">
        <f t="shared" ca="1" si="274"/>
        <v>115.63217820378284</v>
      </c>
      <c r="K295">
        <f t="shared" ref="K295:P295" ca="1" si="310">J295*EXP(($C$4-0.5*$C$5^2)*$C$10+$C$5*SQRT($C$10)*NORMINV(RAND(),0,1))</f>
        <v>110.35245771038718</v>
      </c>
      <c r="L295">
        <f t="shared" ca="1" si="310"/>
        <v>102.9472932844867</v>
      </c>
      <c r="M295">
        <f t="shared" ca="1" si="310"/>
        <v>104.55999292417278</v>
      </c>
      <c r="N295">
        <f t="shared" ca="1" si="310"/>
        <v>95.575279401753164</v>
      </c>
      <c r="O295">
        <f t="shared" ca="1" si="310"/>
        <v>96.540530688736681</v>
      </c>
      <c r="P295">
        <f t="shared" ca="1" si="310"/>
        <v>87.704496219994155</v>
      </c>
      <c r="Q295">
        <f t="shared" ca="1" si="276"/>
        <v>104.26314819131954</v>
      </c>
      <c r="R295">
        <f t="shared" ca="1" si="277"/>
        <v>4.2631481913195444</v>
      </c>
      <c r="S295">
        <f t="shared" ca="1" si="278"/>
        <v>4.1787322012415107</v>
      </c>
    </row>
    <row r="296" spans="5:19" x14ac:dyDescent="0.75">
      <c r="E296">
        <v>291</v>
      </c>
      <c r="F296">
        <v>100</v>
      </c>
      <c r="G296">
        <f t="shared" ca="1" si="274"/>
        <v>102.68915137695902</v>
      </c>
      <c r="H296">
        <f t="shared" ca="1" si="274"/>
        <v>100.52498782781416</v>
      </c>
      <c r="I296">
        <f t="shared" ca="1" si="274"/>
        <v>98.543527133894088</v>
      </c>
      <c r="J296">
        <f t="shared" ca="1" si="274"/>
        <v>103.30477960477089</v>
      </c>
      <c r="K296">
        <f t="shared" ref="K296:P296" ca="1" si="311">J296*EXP(($C$4-0.5*$C$5^2)*$C$10+$C$5*SQRT($C$10)*NORMINV(RAND(),0,1))</f>
        <v>92.901502845552443</v>
      </c>
      <c r="L296">
        <f t="shared" ca="1" si="311"/>
        <v>98.428535494477416</v>
      </c>
      <c r="M296">
        <f t="shared" ca="1" si="311"/>
        <v>90.017406031893444</v>
      </c>
      <c r="N296">
        <f t="shared" ca="1" si="311"/>
        <v>101.31258308207246</v>
      </c>
      <c r="O296">
        <f t="shared" ca="1" si="311"/>
        <v>92.728473414437133</v>
      </c>
      <c r="P296">
        <f t="shared" ca="1" si="311"/>
        <v>93.858056846225637</v>
      </c>
      <c r="Q296">
        <f t="shared" ca="1" si="276"/>
        <v>97.664454878008797</v>
      </c>
      <c r="R296">
        <f t="shared" ca="1" si="277"/>
        <v>0</v>
      </c>
      <c r="S296">
        <f t="shared" ca="1" si="278"/>
        <v>0</v>
      </c>
    </row>
    <row r="297" spans="5:19" x14ac:dyDescent="0.75">
      <c r="E297">
        <v>292</v>
      </c>
      <c r="F297">
        <v>100</v>
      </c>
      <c r="G297">
        <f t="shared" ca="1" si="274"/>
        <v>90.642617730722122</v>
      </c>
      <c r="H297">
        <f t="shared" ca="1" si="274"/>
        <v>100.56147353556806</v>
      </c>
      <c r="I297">
        <f t="shared" ca="1" si="274"/>
        <v>99.471470095932645</v>
      </c>
      <c r="J297">
        <f t="shared" ca="1" si="274"/>
        <v>97.70793345128547</v>
      </c>
      <c r="K297">
        <f t="shared" ref="K297:P297" ca="1" si="312">J297*EXP(($C$4-0.5*$C$5^2)*$C$10+$C$5*SQRT($C$10)*NORMINV(RAND(),0,1))</f>
        <v>100.04710637452028</v>
      </c>
      <c r="L297">
        <f t="shared" ca="1" si="312"/>
        <v>100.38701120238694</v>
      </c>
      <c r="M297">
        <f t="shared" ca="1" si="312"/>
        <v>111.38497022971788</v>
      </c>
      <c r="N297">
        <f t="shared" ca="1" si="312"/>
        <v>114.27722792533243</v>
      </c>
      <c r="O297">
        <f t="shared" ca="1" si="312"/>
        <v>114.39297493842923</v>
      </c>
      <c r="P297">
        <f t="shared" ca="1" si="312"/>
        <v>106.48788697434935</v>
      </c>
      <c r="Q297">
        <f t="shared" ca="1" si="276"/>
        <v>103.21460658711311</v>
      </c>
      <c r="R297">
        <f t="shared" ca="1" si="277"/>
        <v>3.21460658711311</v>
      </c>
      <c r="S297">
        <f t="shared" ca="1" si="278"/>
        <v>3.1509531118914267</v>
      </c>
    </row>
    <row r="298" spans="5:19" x14ac:dyDescent="0.75">
      <c r="E298">
        <v>293</v>
      </c>
      <c r="F298">
        <v>100</v>
      </c>
      <c r="G298">
        <f t="shared" ca="1" si="274"/>
        <v>109.15695513556216</v>
      </c>
      <c r="H298">
        <f t="shared" ca="1" si="274"/>
        <v>108.4215677040679</v>
      </c>
      <c r="I298">
        <f t="shared" ca="1" si="274"/>
        <v>105.78715197215602</v>
      </c>
      <c r="J298">
        <f t="shared" ca="1" si="274"/>
        <v>114.6909992147793</v>
      </c>
      <c r="K298">
        <f t="shared" ref="K298:P298" ca="1" si="313">J298*EXP(($C$4-0.5*$C$5^2)*$C$10+$C$5*SQRT($C$10)*NORMINV(RAND(),0,1))</f>
        <v>116.41734220455761</v>
      </c>
      <c r="L298">
        <f t="shared" ca="1" si="313"/>
        <v>111.15125639784536</v>
      </c>
      <c r="M298">
        <f t="shared" ca="1" si="313"/>
        <v>124.62786153281206</v>
      </c>
      <c r="N298">
        <f t="shared" ca="1" si="313"/>
        <v>120.64787769104211</v>
      </c>
      <c r="O298">
        <f t="shared" ca="1" si="313"/>
        <v>115.11898464955721</v>
      </c>
      <c r="P298">
        <f t="shared" ca="1" si="313"/>
        <v>117.41908549606113</v>
      </c>
      <c r="Q298">
        <f t="shared" ca="1" si="276"/>
        <v>113.03991654531282</v>
      </c>
      <c r="R298">
        <f t="shared" ca="1" si="277"/>
        <v>13.039916545312821</v>
      </c>
      <c r="S298">
        <f t="shared" ca="1" si="278"/>
        <v>12.781708897746434</v>
      </c>
    </row>
    <row r="299" spans="5:19" x14ac:dyDescent="0.75">
      <c r="E299">
        <v>294</v>
      </c>
      <c r="F299">
        <v>100</v>
      </c>
      <c r="G299">
        <f t="shared" ca="1" si="274"/>
        <v>92.754301819601565</v>
      </c>
      <c r="H299">
        <f t="shared" ca="1" si="274"/>
        <v>98.122719441962346</v>
      </c>
      <c r="I299">
        <f t="shared" ca="1" si="274"/>
        <v>95.633121319205756</v>
      </c>
      <c r="J299">
        <f t="shared" ca="1" si="274"/>
        <v>95.247073158953953</v>
      </c>
      <c r="K299">
        <f t="shared" ref="K299:P299" ca="1" si="314">J299*EXP(($C$4-0.5*$C$5^2)*$C$10+$C$5*SQRT($C$10)*NORMINV(RAND(),0,1))</f>
        <v>91.204761715291824</v>
      </c>
      <c r="L299">
        <f t="shared" ca="1" si="314"/>
        <v>90.024379531982348</v>
      </c>
      <c r="M299">
        <f t="shared" ca="1" si="314"/>
        <v>89.378804214139024</v>
      </c>
      <c r="N299">
        <f t="shared" ca="1" si="314"/>
        <v>82.720852887202597</v>
      </c>
      <c r="O299">
        <f t="shared" ca="1" si="314"/>
        <v>81.810153996977121</v>
      </c>
      <c r="P299">
        <f t="shared" ca="1" si="314"/>
        <v>82.609156828186116</v>
      </c>
      <c r="Q299">
        <f t="shared" ca="1" si="276"/>
        <v>90.864120446682051</v>
      </c>
      <c r="R299">
        <f t="shared" ca="1" si="277"/>
        <v>0</v>
      </c>
      <c r="S299">
        <f t="shared" ca="1" si="278"/>
        <v>0</v>
      </c>
    </row>
    <row r="300" spans="5:19" x14ac:dyDescent="0.75">
      <c r="E300">
        <v>295</v>
      </c>
      <c r="F300">
        <v>100</v>
      </c>
      <c r="G300">
        <f t="shared" ca="1" si="274"/>
        <v>99.877189169268092</v>
      </c>
      <c r="H300">
        <f t="shared" ca="1" si="274"/>
        <v>90.269156255656966</v>
      </c>
      <c r="I300">
        <f t="shared" ca="1" si="274"/>
        <v>88.168196751711164</v>
      </c>
      <c r="J300">
        <f t="shared" ca="1" si="274"/>
        <v>93.127899971263929</v>
      </c>
      <c r="K300">
        <f t="shared" ref="K300:P300" ca="1" si="315">J300*EXP(($C$4-0.5*$C$5^2)*$C$10+$C$5*SQRT($C$10)*NORMINV(RAND(),0,1))</f>
        <v>86.54022608269031</v>
      </c>
      <c r="L300">
        <f t="shared" ca="1" si="315"/>
        <v>75.403401411491316</v>
      </c>
      <c r="M300">
        <f t="shared" ca="1" si="315"/>
        <v>81.338142861381414</v>
      </c>
      <c r="N300">
        <f t="shared" ca="1" si="315"/>
        <v>91.514470560920813</v>
      </c>
      <c r="O300">
        <f t="shared" ca="1" si="315"/>
        <v>88.755630671491275</v>
      </c>
      <c r="P300">
        <f t="shared" ca="1" si="315"/>
        <v>90.993206520532723</v>
      </c>
      <c r="Q300">
        <f t="shared" ca="1" si="276"/>
        <v>89.635229114218902</v>
      </c>
      <c r="R300">
        <f t="shared" ca="1" si="277"/>
        <v>0</v>
      </c>
      <c r="S300">
        <f t="shared" ca="1" si="278"/>
        <v>0</v>
      </c>
    </row>
    <row r="301" spans="5:19" x14ac:dyDescent="0.75">
      <c r="E301">
        <v>296</v>
      </c>
      <c r="F301">
        <v>100</v>
      </c>
      <c r="G301">
        <f t="shared" ca="1" si="274"/>
        <v>90.859268575714424</v>
      </c>
      <c r="H301">
        <f t="shared" ca="1" si="274"/>
        <v>91.359877370160987</v>
      </c>
      <c r="I301">
        <f t="shared" ca="1" si="274"/>
        <v>84.352863744673016</v>
      </c>
      <c r="J301">
        <f t="shared" ca="1" si="274"/>
        <v>87.005030578285712</v>
      </c>
      <c r="K301">
        <f t="shared" ref="K301:P301" ca="1" si="316">J301*EXP(($C$4-0.5*$C$5^2)*$C$10+$C$5*SQRT($C$10)*NORMINV(RAND(),0,1))</f>
        <v>89.016169464733309</v>
      </c>
      <c r="L301">
        <f t="shared" ca="1" si="316"/>
        <v>88.384335042366843</v>
      </c>
      <c r="M301">
        <f t="shared" ca="1" si="316"/>
        <v>95.326518069961594</v>
      </c>
      <c r="N301">
        <f t="shared" ca="1" si="316"/>
        <v>99.320598240600177</v>
      </c>
      <c r="O301">
        <f t="shared" ca="1" si="316"/>
        <v>116.29937598837459</v>
      </c>
      <c r="P301">
        <f t="shared" ca="1" si="316"/>
        <v>114.46032228617754</v>
      </c>
      <c r="Q301">
        <f t="shared" ca="1" si="276"/>
        <v>96.034941760095293</v>
      </c>
      <c r="R301">
        <f t="shared" ca="1" si="277"/>
        <v>0</v>
      </c>
      <c r="S301">
        <f t="shared" ca="1" si="278"/>
        <v>0</v>
      </c>
    </row>
    <row r="302" spans="5:19" x14ac:dyDescent="0.75">
      <c r="E302">
        <v>297</v>
      </c>
      <c r="F302">
        <v>100</v>
      </c>
      <c r="G302">
        <f t="shared" ca="1" si="274"/>
        <v>112.75945206796645</v>
      </c>
      <c r="H302">
        <f t="shared" ca="1" si="274"/>
        <v>95.212816435130563</v>
      </c>
      <c r="I302">
        <f t="shared" ca="1" si="274"/>
        <v>90.047915738453497</v>
      </c>
      <c r="J302">
        <f t="shared" ca="1" si="274"/>
        <v>81.785030861415464</v>
      </c>
      <c r="K302">
        <f t="shared" ref="K302:P302" ca="1" si="317">J302*EXP(($C$4-0.5*$C$5^2)*$C$10+$C$5*SQRT($C$10)*NORMINV(RAND(),0,1))</f>
        <v>81.381140715909609</v>
      </c>
      <c r="L302">
        <f t="shared" ca="1" si="317"/>
        <v>85.065768378819726</v>
      </c>
      <c r="M302">
        <f t="shared" ca="1" si="317"/>
        <v>93.398712782320644</v>
      </c>
      <c r="N302">
        <f t="shared" ca="1" si="317"/>
        <v>91.515898985965293</v>
      </c>
      <c r="O302">
        <f t="shared" ca="1" si="317"/>
        <v>98.815065918258838</v>
      </c>
      <c r="P302">
        <f t="shared" ca="1" si="317"/>
        <v>89.374080292291467</v>
      </c>
      <c r="Q302">
        <f t="shared" ca="1" si="276"/>
        <v>92.668716561502848</v>
      </c>
      <c r="R302">
        <f t="shared" ca="1" si="277"/>
        <v>0</v>
      </c>
      <c r="S302">
        <f t="shared" ca="1" si="278"/>
        <v>0</v>
      </c>
    </row>
    <row r="303" spans="5:19" x14ac:dyDescent="0.75">
      <c r="E303">
        <v>298</v>
      </c>
      <c r="F303">
        <v>100</v>
      </c>
      <c r="G303">
        <f t="shared" ca="1" si="274"/>
        <v>106.23896721992992</v>
      </c>
      <c r="H303">
        <f t="shared" ca="1" si="274"/>
        <v>100.95495874396276</v>
      </c>
      <c r="I303">
        <f t="shared" ca="1" si="274"/>
        <v>107.78181289842009</v>
      </c>
      <c r="J303">
        <f t="shared" ca="1" si="274"/>
        <v>113.1773523418876</v>
      </c>
      <c r="K303">
        <f t="shared" ref="K303:P303" ca="1" si="318">J303*EXP(($C$4-0.5*$C$5^2)*$C$10+$C$5*SQRT($C$10)*NORMINV(RAND(),0,1))</f>
        <v>127.95193294600583</v>
      </c>
      <c r="L303">
        <f t="shared" ca="1" si="318"/>
        <v>133.71460055516346</v>
      </c>
      <c r="M303">
        <f t="shared" ca="1" si="318"/>
        <v>139.01776332756975</v>
      </c>
      <c r="N303">
        <f t="shared" ca="1" si="318"/>
        <v>154.5434513016728</v>
      </c>
      <c r="O303">
        <f t="shared" ca="1" si="318"/>
        <v>139.92159883351229</v>
      </c>
      <c r="P303">
        <f t="shared" ca="1" si="318"/>
        <v>131.3065708079572</v>
      </c>
      <c r="Q303">
        <f t="shared" ca="1" si="276"/>
        <v>123.14627354328013</v>
      </c>
      <c r="R303">
        <f t="shared" ca="1" si="277"/>
        <v>23.146273543280131</v>
      </c>
      <c r="S303">
        <f t="shared" ca="1" si="278"/>
        <v>22.687946619118435</v>
      </c>
    </row>
    <row r="304" spans="5:19" x14ac:dyDescent="0.75">
      <c r="E304">
        <v>299</v>
      </c>
      <c r="F304">
        <v>100</v>
      </c>
      <c r="G304">
        <f t="shared" ca="1" si="274"/>
        <v>97.706280051235254</v>
      </c>
      <c r="H304">
        <f t="shared" ca="1" si="274"/>
        <v>99.036530101145374</v>
      </c>
      <c r="I304">
        <f t="shared" ca="1" si="274"/>
        <v>94.917024576677164</v>
      </c>
      <c r="J304">
        <f t="shared" ca="1" si="274"/>
        <v>104.80822599473561</v>
      </c>
      <c r="K304">
        <f t="shared" ref="K304:P304" ca="1" si="319">J304*EXP(($C$4-0.5*$C$5^2)*$C$10+$C$5*SQRT($C$10)*NORMINV(RAND(),0,1))</f>
        <v>108.83896195055922</v>
      </c>
      <c r="L304">
        <f t="shared" ca="1" si="319"/>
        <v>107.56311922598968</v>
      </c>
      <c r="M304">
        <f t="shared" ca="1" si="319"/>
        <v>109.15327273834679</v>
      </c>
      <c r="N304">
        <f t="shared" ca="1" si="319"/>
        <v>98.853472919572539</v>
      </c>
      <c r="O304">
        <f t="shared" ca="1" si="319"/>
        <v>91.520553930172625</v>
      </c>
      <c r="P304">
        <f t="shared" ca="1" si="319"/>
        <v>87.584318721713828</v>
      </c>
      <c r="Q304">
        <f t="shared" ca="1" si="276"/>
        <v>99.998341837286176</v>
      </c>
      <c r="R304">
        <f t="shared" ca="1" si="277"/>
        <v>0</v>
      </c>
      <c r="S304">
        <f t="shared" ca="1" si="278"/>
        <v>0</v>
      </c>
    </row>
    <row r="305" spans="5:19" x14ac:dyDescent="0.75">
      <c r="E305">
        <v>300</v>
      </c>
      <c r="F305">
        <v>100</v>
      </c>
      <c r="G305">
        <f t="shared" ca="1" si="274"/>
        <v>99.356207042481245</v>
      </c>
      <c r="H305">
        <f t="shared" ca="1" si="274"/>
        <v>98.219794668097322</v>
      </c>
      <c r="I305">
        <f t="shared" ca="1" si="274"/>
        <v>84.281718889095373</v>
      </c>
      <c r="J305">
        <f t="shared" ca="1" si="274"/>
        <v>91.433886219123451</v>
      </c>
      <c r="K305">
        <f t="shared" ref="K305:P305" ca="1" si="320">J305*EXP(($C$4-0.5*$C$5^2)*$C$10+$C$5*SQRT($C$10)*NORMINV(RAND(),0,1))</f>
        <v>79.983367750228993</v>
      </c>
      <c r="L305">
        <f t="shared" ca="1" si="320"/>
        <v>79.380634309154786</v>
      </c>
      <c r="M305">
        <f t="shared" ca="1" si="320"/>
        <v>74.830404666139586</v>
      </c>
      <c r="N305">
        <f t="shared" ca="1" si="320"/>
        <v>74.998837987302764</v>
      </c>
      <c r="O305">
        <f t="shared" ca="1" si="320"/>
        <v>74.41988935207398</v>
      </c>
      <c r="P305">
        <f t="shared" ca="1" si="320"/>
        <v>74.021349890847617</v>
      </c>
      <c r="Q305">
        <f t="shared" ca="1" si="276"/>
        <v>84.629644615867733</v>
      </c>
      <c r="R305">
        <f t="shared" ca="1" si="277"/>
        <v>0</v>
      </c>
      <c r="S305">
        <f t="shared" ca="1" si="278"/>
        <v>0</v>
      </c>
    </row>
    <row r="306" spans="5:19" x14ac:dyDescent="0.75">
      <c r="E306">
        <v>301</v>
      </c>
      <c r="F306">
        <v>100</v>
      </c>
      <c r="G306">
        <f t="shared" ca="1" si="274"/>
        <v>103.54466856459892</v>
      </c>
      <c r="H306">
        <f t="shared" ca="1" si="274"/>
        <v>104.14404138074376</v>
      </c>
      <c r="I306">
        <f t="shared" ca="1" si="274"/>
        <v>103.80184198133567</v>
      </c>
      <c r="J306">
        <f t="shared" ca="1" si="274"/>
        <v>113.8385886539529</v>
      </c>
      <c r="K306">
        <f t="shared" ref="K306:P306" ca="1" si="321">J306*EXP(($C$4-0.5*$C$5^2)*$C$10+$C$5*SQRT($C$10)*NORMINV(RAND(),0,1))</f>
        <v>121.58935794799724</v>
      </c>
      <c r="L306">
        <f t="shared" ca="1" si="321"/>
        <v>111.38941320837087</v>
      </c>
      <c r="M306">
        <f t="shared" ca="1" si="321"/>
        <v>116.11446360259629</v>
      </c>
      <c r="N306">
        <f t="shared" ca="1" si="321"/>
        <v>117.2089715085564</v>
      </c>
      <c r="O306">
        <f t="shared" ca="1" si="321"/>
        <v>118.0517322736835</v>
      </c>
      <c r="P306">
        <f t="shared" ca="1" si="321"/>
        <v>120.22295176392792</v>
      </c>
      <c r="Q306">
        <f t="shared" ca="1" si="276"/>
        <v>111.80963917143305</v>
      </c>
      <c r="R306">
        <f t="shared" ca="1" si="277"/>
        <v>11.809639171433048</v>
      </c>
      <c r="S306">
        <f t="shared" ca="1" si="278"/>
        <v>11.575792648070163</v>
      </c>
    </row>
    <row r="307" spans="5:19" x14ac:dyDescent="0.75">
      <c r="E307">
        <v>302</v>
      </c>
      <c r="F307">
        <v>100</v>
      </c>
      <c r="G307">
        <f t="shared" ca="1" si="274"/>
        <v>97.113708475848199</v>
      </c>
      <c r="H307">
        <f t="shared" ca="1" si="274"/>
        <v>89.681011955394027</v>
      </c>
      <c r="I307">
        <f t="shared" ca="1" si="274"/>
        <v>94.002205311587687</v>
      </c>
      <c r="J307">
        <f t="shared" ca="1" si="274"/>
        <v>96.087847478097729</v>
      </c>
      <c r="K307">
        <f t="shared" ref="K307:P307" ca="1" si="322">J307*EXP(($C$4-0.5*$C$5^2)*$C$10+$C$5*SQRT($C$10)*NORMINV(RAND(),0,1))</f>
        <v>92.824476967472052</v>
      </c>
      <c r="L307">
        <f t="shared" ca="1" si="322"/>
        <v>95.826171405310745</v>
      </c>
      <c r="M307">
        <f t="shared" ca="1" si="322"/>
        <v>93.440420822407617</v>
      </c>
      <c r="N307">
        <f t="shared" ca="1" si="322"/>
        <v>97.696572747091466</v>
      </c>
      <c r="O307">
        <f t="shared" ca="1" si="322"/>
        <v>97.178376234848159</v>
      </c>
      <c r="P307">
        <f t="shared" ca="1" si="322"/>
        <v>91.687175092210481</v>
      </c>
      <c r="Q307">
        <f t="shared" ca="1" si="276"/>
        <v>95.048906044569833</v>
      </c>
      <c r="R307">
        <f t="shared" ca="1" si="277"/>
        <v>0</v>
      </c>
      <c r="S307">
        <f t="shared" ca="1" si="278"/>
        <v>0</v>
      </c>
    </row>
    <row r="308" spans="5:19" x14ac:dyDescent="0.75">
      <c r="E308">
        <v>303</v>
      </c>
      <c r="F308">
        <v>100</v>
      </c>
      <c r="G308">
        <f t="shared" ca="1" si="274"/>
        <v>93.217778240787936</v>
      </c>
      <c r="H308">
        <f t="shared" ca="1" si="274"/>
        <v>82.685425204175758</v>
      </c>
      <c r="I308">
        <f t="shared" ca="1" si="274"/>
        <v>74.305221935902765</v>
      </c>
      <c r="J308">
        <f t="shared" ca="1" si="274"/>
        <v>72.278991984334553</v>
      </c>
      <c r="K308">
        <f t="shared" ref="K308:P308" ca="1" si="323">J308*EXP(($C$4-0.5*$C$5^2)*$C$10+$C$5*SQRT($C$10)*NORMINV(RAND(),0,1))</f>
        <v>78.047765254480794</v>
      </c>
      <c r="L308">
        <f t="shared" ca="1" si="323"/>
        <v>74.63582321023371</v>
      </c>
      <c r="M308">
        <f t="shared" ca="1" si="323"/>
        <v>79.890962343798577</v>
      </c>
      <c r="N308">
        <f t="shared" ca="1" si="323"/>
        <v>80.188167727393378</v>
      </c>
      <c r="O308">
        <f t="shared" ca="1" si="323"/>
        <v>80.504624459367932</v>
      </c>
      <c r="P308">
        <f t="shared" ca="1" si="323"/>
        <v>85.677747025902462</v>
      </c>
      <c r="Q308">
        <f t="shared" ca="1" si="276"/>
        <v>81.948409762398001</v>
      </c>
      <c r="R308">
        <f t="shared" ca="1" si="277"/>
        <v>0</v>
      </c>
      <c r="S308">
        <f t="shared" ca="1" si="278"/>
        <v>0</v>
      </c>
    </row>
    <row r="309" spans="5:19" x14ac:dyDescent="0.75">
      <c r="E309">
        <v>304</v>
      </c>
      <c r="F309">
        <v>100</v>
      </c>
      <c r="G309">
        <f t="shared" ca="1" si="274"/>
        <v>105.7943996578698</v>
      </c>
      <c r="H309">
        <f t="shared" ca="1" si="274"/>
        <v>108.42082954483629</v>
      </c>
      <c r="I309">
        <f t="shared" ca="1" si="274"/>
        <v>99.119116376880598</v>
      </c>
      <c r="J309">
        <f t="shared" ca="1" si="274"/>
        <v>103.00036043864684</v>
      </c>
      <c r="K309">
        <f t="shared" ref="K309:P309" ca="1" si="324">J309*EXP(($C$4-0.5*$C$5^2)*$C$10+$C$5*SQRT($C$10)*NORMINV(RAND(),0,1))</f>
        <v>100.19275380932041</v>
      </c>
      <c r="L309">
        <f t="shared" ca="1" si="324"/>
        <v>89.109622911300136</v>
      </c>
      <c r="M309">
        <f t="shared" ca="1" si="324"/>
        <v>86.932853093627514</v>
      </c>
      <c r="N309">
        <f t="shared" ca="1" si="324"/>
        <v>86.835512793339618</v>
      </c>
      <c r="O309">
        <f t="shared" ca="1" si="324"/>
        <v>85.683688551841612</v>
      </c>
      <c r="P309">
        <f t="shared" ca="1" si="324"/>
        <v>94.785640317100658</v>
      </c>
      <c r="Q309">
        <f t="shared" ca="1" si="276"/>
        <v>96.352252499523942</v>
      </c>
      <c r="R309">
        <f t="shared" ca="1" si="277"/>
        <v>0</v>
      </c>
      <c r="S309">
        <f t="shared" ca="1" si="278"/>
        <v>0</v>
      </c>
    </row>
    <row r="310" spans="5:19" x14ac:dyDescent="0.75">
      <c r="E310">
        <v>305</v>
      </c>
      <c r="F310">
        <v>100</v>
      </c>
      <c r="G310">
        <f t="shared" ca="1" si="274"/>
        <v>98.927021414935083</v>
      </c>
      <c r="H310">
        <f t="shared" ca="1" si="274"/>
        <v>107.65369914771209</v>
      </c>
      <c r="I310">
        <f t="shared" ca="1" si="274"/>
        <v>121.99923284164139</v>
      </c>
      <c r="J310">
        <f t="shared" ca="1" si="274"/>
        <v>123.71033881769709</v>
      </c>
      <c r="K310">
        <f t="shared" ref="K310:P310" ca="1" si="325">J310*EXP(($C$4-0.5*$C$5^2)*$C$10+$C$5*SQRT($C$10)*NORMINV(RAND(),0,1))</f>
        <v>115.46533700339765</v>
      </c>
      <c r="L310">
        <f t="shared" ca="1" si="325"/>
        <v>110.96541022060717</v>
      </c>
      <c r="M310">
        <f t="shared" ca="1" si="325"/>
        <v>111.38641341214709</v>
      </c>
      <c r="N310">
        <f t="shared" ca="1" si="325"/>
        <v>110.00397624707941</v>
      </c>
      <c r="O310">
        <f t="shared" ca="1" si="325"/>
        <v>105.35504862091052</v>
      </c>
      <c r="P310">
        <f t="shared" ca="1" si="325"/>
        <v>111.21003355270443</v>
      </c>
      <c r="Q310">
        <f t="shared" ca="1" si="276"/>
        <v>110.60695557080292</v>
      </c>
      <c r="R310">
        <f t="shared" ca="1" si="277"/>
        <v>10.606955570802924</v>
      </c>
      <c r="S310">
        <f t="shared" ca="1" si="278"/>
        <v>10.396923778324723</v>
      </c>
    </row>
    <row r="311" spans="5:19" x14ac:dyDescent="0.75">
      <c r="E311">
        <v>306</v>
      </c>
      <c r="F311">
        <v>100</v>
      </c>
      <c r="G311">
        <f t="shared" ca="1" si="274"/>
        <v>113.6007667296138</v>
      </c>
      <c r="H311">
        <f t="shared" ca="1" si="274"/>
        <v>111.1000761335044</v>
      </c>
      <c r="I311">
        <f t="shared" ca="1" si="274"/>
        <v>106.95984235285808</v>
      </c>
      <c r="J311">
        <f t="shared" ca="1" si="274"/>
        <v>96.96155278665421</v>
      </c>
      <c r="K311">
        <f t="shared" ref="K311:P311" ca="1" si="326">J311*EXP(($C$4-0.5*$C$5^2)*$C$10+$C$5*SQRT($C$10)*NORMINV(RAND(),0,1))</f>
        <v>92.587419078698218</v>
      </c>
      <c r="L311">
        <f t="shared" ca="1" si="326"/>
        <v>94.560490365911988</v>
      </c>
      <c r="M311">
        <f t="shared" ca="1" si="326"/>
        <v>99.152772633744789</v>
      </c>
      <c r="N311">
        <f t="shared" ca="1" si="326"/>
        <v>104.67830577142001</v>
      </c>
      <c r="O311">
        <f t="shared" ca="1" si="326"/>
        <v>103.19974562625727</v>
      </c>
      <c r="P311">
        <f t="shared" ca="1" si="326"/>
        <v>99.506408145694706</v>
      </c>
      <c r="Q311">
        <f t="shared" ca="1" si="276"/>
        <v>102.02794360221429</v>
      </c>
      <c r="R311">
        <f t="shared" ca="1" si="277"/>
        <v>2.0279436022142932</v>
      </c>
      <c r="S311">
        <f t="shared" ca="1" si="278"/>
        <v>1.9877876284313725</v>
      </c>
    </row>
    <row r="312" spans="5:19" x14ac:dyDescent="0.75">
      <c r="E312">
        <v>307</v>
      </c>
      <c r="F312">
        <v>100</v>
      </c>
      <c r="G312">
        <f t="shared" ca="1" si="274"/>
        <v>103.27814922252574</v>
      </c>
      <c r="H312">
        <f t="shared" ca="1" si="274"/>
        <v>102.79327209499723</v>
      </c>
      <c r="I312">
        <f t="shared" ca="1" si="274"/>
        <v>101.94962869374189</v>
      </c>
      <c r="J312">
        <f t="shared" ca="1" si="274"/>
        <v>100.87395117501484</v>
      </c>
      <c r="K312">
        <f t="shared" ref="K312:P312" ca="1" si="327">J312*EXP(($C$4-0.5*$C$5^2)*$C$10+$C$5*SQRT($C$10)*NORMINV(RAND(),0,1))</f>
        <v>98.331137879023302</v>
      </c>
      <c r="L312">
        <f t="shared" ca="1" si="327"/>
        <v>111.27661357949762</v>
      </c>
      <c r="M312">
        <f t="shared" ca="1" si="327"/>
        <v>102.38810866214919</v>
      </c>
      <c r="N312">
        <f t="shared" ca="1" si="327"/>
        <v>112.30340339461665</v>
      </c>
      <c r="O312">
        <f t="shared" ca="1" si="327"/>
        <v>118.78888484333874</v>
      </c>
      <c r="P312">
        <f t="shared" ca="1" si="327"/>
        <v>111.33760315640095</v>
      </c>
      <c r="Q312">
        <f t="shared" ca="1" si="276"/>
        <v>105.75643206375511</v>
      </c>
      <c r="R312">
        <f t="shared" ca="1" si="277"/>
        <v>5.7564320637551134</v>
      </c>
      <c r="S312">
        <f t="shared" ca="1" si="278"/>
        <v>5.6424470718732289</v>
      </c>
    </row>
    <row r="313" spans="5:19" x14ac:dyDescent="0.75">
      <c r="E313">
        <v>308</v>
      </c>
      <c r="F313">
        <v>100</v>
      </c>
      <c r="G313">
        <f t="shared" ca="1" si="274"/>
        <v>90.071951049972569</v>
      </c>
      <c r="H313">
        <f t="shared" ca="1" si="274"/>
        <v>98.100572828167898</v>
      </c>
      <c r="I313">
        <f t="shared" ca="1" si="274"/>
        <v>99.607932162420937</v>
      </c>
      <c r="J313">
        <f t="shared" ca="1" si="274"/>
        <v>93.655309427187547</v>
      </c>
      <c r="K313">
        <f t="shared" ref="K313:P313" ca="1" si="328">J313*EXP(($C$4-0.5*$C$5^2)*$C$10+$C$5*SQRT($C$10)*NORMINV(RAND(),0,1))</f>
        <v>100.05070108535065</v>
      </c>
      <c r="L313">
        <f t="shared" ca="1" si="328"/>
        <v>96.771796303749781</v>
      </c>
      <c r="M313">
        <f t="shared" ca="1" si="328"/>
        <v>106.89546381614753</v>
      </c>
      <c r="N313">
        <f t="shared" ca="1" si="328"/>
        <v>97.836882594737148</v>
      </c>
      <c r="O313">
        <f t="shared" ca="1" si="328"/>
        <v>101.14879931325125</v>
      </c>
      <c r="P313">
        <f t="shared" ca="1" si="328"/>
        <v>104.9511644533634</v>
      </c>
      <c r="Q313">
        <f t="shared" ca="1" si="276"/>
        <v>99.008233912213527</v>
      </c>
      <c r="R313">
        <f t="shared" ca="1" si="277"/>
        <v>0</v>
      </c>
      <c r="S313">
        <f t="shared" ca="1" si="278"/>
        <v>0</v>
      </c>
    </row>
    <row r="314" spans="5:19" x14ac:dyDescent="0.75">
      <c r="E314">
        <v>309</v>
      </c>
      <c r="F314">
        <v>100</v>
      </c>
      <c r="G314">
        <f t="shared" ca="1" si="274"/>
        <v>100.92585926893598</v>
      </c>
      <c r="H314">
        <f t="shared" ca="1" si="274"/>
        <v>100.84493970996252</v>
      </c>
      <c r="I314">
        <f t="shared" ca="1" si="274"/>
        <v>109.10322109021965</v>
      </c>
      <c r="J314">
        <f t="shared" ca="1" si="274"/>
        <v>109.26232702927319</v>
      </c>
      <c r="K314">
        <f t="shared" ref="K314:P314" ca="1" si="329">J314*EXP(($C$4-0.5*$C$5^2)*$C$10+$C$5*SQRT($C$10)*NORMINV(RAND(),0,1))</f>
        <v>105.28780946159567</v>
      </c>
      <c r="L314">
        <f t="shared" ca="1" si="329"/>
        <v>116.04915398565007</v>
      </c>
      <c r="M314">
        <f t="shared" ca="1" si="329"/>
        <v>116.62216836692774</v>
      </c>
      <c r="N314">
        <f t="shared" ca="1" si="329"/>
        <v>119.17898756013155</v>
      </c>
      <c r="O314">
        <f t="shared" ca="1" si="329"/>
        <v>112.44902624944343</v>
      </c>
      <c r="P314">
        <f t="shared" ca="1" si="329"/>
        <v>103.10933359190835</v>
      </c>
      <c r="Q314">
        <f t="shared" ca="1" si="276"/>
        <v>108.43934784673165</v>
      </c>
      <c r="R314">
        <f t="shared" ca="1" si="277"/>
        <v>8.4393478467316498</v>
      </c>
      <c r="S314">
        <f t="shared" ca="1" si="278"/>
        <v>8.2722375629405853</v>
      </c>
    </row>
    <row r="315" spans="5:19" x14ac:dyDescent="0.75">
      <c r="E315">
        <v>310</v>
      </c>
      <c r="F315">
        <v>100</v>
      </c>
      <c r="G315">
        <f t="shared" ca="1" si="274"/>
        <v>96.030387681744386</v>
      </c>
      <c r="H315">
        <f t="shared" ca="1" si="274"/>
        <v>101.9301285338202</v>
      </c>
      <c r="I315">
        <f t="shared" ca="1" si="274"/>
        <v>103.89669607578026</v>
      </c>
      <c r="J315">
        <f t="shared" ca="1" si="274"/>
        <v>91.902851802508039</v>
      </c>
      <c r="K315">
        <f t="shared" ref="K315:P315" ca="1" si="330">J315*EXP(($C$4-0.5*$C$5^2)*$C$10+$C$5*SQRT($C$10)*NORMINV(RAND(),0,1))</f>
        <v>90.18161269031539</v>
      </c>
      <c r="L315">
        <f t="shared" ca="1" si="330"/>
        <v>90.029257505492808</v>
      </c>
      <c r="M315">
        <f t="shared" ca="1" si="330"/>
        <v>90.584546892167864</v>
      </c>
      <c r="N315">
        <f t="shared" ca="1" si="330"/>
        <v>95.695182580064227</v>
      </c>
      <c r="O315">
        <f t="shared" ca="1" si="330"/>
        <v>101.74867021021558</v>
      </c>
      <c r="P315">
        <f t="shared" ca="1" si="330"/>
        <v>113.70812900604395</v>
      </c>
      <c r="Q315">
        <f t="shared" ca="1" si="276"/>
        <v>97.79158754346841</v>
      </c>
      <c r="R315">
        <f t="shared" ca="1" si="277"/>
        <v>0</v>
      </c>
      <c r="S315">
        <f t="shared" ca="1" si="278"/>
        <v>0</v>
      </c>
    </row>
    <row r="316" spans="5:19" x14ac:dyDescent="0.75">
      <c r="E316">
        <v>311</v>
      </c>
      <c r="F316">
        <v>100</v>
      </c>
      <c r="G316">
        <f t="shared" ca="1" si="274"/>
        <v>109.45278936565121</v>
      </c>
      <c r="H316">
        <f t="shared" ca="1" si="274"/>
        <v>105.26021321290807</v>
      </c>
      <c r="I316">
        <f t="shared" ca="1" si="274"/>
        <v>119.08884925919519</v>
      </c>
      <c r="J316">
        <f t="shared" ca="1" si="274"/>
        <v>122.51354297955346</v>
      </c>
      <c r="K316">
        <f t="shared" ref="K316:P316" ca="1" si="331">J316*EXP(($C$4-0.5*$C$5^2)*$C$10+$C$5*SQRT($C$10)*NORMINV(RAND(),0,1))</f>
        <v>117.76694682818818</v>
      </c>
      <c r="L316">
        <f t="shared" ca="1" si="331"/>
        <v>135.30946434106767</v>
      </c>
      <c r="M316">
        <f t="shared" ca="1" si="331"/>
        <v>147.7580743788275</v>
      </c>
      <c r="N316">
        <f t="shared" ca="1" si="331"/>
        <v>149.44712363321827</v>
      </c>
      <c r="O316">
        <f t="shared" ca="1" si="331"/>
        <v>151.18926636982474</v>
      </c>
      <c r="P316">
        <f t="shared" ca="1" si="331"/>
        <v>150.39731145484691</v>
      </c>
      <c r="Q316">
        <f t="shared" ca="1" si="276"/>
        <v>128.01668925666192</v>
      </c>
      <c r="R316">
        <f t="shared" ca="1" si="277"/>
        <v>28.01668925666192</v>
      </c>
      <c r="S316">
        <f t="shared" ca="1" si="278"/>
        <v>27.461921639827636</v>
      </c>
    </row>
    <row r="317" spans="5:19" x14ac:dyDescent="0.75">
      <c r="E317">
        <v>312</v>
      </c>
      <c r="F317">
        <v>100</v>
      </c>
      <c r="G317">
        <f t="shared" ca="1" si="274"/>
        <v>96.775649081986771</v>
      </c>
      <c r="H317">
        <f t="shared" ca="1" si="274"/>
        <v>95.834432716124141</v>
      </c>
      <c r="I317">
        <f t="shared" ca="1" si="274"/>
        <v>107.13857365626538</v>
      </c>
      <c r="J317">
        <f t="shared" ca="1" si="274"/>
        <v>96.28574891226971</v>
      </c>
      <c r="K317">
        <f t="shared" ref="K317:P317" ca="1" si="332">J317*EXP(($C$4-0.5*$C$5^2)*$C$10+$C$5*SQRT($C$10)*NORMINV(RAND(),0,1))</f>
        <v>97.287018736608147</v>
      </c>
      <c r="L317">
        <f t="shared" ca="1" si="332"/>
        <v>98.495858539304152</v>
      </c>
      <c r="M317">
        <f t="shared" ca="1" si="332"/>
        <v>102.09170620499701</v>
      </c>
      <c r="N317">
        <f t="shared" ca="1" si="332"/>
        <v>104.39126057400931</v>
      </c>
      <c r="O317">
        <f t="shared" ca="1" si="332"/>
        <v>92.995887119758095</v>
      </c>
      <c r="P317">
        <f t="shared" ca="1" si="332"/>
        <v>95.938364002551324</v>
      </c>
      <c r="Q317">
        <f t="shared" ca="1" si="276"/>
        <v>98.839499958533992</v>
      </c>
      <c r="R317">
        <f t="shared" ca="1" si="277"/>
        <v>0</v>
      </c>
      <c r="S317">
        <f t="shared" ca="1" si="278"/>
        <v>0</v>
      </c>
    </row>
    <row r="318" spans="5:19" x14ac:dyDescent="0.75">
      <c r="E318">
        <v>313</v>
      </c>
      <c r="F318">
        <v>100</v>
      </c>
      <c r="G318">
        <f t="shared" ca="1" si="274"/>
        <v>99.373036822405638</v>
      </c>
      <c r="H318">
        <f t="shared" ca="1" si="274"/>
        <v>95.036773870902991</v>
      </c>
      <c r="I318">
        <f t="shared" ca="1" si="274"/>
        <v>91.95199133915969</v>
      </c>
      <c r="J318">
        <f t="shared" ca="1" si="274"/>
        <v>89.937145458497909</v>
      </c>
      <c r="K318">
        <f t="shared" ref="K318:P318" ca="1" si="333">J318*EXP(($C$4-0.5*$C$5^2)*$C$10+$C$5*SQRT($C$10)*NORMINV(RAND(),0,1))</f>
        <v>84.133420785148431</v>
      </c>
      <c r="L318">
        <f t="shared" ca="1" si="333"/>
        <v>89.034547583614312</v>
      </c>
      <c r="M318">
        <f t="shared" ca="1" si="333"/>
        <v>78.227362098293128</v>
      </c>
      <c r="N318">
        <f t="shared" ca="1" si="333"/>
        <v>81.141532383949894</v>
      </c>
      <c r="O318">
        <f t="shared" ca="1" si="333"/>
        <v>81.826871045647763</v>
      </c>
      <c r="P318">
        <f t="shared" ca="1" si="333"/>
        <v>82.592499673645648</v>
      </c>
      <c r="Q318">
        <f t="shared" ca="1" si="276"/>
        <v>88.477743732842313</v>
      </c>
      <c r="R318">
        <f t="shared" ca="1" si="277"/>
        <v>0</v>
      </c>
      <c r="S318">
        <f t="shared" ca="1" si="278"/>
        <v>0</v>
      </c>
    </row>
    <row r="319" spans="5:19" x14ac:dyDescent="0.75">
      <c r="E319">
        <v>314</v>
      </c>
      <c r="F319">
        <v>100</v>
      </c>
      <c r="G319">
        <f t="shared" ca="1" si="274"/>
        <v>92.051775295291733</v>
      </c>
      <c r="H319">
        <f t="shared" ca="1" si="274"/>
        <v>85.617890987808252</v>
      </c>
      <c r="I319">
        <f t="shared" ca="1" si="274"/>
        <v>95.231984850008885</v>
      </c>
      <c r="J319">
        <f t="shared" ca="1" si="274"/>
        <v>93.208466809139026</v>
      </c>
      <c r="K319">
        <f t="shared" ref="K319:P319" ca="1" si="334">J319*EXP(($C$4-0.5*$C$5^2)*$C$10+$C$5*SQRT($C$10)*NORMINV(RAND(),0,1))</f>
        <v>84.053158384302336</v>
      </c>
      <c r="L319">
        <f t="shared" ca="1" si="334"/>
        <v>79.617096915423687</v>
      </c>
      <c r="M319">
        <f t="shared" ca="1" si="334"/>
        <v>81.896996874534636</v>
      </c>
      <c r="N319">
        <f t="shared" ca="1" si="334"/>
        <v>92.555641778527431</v>
      </c>
      <c r="O319">
        <f t="shared" ca="1" si="334"/>
        <v>94.216263457874888</v>
      </c>
      <c r="P319">
        <f t="shared" ca="1" si="334"/>
        <v>99.119303584763472</v>
      </c>
      <c r="Q319">
        <f t="shared" ca="1" si="276"/>
        <v>90.688052630697669</v>
      </c>
      <c r="R319">
        <f t="shared" ca="1" si="277"/>
        <v>0</v>
      </c>
      <c r="S319">
        <f t="shared" ca="1" si="278"/>
        <v>0</v>
      </c>
    </row>
    <row r="320" spans="5:19" x14ac:dyDescent="0.75">
      <c r="E320">
        <v>315</v>
      </c>
      <c r="F320">
        <v>100</v>
      </c>
      <c r="G320">
        <f t="shared" ca="1" si="274"/>
        <v>107.75547194918286</v>
      </c>
      <c r="H320">
        <f t="shared" ca="1" si="274"/>
        <v>112.80845257801275</v>
      </c>
      <c r="I320">
        <f t="shared" ca="1" si="274"/>
        <v>106.15597458004383</v>
      </c>
      <c r="J320">
        <f t="shared" ca="1" si="274"/>
        <v>103.35903826527615</v>
      </c>
      <c r="K320">
        <f t="shared" ref="K320:P320" ca="1" si="335">J320*EXP(($C$4-0.5*$C$5^2)*$C$10+$C$5*SQRT($C$10)*NORMINV(RAND(),0,1))</f>
        <v>100.87835467471029</v>
      </c>
      <c r="L320">
        <f t="shared" ca="1" si="335"/>
        <v>103.97930870429931</v>
      </c>
      <c r="M320">
        <f t="shared" ca="1" si="335"/>
        <v>101.02582631476854</v>
      </c>
      <c r="N320">
        <f t="shared" ca="1" si="335"/>
        <v>111.25946165316515</v>
      </c>
      <c r="O320">
        <f t="shared" ca="1" si="335"/>
        <v>109.18055561317125</v>
      </c>
      <c r="P320">
        <f t="shared" ca="1" si="335"/>
        <v>107.6615892437042</v>
      </c>
      <c r="Q320">
        <f t="shared" ca="1" si="276"/>
        <v>105.82400305239403</v>
      </c>
      <c r="R320">
        <f t="shared" ca="1" si="277"/>
        <v>5.8240030523940334</v>
      </c>
      <c r="S320">
        <f t="shared" ca="1" si="278"/>
        <v>5.7086800652911247</v>
      </c>
    </row>
    <row r="321" spans="5:19" x14ac:dyDescent="0.75">
      <c r="E321">
        <v>316</v>
      </c>
      <c r="F321">
        <v>100</v>
      </c>
      <c r="G321">
        <f t="shared" ca="1" si="274"/>
        <v>110.88632248696703</v>
      </c>
      <c r="H321">
        <f t="shared" ca="1" si="274"/>
        <v>102.48047555437091</v>
      </c>
      <c r="I321">
        <f t="shared" ca="1" si="274"/>
        <v>94.713457188635275</v>
      </c>
      <c r="J321">
        <f t="shared" ca="1" si="274"/>
        <v>96.81706536943571</v>
      </c>
      <c r="K321">
        <f t="shared" ref="K321:P321" ca="1" si="336">J321*EXP(($C$4-0.5*$C$5^2)*$C$10+$C$5*SQRT($C$10)*NORMINV(RAND(),0,1))</f>
        <v>95.460665105132264</v>
      </c>
      <c r="L321">
        <f t="shared" ca="1" si="336"/>
        <v>92.1672048796041</v>
      </c>
      <c r="M321">
        <f t="shared" ca="1" si="336"/>
        <v>100.92389288638418</v>
      </c>
      <c r="N321">
        <f t="shared" ca="1" si="336"/>
        <v>113.41824459423545</v>
      </c>
      <c r="O321">
        <f t="shared" ca="1" si="336"/>
        <v>105.7100574488894</v>
      </c>
      <c r="P321">
        <f t="shared" ca="1" si="336"/>
        <v>93.767616048023967</v>
      </c>
      <c r="Q321">
        <f t="shared" ca="1" si="276"/>
        <v>100.57681832378894</v>
      </c>
      <c r="R321">
        <f t="shared" ca="1" si="277"/>
        <v>0.57681832378894171</v>
      </c>
      <c r="S321">
        <f t="shared" ca="1" si="278"/>
        <v>0.56539655571694702</v>
      </c>
    </row>
    <row r="322" spans="5:19" x14ac:dyDescent="0.75">
      <c r="E322">
        <v>317</v>
      </c>
      <c r="F322">
        <v>100</v>
      </c>
      <c r="G322">
        <f t="shared" ca="1" si="274"/>
        <v>108.54204680411048</v>
      </c>
      <c r="H322">
        <f t="shared" ca="1" si="274"/>
        <v>111.71346545702491</v>
      </c>
      <c r="I322">
        <f t="shared" ca="1" si="274"/>
        <v>119.70402320835524</v>
      </c>
      <c r="J322">
        <f t="shared" ca="1" si="274"/>
        <v>139.81952136533232</v>
      </c>
      <c r="K322">
        <f t="shared" ref="K322:P322" ca="1" si="337">J322*EXP(($C$4-0.5*$C$5^2)*$C$10+$C$5*SQRT($C$10)*NORMINV(RAND(),0,1))</f>
        <v>140.84064965985974</v>
      </c>
      <c r="L322">
        <f t="shared" ca="1" si="337"/>
        <v>136.82577250968697</v>
      </c>
      <c r="M322">
        <f t="shared" ca="1" si="337"/>
        <v>139.21170642466353</v>
      </c>
      <c r="N322">
        <f t="shared" ca="1" si="337"/>
        <v>140.81904881036533</v>
      </c>
      <c r="O322">
        <f t="shared" ca="1" si="337"/>
        <v>148.91931488609697</v>
      </c>
      <c r="P322">
        <f t="shared" ca="1" si="337"/>
        <v>157.78160167422789</v>
      </c>
      <c r="Q322">
        <f t="shared" ca="1" si="276"/>
        <v>131.28883189088396</v>
      </c>
      <c r="R322">
        <f t="shared" ca="1" si="277"/>
        <v>31.288831890883955</v>
      </c>
      <c r="S322">
        <f t="shared" ca="1" si="278"/>
        <v>30.669271508762549</v>
      </c>
    </row>
    <row r="323" spans="5:19" x14ac:dyDescent="0.75">
      <c r="E323">
        <v>318</v>
      </c>
      <c r="F323">
        <v>100</v>
      </c>
      <c r="G323">
        <f t="shared" ca="1" si="274"/>
        <v>94.170240656834153</v>
      </c>
      <c r="H323">
        <f t="shared" ca="1" si="274"/>
        <v>93.779023883786209</v>
      </c>
      <c r="I323">
        <f t="shared" ca="1" si="274"/>
        <v>95.609928878141702</v>
      </c>
      <c r="J323">
        <f t="shared" ca="1" si="274"/>
        <v>100.40538954134996</v>
      </c>
      <c r="K323">
        <f t="shared" ref="K323:P323" ca="1" si="338">J323*EXP(($C$4-0.5*$C$5^2)*$C$10+$C$5*SQRT($C$10)*NORMINV(RAND(),0,1))</f>
        <v>98.708915718611621</v>
      </c>
      <c r="L323">
        <f t="shared" ca="1" si="338"/>
        <v>91.537128807214572</v>
      </c>
      <c r="M323">
        <f t="shared" ca="1" si="338"/>
        <v>91.058663417636481</v>
      </c>
      <c r="N323">
        <f t="shared" ca="1" si="338"/>
        <v>86.40274905953018</v>
      </c>
      <c r="O323">
        <f t="shared" ca="1" si="338"/>
        <v>84.550275946660022</v>
      </c>
      <c r="P323">
        <f t="shared" ca="1" si="338"/>
        <v>82.184528540759359</v>
      </c>
      <c r="Q323">
        <f t="shared" ca="1" si="276"/>
        <v>92.582440404593115</v>
      </c>
      <c r="R323">
        <f t="shared" ca="1" si="277"/>
        <v>0</v>
      </c>
      <c r="S323">
        <f t="shared" ca="1" si="278"/>
        <v>0</v>
      </c>
    </row>
    <row r="324" spans="5:19" x14ac:dyDescent="0.75">
      <c r="E324">
        <v>319</v>
      </c>
      <c r="F324">
        <v>100</v>
      </c>
      <c r="G324">
        <f t="shared" ca="1" si="274"/>
        <v>106.03573594450278</v>
      </c>
      <c r="H324">
        <f t="shared" ca="1" si="274"/>
        <v>112.86111838102626</v>
      </c>
      <c r="I324">
        <f t="shared" ca="1" si="274"/>
        <v>121.64518014617258</v>
      </c>
      <c r="J324">
        <f t="shared" ca="1" si="274"/>
        <v>120.0232899326959</v>
      </c>
      <c r="K324">
        <f t="shared" ref="K324:P324" ca="1" si="339">J324*EXP(($C$4-0.5*$C$5^2)*$C$10+$C$5*SQRT($C$10)*NORMINV(RAND(),0,1))</f>
        <v>102.24350882385514</v>
      </c>
      <c r="L324">
        <f t="shared" ca="1" si="339"/>
        <v>92.097007121341775</v>
      </c>
      <c r="M324">
        <f t="shared" ca="1" si="339"/>
        <v>87.857416098105972</v>
      </c>
      <c r="N324">
        <f t="shared" ca="1" si="339"/>
        <v>82.041506907428968</v>
      </c>
      <c r="O324">
        <f t="shared" ca="1" si="339"/>
        <v>82.976068904454664</v>
      </c>
      <c r="P324">
        <f t="shared" ca="1" si="339"/>
        <v>81.251839485784529</v>
      </c>
      <c r="Q324">
        <f t="shared" ca="1" si="276"/>
        <v>99.002970158669868</v>
      </c>
      <c r="R324">
        <f t="shared" ca="1" si="277"/>
        <v>0</v>
      </c>
      <c r="S324">
        <f t="shared" ca="1" si="278"/>
        <v>0</v>
      </c>
    </row>
    <row r="325" spans="5:19" x14ac:dyDescent="0.75">
      <c r="E325">
        <v>320</v>
      </c>
      <c r="F325">
        <v>100</v>
      </c>
      <c r="G325">
        <f t="shared" ca="1" si="274"/>
        <v>101.28549298685512</v>
      </c>
      <c r="H325">
        <f t="shared" ca="1" si="274"/>
        <v>96.724628216743426</v>
      </c>
      <c r="I325">
        <f t="shared" ca="1" si="274"/>
        <v>105.05191131545054</v>
      </c>
      <c r="J325">
        <f t="shared" ca="1" si="274"/>
        <v>101.52748215118758</v>
      </c>
      <c r="K325">
        <f t="shared" ref="K325:P325" ca="1" si="340">J325*EXP(($C$4-0.5*$C$5^2)*$C$10+$C$5*SQRT($C$10)*NORMINV(RAND(),0,1))</f>
        <v>108.98767901654632</v>
      </c>
      <c r="L325">
        <f t="shared" ca="1" si="340"/>
        <v>106.85457483717863</v>
      </c>
      <c r="M325">
        <f t="shared" ca="1" si="340"/>
        <v>117.31576584824245</v>
      </c>
      <c r="N325">
        <f t="shared" ca="1" si="340"/>
        <v>116.9507753931105</v>
      </c>
      <c r="O325">
        <f t="shared" ca="1" si="340"/>
        <v>117.23077940709346</v>
      </c>
      <c r="P325">
        <f t="shared" ca="1" si="340"/>
        <v>109.15774755013599</v>
      </c>
      <c r="Q325">
        <f t="shared" ca="1" si="276"/>
        <v>107.37153061114037</v>
      </c>
      <c r="R325">
        <f t="shared" ca="1" si="277"/>
        <v>7.371530611140372</v>
      </c>
      <c r="S325">
        <f t="shared" ca="1" si="278"/>
        <v>7.2255645252799274</v>
      </c>
    </row>
    <row r="326" spans="5:19" x14ac:dyDescent="0.75">
      <c r="E326">
        <v>321</v>
      </c>
      <c r="F326">
        <v>100</v>
      </c>
      <c r="G326">
        <f t="shared" ca="1" si="274"/>
        <v>100.93634890807841</v>
      </c>
      <c r="H326">
        <f t="shared" ca="1" si="274"/>
        <v>100.58570996919275</v>
      </c>
      <c r="I326">
        <f t="shared" ca="1" si="274"/>
        <v>98.904865286418143</v>
      </c>
      <c r="J326">
        <f t="shared" ref="J326:P326" ca="1" si="341">I326*EXP(($C$4-0.5*$C$5^2)*$C$10+$C$5*SQRT($C$10)*NORMINV(RAND(),0,1))</f>
        <v>96.894367470226044</v>
      </c>
      <c r="K326">
        <f t="shared" ca="1" si="341"/>
        <v>90.728821787302053</v>
      </c>
      <c r="L326">
        <f t="shared" ca="1" si="341"/>
        <v>89.346421889385709</v>
      </c>
      <c r="M326">
        <f t="shared" ca="1" si="341"/>
        <v>88.537416998995425</v>
      </c>
      <c r="N326">
        <f t="shared" ca="1" si="341"/>
        <v>80.173535232032719</v>
      </c>
      <c r="O326">
        <f t="shared" ca="1" si="341"/>
        <v>79.614290375829867</v>
      </c>
      <c r="P326">
        <f t="shared" ca="1" si="341"/>
        <v>74.278852864168471</v>
      </c>
      <c r="Q326">
        <f t="shared" ca="1" si="276"/>
        <v>90.909148252875426</v>
      </c>
      <c r="R326">
        <f t="shared" ca="1" si="277"/>
        <v>0</v>
      </c>
      <c r="S326">
        <f t="shared" ca="1" si="278"/>
        <v>0</v>
      </c>
    </row>
    <row r="327" spans="5:19" x14ac:dyDescent="0.75">
      <c r="E327">
        <v>322</v>
      </c>
      <c r="F327">
        <v>100</v>
      </c>
      <c r="G327">
        <f t="shared" ref="G327:J390" ca="1" si="342">F327*EXP(($C$4-0.5*$C$5^2)*$C$10+$C$5*SQRT($C$10)*NORMINV(RAND(),0,1))</f>
        <v>95.115478601676813</v>
      </c>
      <c r="H327">
        <f t="shared" ca="1" si="342"/>
        <v>91.361433002564738</v>
      </c>
      <c r="I327">
        <f t="shared" ca="1" si="342"/>
        <v>85.681327151827674</v>
      </c>
      <c r="J327">
        <f t="shared" ca="1" si="342"/>
        <v>83.572534773574517</v>
      </c>
      <c r="K327">
        <f t="shared" ref="K327:P327" ca="1" si="343">J327*EXP(($C$4-0.5*$C$5^2)*$C$10+$C$5*SQRT($C$10)*NORMINV(RAND(),0,1))</f>
        <v>87.10640836529393</v>
      </c>
      <c r="L327">
        <f t="shared" ca="1" si="343"/>
        <v>85.195749578500724</v>
      </c>
      <c r="M327">
        <f t="shared" ca="1" si="343"/>
        <v>87.338443394604596</v>
      </c>
      <c r="N327">
        <f t="shared" ca="1" si="343"/>
        <v>90.399603183879449</v>
      </c>
      <c r="O327">
        <f t="shared" ca="1" si="343"/>
        <v>87.757353449643702</v>
      </c>
      <c r="P327">
        <f t="shared" ca="1" si="343"/>
        <v>87.49607614447136</v>
      </c>
      <c r="Q327">
        <f t="shared" ref="Q327:Q390" ca="1" si="344">AVERAGE(F327:P327)</f>
        <v>89.184037058730667</v>
      </c>
      <c r="R327">
        <f t="shared" ref="R327:R390" ca="1" si="345">MAX(Q327-$C$7,0)</f>
        <v>0</v>
      </c>
      <c r="S327">
        <f t="shared" ref="S327:S390" ca="1" si="346">EXP(-$C$4*$C$6)*R327</f>
        <v>0</v>
      </c>
    </row>
    <row r="328" spans="5:19" x14ac:dyDescent="0.75">
      <c r="E328">
        <v>323</v>
      </c>
      <c r="F328">
        <v>100</v>
      </c>
      <c r="G328">
        <f t="shared" ca="1" si="342"/>
        <v>99.660342967123157</v>
      </c>
      <c r="H328">
        <f t="shared" ca="1" si="342"/>
        <v>110.51398659714098</v>
      </c>
      <c r="I328">
        <f t="shared" ca="1" si="342"/>
        <v>113.12665849931824</v>
      </c>
      <c r="J328">
        <f t="shared" ca="1" si="342"/>
        <v>108.67776363749286</v>
      </c>
      <c r="K328">
        <f t="shared" ref="K328:P328" ca="1" si="347">J328*EXP(($C$4-0.5*$C$5^2)*$C$10+$C$5*SQRT($C$10)*NORMINV(RAND(),0,1))</f>
        <v>99.435175061357171</v>
      </c>
      <c r="L328">
        <f t="shared" ca="1" si="347"/>
        <v>91.24416935539</v>
      </c>
      <c r="M328">
        <f t="shared" ca="1" si="347"/>
        <v>89.33426832379017</v>
      </c>
      <c r="N328">
        <f t="shared" ca="1" si="347"/>
        <v>86.494057381393986</v>
      </c>
      <c r="O328">
        <f t="shared" ca="1" si="347"/>
        <v>79.233772411688335</v>
      </c>
      <c r="P328">
        <f t="shared" ca="1" si="347"/>
        <v>86.170324444743841</v>
      </c>
      <c r="Q328">
        <f t="shared" ca="1" si="344"/>
        <v>96.71731987994896</v>
      </c>
      <c r="R328">
        <f t="shared" ca="1" si="345"/>
        <v>0</v>
      </c>
      <c r="S328">
        <f t="shared" ca="1" si="346"/>
        <v>0</v>
      </c>
    </row>
    <row r="329" spans="5:19" x14ac:dyDescent="0.75">
      <c r="E329">
        <v>324</v>
      </c>
      <c r="F329">
        <v>100</v>
      </c>
      <c r="G329">
        <f t="shared" ca="1" si="342"/>
        <v>94.783878805561102</v>
      </c>
      <c r="H329">
        <f t="shared" ca="1" si="342"/>
        <v>98.832952887319834</v>
      </c>
      <c r="I329">
        <f t="shared" ca="1" si="342"/>
        <v>95.355760330880258</v>
      </c>
      <c r="J329">
        <f t="shared" ca="1" si="342"/>
        <v>106.14895946115944</v>
      </c>
      <c r="K329">
        <f t="shared" ref="K329:P329" ca="1" si="348">J329*EXP(($C$4-0.5*$C$5^2)*$C$10+$C$5*SQRT($C$10)*NORMINV(RAND(),0,1))</f>
        <v>108.24448975731519</v>
      </c>
      <c r="L329">
        <f t="shared" ca="1" si="348"/>
        <v>99.348080417876105</v>
      </c>
      <c r="M329">
        <f t="shared" ca="1" si="348"/>
        <v>90.933778017678264</v>
      </c>
      <c r="N329">
        <f t="shared" ca="1" si="348"/>
        <v>91.074044286631832</v>
      </c>
      <c r="O329">
        <f t="shared" ca="1" si="348"/>
        <v>101.28176966681998</v>
      </c>
      <c r="P329">
        <f t="shared" ca="1" si="348"/>
        <v>99.705833336800382</v>
      </c>
      <c r="Q329">
        <f t="shared" ca="1" si="344"/>
        <v>98.700867906185664</v>
      </c>
      <c r="R329">
        <f t="shared" ca="1" si="345"/>
        <v>0</v>
      </c>
      <c r="S329">
        <f t="shared" ca="1" si="346"/>
        <v>0</v>
      </c>
    </row>
    <row r="330" spans="5:19" x14ac:dyDescent="0.75">
      <c r="E330">
        <v>325</v>
      </c>
      <c r="F330">
        <v>100</v>
      </c>
      <c r="G330">
        <f t="shared" ca="1" si="342"/>
        <v>98.224113510416046</v>
      </c>
      <c r="H330">
        <f t="shared" ca="1" si="342"/>
        <v>92.936154050544374</v>
      </c>
      <c r="I330">
        <f t="shared" ca="1" si="342"/>
        <v>104.86524094282281</v>
      </c>
      <c r="J330">
        <f t="shared" ca="1" si="342"/>
        <v>101.80655376464944</v>
      </c>
      <c r="K330">
        <f t="shared" ref="K330:P330" ca="1" si="349">J330*EXP(($C$4-0.5*$C$5^2)*$C$10+$C$5*SQRT($C$10)*NORMINV(RAND(),0,1))</f>
        <v>104.87505095806161</v>
      </c>
      <c r="L330">
        <f t="shared" ca="1" si="349"/>
        <v>106.42849533798913</v>
      </c>
      <c r="M330">
        <f t="shared" ca="1" si="349"/>
        <v>111.32206802020048</v>
      </c>
      <c r="N330">
        <f t="shared" ca="1" si="349"/>
        <v>119.13816159646433</v>
      </c>
      <c r="O330">
        <f t="shared" ca="1" si="349"/>
        <v>100.99731906110094</v>
      </c>
      <c r="P330">
        <f t="shared" ca="1" si="349"/>
        <v>98.43591099054639</v>
      </c>
      <c r="Q330">
        <f t="shared" ca="1" si="344"/>
        <v>103.54809711207231</v>
      </c>
      <c r="R330">
        <f t="shared" ca="1" si="345"/>
        <v>3.5480971120723126</v>
      </c>
      <c r="S330">
        <f t="shared" ca="1" si="346"/>
        <v>3.4778400820168107</v>
      </c>
    </row>
    <row r="331" spans="5:19" x14ac:dyDescent="0.75">
      <c r="E331">
        <v>326</v>
      </c>
      <c r="F331">
        <v>100</v>
      </c>
      <c r="G331">
        <f t="shared" ca="1" si="342"/>
        <v>90.661622640830814</v>
      </c>
      <c r="H331">
        <f t="shared" ca="1" si="342"/>
        <v>85.258113581327052</v>
      </c>
      <c r="I331">
        <f t="shared" ca="1" si="342"/>
        <v>90.655251881842077</v>
      </c>
      <c r="J331">
        <f t="shared" ca="1" si="342"/>
        <v>96.184333209811783</v>
      </c>
      <c r="K331">
        <f t="shared" ref="K331:P331" ca="1" si="350">J331*EXP(($C$4-0.5*$C$5^2)*$C$10+$C$5*SQRT($C$10)*NORMINV(RAND(),0,1))</f>
        <v>90.045625274785024</v>
      </c>
      <c r="L331">
        <f t="shared" ca="1" si="350"/>
        <v>97.97627185190143</v>
      </c>
      <c r="M331">
        <f t="shared" ca="1" si="350"/>
        <v>100.31428832161424</v>
      </c>
      <c r="N331">
        <f t="shared" ca="1" si="350"/>
        <v>101.49114544753985</v>
      </c>
      <c r="O331">
        <f t="shared" ca="1" si="350"/>
        <v>109.18543533510352</v>
      </c>
      <c r="P331">
        <f t="shared" ca="1" si="350"/>
        <v>102.1927995961929</v>
      </c>
      <c r="Q331">
        <f t="shared" ca="1" si="344"/>
        <v>96.724080649177139</v>
      </c>
      <c r="R331">
        <f t="shared" ca="1" si="345"/>
        <v>0</v>
      </c>
      <c r="S331">
        <f t="shared" ca="1" si="346"/>
        <v>0</v>
      </c>
    </row>
    <row r="332" spans="5:19" x14ac:dyDescent="0.75">
      <c r="E332">
        <v>327</v>
      </c>
      <c r="F332">
        <v>100</v>
      </c>
      <c r="G332">
        <f t="shared" ca="1" si="342"/>
        <v>96.003964581967182</v>
      </c>
      <c r="H332">
        <f t="shared" ca="1" si="342"/>
        <v>92.133726457213498</v>
      </c>
      <c r="I332">
        <f t="shared" ca="1" si="342"/>
        <v>104.98306338383763</v>
      </c>
      <c r="J332">
        <f t="shared" ca="1" si="342"/>
        <v>106.19841426105667</v>
      </c>
      <c r="K332">
        <f t="shared" ref="K332:P332" ca="1" si="351">J332*EXP(($C$4-0.5*$C$5^2)*$C$10+$C$5*SQRT($C$10)*NORMINV(RAND(),0,1))</f>
        <v>102.7283295933459</v>
      </c>
      <c r="L332">
        <f t="shared" ca="1" si="351"/>
        <v>117.02572168683152</v>
      </c>
      <c r="M332">
        <f t="shared" ca="1" si="351"/>
        <v>122.56546837966044</v>
      </c>
      <c r="N332">
        <f t="shared" ca="1" si="351"/>
        <v>123.63943280741063</v>
      </c>
      <c r="O332">
        <f t="shared" ca="1" si="351"/>
        <v>119.55756657733022</v>
      </c>
      <c r="P332">
        <f t="shared" ca="1" si="351"/>
        <v>124.88453316887492</v>
      </c>
      <c r="Q332">
        <f t="shared" ca="1" si="344"/>
        <v>109.97456553613897</v>
      </c>
      <c r="R332">
        <f t="shared" ca="1" si="345"/>
        <v>9.974565536138968</v>
      </c>
      <c r="S332">
        <f t="shared" ca="1" si="346"/>
        <v>9.7770559053347004</v>
      </c>
    </row>
    <row r="333" spans="5:19" x14ac:dyDescent="0.75">
      <c r="E333">
        <v>328</v>
      </c>
      <c r="F333">
        <v>100</v>
      </c>
      <c r="G333">
        <f t="shared" ca="1" si="342"/>
        <v>108.57762377235582</v>
      </c>
      <c r="H333">
        <f t="shared" ca="1" si="342"/>
        <v>114.1446276480978</v>
      </c>
      <c r="I333">
        <f t="shared" ca="1" si="342"/>
        <v>110.9980244816862</v>
      </c>
      <c r="J333">
        <f t="shared" ca="1" si="342"/>
        <v>115.83860914344149</v>
      </c>
      <c r="K333">
        <f t="shared" ref="K333:P333" ca="1" si="352">J333*EXP(($C$4-0.5*$C$5^2)*$C$10+$C$5*SQRT($C$10)*NORMINV(RAND(),0,1))</f>
        <v>119.67213158671795</v>
      </c>
      <c r="L333">
        <f t="shared" ca="1" si="352"/>
        <v>110.47765577181606</v>
      </c>
      <c r="M333">
        <f t="shared" ca="1" si="352"/>
        <v>102.29333115669732</v>
      </c>
      <c r="N333">
        <f t="shared" ca="1" si="352"/>
        <v>100.19513956384078</v>
      </c>
      <c r="O333">
        <f t="shared" ca="1" si="352"/>
        <v>94.93318847510605</v>
      </c>
      <c r="P333">
        <f t="shared" ca="1" si="352"/>
        <v>98.124794591924797</v>
      </c>
      <c r="Q333">
        <f t="shared" ca="1" si="344"/>
        <v>106.84137510833493</v>
      </c>
      <c r="R333">
        <f t="shared" ca="1" si="345"/>
        <v>6.8413751083349297</v>
      </c>
      <c r="S333">
        <f t="shared" ca="1" si="346"/>
        <v>6.7059068047837567</v>
      </c>
    </row>
    <row r="334" spans="5:19" x14ac:dyDescent="0.75">
      <c r="E334">
        <v>329</v>
      </c>
      <c r="F334">
        <v>100</v>
      </c>
      <c r="G334">
        <f t="shared" ca="1" si="342"/>
        <v>101.46737876891008</v>
      </c>
      <c r="H334">
        <f t="shared" ca="1" si="342"/>
        <v>106.19342354110199</v>
      </c>
      <c r="I334">
        <f t="shared" ca="1" si="342"/>
        <v>96.564059715767399</v>
      </c>
      <c r="J334">
        <f t="shared" ca="1" si="342"/>
        <v>91.689847421170214</v>
      </c>
      <c r="K334">
        <f t="shared" ref="K334:P334" ca="1" si="353">J334*EXP(($C$4-0.5*$C$5^2)*$C$10+$C$5*SQRT($C$10)*NORMINV(RAND(),0,1))</f>
        <v>87.262375264791928</v>
      </c>
      <c r="L334">
        <f t="shared" ca="1" si="353"/>
        <v>80.21311262629817</v>
      </c>
      <c r="M334">
        <f t="shared" ca="1" si="353"/>
        <v>83.30790415117167</v>
      </c>
      <c r="N334">
        <f t="shared" ca="1" si="353"/>
        <v>88.04079728574942</v>
      </c>
      <c r="O334">
        <f t="shared" ca="1" si="353"/>
        <v>95.482236866293761</v>
      </c>
      <c r="P334">
        <f t="shared" ca="1" si="353"/>
        <v>99.985822109350849</v>
      </c>
      <c r="Q334">
        <f t="shared" ca="1" si="344"/>
        <v>93.655177977327781</v>
      </c>
      <c r="R334">
        <f t="shared" ca="1" si="345"/>
        <v>0</v>
      </c>
      <c r="S334">
        <f t="shared" ca="1" si="346"/>
        <v>0</v>
      </c>
    </row>
    <row r="335" spans="5:19" x14ac:dyDescent="0.75">
      <c r="E335">
        <v>330</v>
      </c>
      <c r="F335">
        <v>100</v>
      </c>
      <c r="G335">
        <f t="shared" ca="1" si="342"/>
        <v>100.17849814927882</v>
      </c>
      <c r="H335">
        <f t="shared" ca="1" si="342"/>
        <v>99.098475904604797</v>
      </c>
      <c r="I335">
        <f t="shared" ca="1" si="342"/>
        <v>96.055849196843297</v>
      </c>
      <c r="J335">
        <f t="shared" ca="1" si="342"/>
        <v>86.238047886023864</v>
      </c>
      <c r="K335">
        <f t="shared" ref="K335:P335" ca="1" si="354">J335*EXP(($C$4-0.5*$C$5^2)*$C$10+$C$5*SQRT($C$10)*NORMINV(RAND(),0,1))</f>
        <v>88.179458245327524</v>
      </c>
      <c r="L335">
        <f t="shared" ca="1" si="354"/>
        <v>89.280550251289256</v>
      </c>
      <c r="M335">
        <f t="shared" ca="1" si="354"/>
        <v>88.563674351426997</v>
      </c>
      <c r="N335">
        <f t="shared" ca="1" si="354"/>
        <v>96.979186537534872</v>
      </c>
      <c r="O335">
        <f t="shared" ca="1" si="354"/>
        <v>102.68842990546831</v>
      </c>
      <c r="P335">
        <f t="shared" ca="1" si="354"/>
        <v>99.345398558902275</v>
      </c>
      <c r="Q335">
        <f t="shared" ca="1" si="344"/>
        <v>95.146142635154547</v>
      </c>
      <c r="R335">
        <f t="shared" ca="1" si="345"/>
        <v>0</v>
      </c>
      <c r="S335">
        <f t="shared" ca="1" si="346"/>
        <v>0</v>
      </c>
    </row>
    <row r="336" spans="5:19" x14ac:dyDescent="0.75">
      <c r="E336">
        <v>331</v>
      </c>
      <c r="F336">
        <v>100</v>
      </c>
      <c r="G336">
        <f t="shared" ca="1" si="342"/>
        <v>97.797434595506715</v>
      </c>
      <c r="H336">
        <f t="shared" ca="1" si="342"/>
        <v>91.768815684564828</v>
      </c>
      <c r="I336">
        <f t="shared" ca="1" si="342"/>
        <v>95.497421309466546</v>
      </c>
      <c r="J336">
        <f t="shared" ca="1" si="342"/>
        <v>80.751865406006445</v>
      </c>
      <c r="K336">
        <f t="shared" ref="K336:P336" ca="1" si="355">J336*EXP(($C$4-0.5*$C$5^2)*$C$10+$C$5*SQRT($C$10)*NORMINV(RAND(),0,1))</f>
        <v>74.451685077336748</v>
      </c>
      <c r="L336">
        <f t="shared" ca="1" si="355"/>
        <v>70.494739238336891</v>
      </c>
      <c r="M336">
        <f t="shared" ca="1" si="355"/>
        <v>66.896918608227423</v>
      </c>
      <c r="N336">
        <f t="shared" ca="1" si="355"/>
        <v>65.596738207692042</v>
      </c>
      <c r="O336">
        <f t="shared" ca="1" si="355"/>
        <v>59.820159012553141</v>
      </c>
      <c r="P336">
        <f t="shared" ca="1" si="355"/>
        <v>61.421116041274743</v>
      </c>
      <c r="Q336">
        <f t="shared" ca="1" si="344"/>
        <v>78.590626652815061</v>
      </c>
      <c r="R336">
        <f t="shared" ca="1" si="345"/>
        <v>0</v>
      </c>
      <c r="S336">
        <f t="shared" ca="1" si="346"/>
        <v>0</v>
      </c>
    </row>
    <row r="337" spans="5:19" x14ac:dyDescent="0.75">
      <c r="E337">
        <v>332</v>
      </c>
      <c r="F337">
        <v>100</v>
      </c>
      <c r="G337">
        <f t="shared" ca="1" si="342"/>
        <v>101.26232849191507</v>
      </c>
      <c r="H337">
        <f t="shared" ca="1" si="342"/>
        <v>101.13071430524785</v>
      </c>
      <c r="I337">
        <f t="shared" ca="1" si="342"/>
        <v>90.239249033681759</v>
      </c>
      <c r="J337">
        <f t="shared" ca="1" si="342"/>
        <v>86.562738463492551</v>
      </c>
      <c r="K337">
        <f t="shared" ref="K337:P337" ca="1" si="356">J337*EXP(($C$4-0.5*$C$5^2)*$C$10+$C$5*SQRT($C$10)*NORMINV(RAND(),0,1))</f>
        <v>80.473827982284945</v>
      </c>
      <c r="L337">
        <f t="shared" ca="1" si="356"/>
        <v>90.00193002935174</v>
      </c>
      <c r="M337">
        <f t="shared" ca="1" si="356"/>
        <v>87.527511486084023</v>
      </c>
      <c r="N337">
        <f t="shared" ca="1" si="356"/>
        <v>91.831182704226208</v>
      </c>
      <c r="O337">
        <f t="shared" ca="1" si="356"/>
        <v>102.26562415673519</v>
      </c>
      <c r="P337">
        <f t="shared" ca="1" si="356"/>
        <v>100.87485506539718</v>
      </c>
      <c r="Q337">
        <f t="shared" ca="1" si="344"/>
        <v>93.833632883492413</v>
      </c>
      <c r="R337">
        <f t="shared" ca="1" si="345"/>
        <v>0</v>
      </c>
      <c r="S337">
        <f t="shared" ca="1" si="346"/>
        <v>0</v>
      </c>
    </row>
    <row r="338" spans="5:19" x14ac:dyDescent="0.75">
      <c r="E338">
        <v>333</v>
      </c>
      <c r="F338">
        <v>100</v>
      </c>
      <c r="G338">
        <f t="shared" ca="1" si="342"/>
        <v>98.699930290354857</v>
      </c>
      <c r="H338">
        <f t="shared" ca="1" si="342"/>
        <v>102.42795026580004</v>
      </c>
      <c r="I338">
        <f t="shared" ca="1" si="342"/>
        <v>109.71472572685546</v>
      </c>
      <c r="J338">
        <f t="shared" ca="1" si="342"/>
        <v>107.26623108473191</v>
      </c>
      <c r="K338">
        <f t="shared" ref="K338:P338" ca="1" si="357">J338*EXP(($C$4-0.5*$C$5^2)*$C$10+$C$5*SQRT($C$10)*NORMINV(RAND(),0,1))</f>
        <v>110.16052372268479</v>
      </c>
      <c r="L338">
        <f t="shared" ca="1" si="357"/>
        <v>119.35815536967493</v>
      </c>
      <c r="M338">
        <f t="shared" ca="1" si="357"/>
        <v>115.21939816947142</v>
      </c>
      <c r="N338">
        <f t="shared" ca="1" si="357"/>
        <v>129.34801230745828</v>
      </c>
      <c r="O338">
        <f t="shared" ca="1" si="357"/>
        <v>134.50208869813471</v>
      </c>
      <c r="P338">
        <f t="shared" ca="1" si="357"/>
        <v>140.26880222313599</v>
      </c>
      <c r="Q338">
        <f t="shared" ca="1" si="344"/>
        <v>115.17871071439113</v>
      </c>
      <c r="R338">
        <f t="shared" ca="1" si="345"/>
        <v>15.17871071439113</v>
      </c>
      <c r="S338">
        <f t="shared" ca="1" si="346"/>
        <v>14.878152104753218</v>
      </c>
    </row>
    <row r="339" spans="5:19" x14ac:dyDescent="0.75">
      <c r="E339">
        <v>334</v>
      </c>
      <c r="F339">
        <v>100</v>
      </c>
      <c r="G339">
        <f t="shared" ca="1" si="342"/>
        <v>110.31759984052572</v>
      </c>
      <c r="H339">
        <f t="shared" ca="1" si="342"/>
        <v>127.20648658181304</v>
      </c>
      <c r="I339">
        <f t="shared" ca="1" si="342"/>
        <v>141.14442313741765</v>
      </c>
      <c r="J339">
        <f t="shared" ca="1" si="342"/>
        <v>139.72603944038349</v>
      </c>
      <c r="K339">
        <f t="shared" ref="K339:P339" ca="1" si="358">J339*EXP(($C$4-0.5*$C$5^2)*$C$10+$C$5*SQRT($C$10)*NORMINV(RAND(),0,1))</f>
        <v>147.05150342104662</v>
      </c>
      <c r="L339">
        <f t="shared" ca="1" si="358"/>
        <v>138.73391958805504</v>
      </c>
      <c r="M339">
        <f t="shared" ca="1" si="358"/>
        <v>124.89236423462515</v>
      </c>
      <c r="N339">
        <f t="shared" ca="1" si="358"/>
        <v>129.06976586310188</v>
      </c>
      <c r="O339">
        <f t="shared" ca="1" si="358"/>
        <v>130.56651323876187</v>
      </c>
      <c r="P339">
        <f t="shared" ca="1" si="358"/>
        <v>128.5715017348206</v>
      </c>
      <c r="Q339">
        <f t="shared" ca="1" si="344"/>
        <v>128.84364700732283</v>
      </c>
      <c r="R339">
        <f t="shared" ca="1" si="345"/>
        <v>28.843647007322829</v>
      </c>
      <c r="S339">
        <f t="shared" ca="1" si="346"/>
        <v>28.2725045299062</v>
      </c>
    </row>
    <row r="340" spans="5:19" x14ac:dyDescent="0.75">
      <c r="E340">
        <v>335</v>
      </c>
      <c r="F340">
        <v>100</v>
      </c>
      <c r="G340">
        <f t="shared" ca="1" si="342"/>
        <v>96.73340919760119</v>
      </c>
      <c r="H340">
        <f t="shared" ca="1" si="342"/>
        <v>80.978812321891013</v>
      </c>
      <c r="I340">
        <f t="shared" ca="1" si="342"/>
        <v>85.668368202910315</v>
      </c>
      <c r="J340">
        <f t="shared" ca="1" si="342"/>
        <v>88.986923603380447</v>
      </c>
      <c r="K340">
        <f t="shared" ref="K340:P340" ca="1" si="359">J340*EXP(($C$4-0.5*$C$5^2)*$C$10+$C$5*SQRT($C$10)*NORMINV(RAND(),0,1))</f>
        <v>78.729241039338149</v>
      </c>
      <c r="L340">
        <f t="shared" ca="1" si="359"/>
        <v>79.274547868196066</v>
      </c>
      <c r="M340">
        <f t="shared" ca="1" si="359"/>
        <v>88.815359822202169</v>
      </c>
      <c r="N340">
        <f t="shared" ca="1" si="359"/>
        <v>91.622324636269781</v>
      </c>
      <c r="O340">
        <f t="shared" ca="1" si="359"/>
        <v>98.893227758612639</v>
      </c>
      <c r="P340">
        <f t="shared" ca="1" si="359"/>
        <v>96.004751194793144</v>
      </c>
      <c r="Q340">
        <f t="shared" ca="1" si="344"/>
        <v>89.609724149563178</v>
      </c>
      <c r="R340">
        <f t="shared" ca="1" si="345"/>
        <v>0</v>
      </c>
      <c r="S340">
        <f t="shared" ca="1" si="346"/>
        <v>0</v>
      </c>
    </row>
    <row r="341" spans="5:19" x14ac:dyDescent="0.75">
      <c r="E341">
        <v>336</v>
      </c>
      <c r="F341">
        <v>100</v>
      </c>
      <c r="G341">
        <f t="shared" ca="1" si="342"/>
        <v>105.89271311108901</v>
      </c>
      <c r="H341">
        <f t="shared" ca="1" si="342"/>
        <v>106.70096342558746</v>
      </c>
      <c r="I341">
        <f t="shared" ca="1" si="342"/>
        <v>105.53016936648095</v>
      </c>
      <c r="J341">
        <f t="shared" ca="1" si="342"/>
        <v>122.34353535930845</v>
      </c>
      <c r="K341">
        <f t="shared" ref="K341:P341" ca="1" si="360">J341*EXP(($C$4-0.5*$C$5^2)*$C$10+$C$5*SQRT($C$10)*NORMINV(RAND(),0,1))</f>
        <v>117.10233737868137</v>
      </c>
      <c r="L341">
        <f t="shared" ca="1" si="360"/>
        <v>120.27430330370848</v>
      </c>
      <c r="M341">
        <f t="shared" ca="1" si="360"/>
        <v>106.42524470482068</v>
      </c>
      <c r="N341">
        <f t="shared" ca="1" si="360"/>
        <v>87.889802310070564</v>
      </c>
      <c r="O341">
        <f t="shared" ca="1" si="360"/>
        <v>88.809466031128736</v>
      </c>
      <c r="P341">
        <f t="shared" ca="1" si="360"/>
        <v>99.948078689620033</v>
      </c>
      <c r="Q341">
        <f t="shared" ca="1" si="344"/>
        <v>105.53787397095415</v>
      </c>
      <c r="R341">
        <f t="shared" ca="1" si="345"/>
        <v>5.537873970954152</v>
      </c>
      <c r="S341">
        <f t="shared" ca="1" si="346"/>
        <v>5.4282167192692725</v>
      </c>
    </row>
    <row r="342" spans="5:19" x14ac:dyDescent="0.75">
      <c r="E342">
        <v>337</v>
      </c>
      <c r="F342">
        <v>100</v>
      </c>
      <c r="G342">
        <f t="shared" ca="1" si="342"/>
        <v>108.95533941906761</v>
      </c>
      <c r="H342">
        <f t="shared" ca="1" si="342"/>
        <v>102.68585532495</v>
      </c>
      <c r="I342">
        <f t="shared" ca="1" si="342"/>
        <v>102.03144905003417</v>
      </c>
      <c r="J342">
        <f t="shared" ca="1" si="342"/>
        <v>100.61302750442535</v>
      </c>
      <c r="K342">
        <f t="shared" ref="K342:P342" ca="1" si="361">J342*EXP(($C$4-0.5*$C$5^2)*$C$10+$C$5*SQRT($C$10)*NORMINV(RAND(),0,1))</f>
        <v>93.031117733535197</v>
      </c>
      <c r="L342">
        <f t="shared" ca="1" si="361"/>
        <v>91.125908900492178</v>
      </c>
      <c r="M342">
        <f t="shared" ca="1" si="361"/>
        <v>91.393499613093951</v>
      </c>
      <c r="N342">
        <f t="shared" ca="1" si="361"/>
        <v>85.069557641059575</v>
      </c>
      <c r="O342">
        <f t="shared" ca="1" si="361"/>
        <v>93.423721314611669</v>
      </c>
      <c r="P342">
        <f t="shared" ca="1" si="361"/>
        <v>95.404840510430887</v>
      </c>
      <c r="Q342">
        <f t="shared" ca="1" si="344"/>
        <v>96.703119728336418</v>
      </c>
      <c r="R342">
        <f t="shared" ca="1" si="345"/>
        <v>0</v>
      </c>
      <c r="S342">
        <f t="shared" ca="1" si="346"/>
        <v>0</v>
      </c>
    </row>
    <row r="343" spans="5:19" x14ac:dyDescent="0.75">
      <c r="E343">
        <v>338</v>
      </c>
      <c r="F343">
        <v>100</v>
      </c>
      <c r="G343">
        <f t="shared" ca="1" si="342"/>
        <v>101.38341522140763</v>
      </c>
      <c r="H343">
        <f t="shared" ca="1" si="342"/>
        <v>104.51144897562743</v>
      </c>
      <c r="I343">
        <f t="shared" ca="1" si="342"/>
        <v>100.50044378178542</v>
      </c>
      <c r="J343">
        <f t="shared" ca="1" si="342"/>
        <v>97.361194879336907</v>
      </c>
      <c r="K343">
        <f t="shared" ref="K343:P343" ca="1" si="362">J343*EXP(($C$4-0.5*$C$5^2)*$C$10+$C$5*SQRT($C$10)*NORMINV(RAND(),0,1))</f>
        <v>100.63497156888234</v>
      </c>
      <c r="L343">
        <f t="shared" ca="1" si="362"/>
        <v>102.37386528625311</v>
      </c>
      <c r="M343">
        <f t="shared" ca="1" si="362"/>
        <v>101.05498035210525</v>
      </c>
      <c r="N343">
        <f t="shared" ca="1" si="362"/>
        <v>100.26146667311616</v>
      </c>
      <c r="O343">
        <f t="shared" ca="1" si="362"/>
        <v>107.91350518135849</v>
      </c>
      <c r="P343">
        <f t="shared" ca="1" si="362"/>
        <v>102.96796584365525</v>
      </c>
      <c r="Q343">
        <f t="shared" ca="1" si="344"/>
        <v>101.72393252395709</v>
      </c>
      <c r="R343">
        <f t="shared" ca="1" si="345"/>
        <v>1.7239325239570888</v>
      </c>
      <c r="S343">
        <f t="shared" ca="1" si="346"/>
        <v>1.6897963728531045</v>
      </c>
    </row>
    <row r="344" spans="5:19" x14ac:dyDescent="0.75">
      <c r="E344">
        <v>339</v>
      </c>
      <c r="F344">
        <v>100</v>
      </c>
      <c r="G344">
        <f t="shared" ca="1" si="342"/>
        <v>95.575277101848528</v>
      </c>
      <c r="H344">
        <f t="shared" ca="1" si="342"/>
        <v>98.477081725145922</v>
      </c>
      <c r="I344">
        <f t="shared" ca="1" si="342"/>
        <v>94.509797856219478</v>
      </c>
      <c r="J344">
        <f t="shared" ca="1" si="342"/>
        <v>98.39356555858808</v>
      </c>
      <c r="K344">
        <f t="shared" ref="K344:P344" ca="1" si="363">J344*EXP(($C$4-0.5*$C$5^2)*$C$10+$C$5*SQRT($C$10)*NORMINV(RAND(),0,1))</f>
        <v>106.83659153739463</v>
      </c>
      <c r="L344">
        <f t="shared" ca="1" si="363"/>
        <v>104.38803723197789</v>
      </c>
      <c r="M344">
        <f t="shared" ca="1" si="363"/>
        <v>111.0820093159585</v>
      </c>
      <c r="N344">
        <f t="shared" ca="1" si="363"/>
        <v>111.36709018842262</v>
      </c>
      <c r="O344">
        <f t="shared" ca="1" si="363"/>
        <v>114.71226466143322</v>
      </c>
      <c r="P344">
        <f t="shared" ca="1" si="363"/>
        <v>114.17833670791759</v>
      </c>
      <c r="Q344">
        <f t="shared" ca="1" si="344"/>
        <v>104.50182289862788</v>
      </c>
      <c r="R344">
        <f t="shared" ca="1" si="345"/>
        <v>4.5018228986278785</v>
      </c>
      <c r="S344">
        <f t="shared" ca="1" si="346"/>
        <v>4.4126808326970179</v>
      </c>
    </row>
    <row r="345" spans="5:19" x14ac:dyDescent="0.75">
      <c r="E345">
        <v>340</v>
      </c>
      <c r="F345">
        <v>100</v>
      </c>
      <c r="G345">
        <f t="shared" ca="1" si="342"/>
        <v>99.177119378291593</v>
      </c>
      <c r="H345">
        <f t="shared" ca="1" si="342"/>
        <v>99.724274767852108</v>
      </c>
      <c r="I345">
        <f t="shared" ca="1" si="342"/>
        <v>92.113627742460608</v>
      </c>
      <c r="J345">
        <f t="shared" ca="1" si="342"/>
        <v>102.47484577715788</v>
      </c>
      <c r="K345">
        <f t="shared" ref="K345:P345" ca="1" si="364">J345*EXP(($C$4-0.5*$C$5^2)*$C$10+$C$5*SQRT($C$10)*NORMINV(RAND(),0,1))</f>
        <v>112.12753774678211</v>
      </c>
      <c r="L345">
        <f t="shared" ca="1" si="364"/>
        <v>111.75108797471469</v>
      </c>
      <c r="M345">
        <f t="shared" ca="1" si="364"/>
        <v>102.15935401957222</v>
      </c>
      <c r="N345">
        <f t="shared" ca="1" si="364"/>
        <v>104.479620139769</v>
      </c>
      <c r="O345">
        <f t="shared" ca="1" si="364"/>
        <v>94.94426916206254</v>
      </c>
      <c r="P345">
        <f t="shared" ca="1" si="364"/>
        <v>87.215860547029408</v>
      </c>
      <c r="Q345">
        <f t="shared" ca="1" si="344"/>
        <v>100.56069065960838</v>
      </c>
      <c r="R345">
        <f t="shared" ca="1" si="345"/>
        <v>0.56069065960838316</v>
      </c>
      <c r="S345">
        <f t="shared" ca="1" si="346"/>
        <v>0.54958824068362666</v>
      </c>
    </row>
    <row r="346" spans="5:19" x14ac:dyDescent="0.75">
      <c r="E346">
        <v>341</v>
      </c>
      <c r="F346">
        <v>100</v>
      </c>
      <c r="G346">
        <f t="shared" ca="1" si="342"/>
        <v>99.761265248952739</v>
      </c>
      <c r="H346">
        <f t="shared" ca="1" si="342"/>
        <v>99.939872361597665</v>
      </c>
      <c r="I346">
        <f t="shared" ca="1" si="342"/>
        <v>100.02808294619241</v>
      </c>
      <c r="J346">
        <f t="shared" ca="1" si="342"/>
        <v>109.52607043032302</v>
      </c>
      <c r="K346">
        <f t="shared" ref="K346:P346" ca="1" si="365">J346*EXP(($C$4-0.5*$C$5^2)*$C$10+$C$5*SQRT($C$10)*NORMINV(RAND(),0,1))</f>
        <v>112.67566166611873</v>
      </c>
      <c r="L346">
        <f t="shared" ca="1" si="365"/>
        <v>116.55822889378766</v>
      </c>
      <c r="M346">
        <f t="shared" ca="1" si="365"/>
        <v>118.80056441344719</v>
      </c>
      <c r="N346">
        <f t="shared" ca="1" si="365"/>
        <v>117.20952707644993</v>
      </c>
      <c r="O346">
        <f t="shared" ca="1" si="365"/>
        <v>125.89092481355601</v>
      </c>
      <c r="P346">
        <f t="shared" ca="1" si="365"/>
        <v>131.3507822667855</v>
      </c>
      <c r="Q346">
        <f t="shared" ca="1" si="344"/>
        <v>111.97645273792824</v>
      </c>
      <c r="R346">
        <f t="shared" ca="1" si="345"/>
        <v>11.976452737928241</v>
      </c>
      <c r="S346">
        <f t="shared" ca="1" si="346"/>
        <v>11.739303084638319</v>
      </c>
    </row>
    <row r="347" spans="5:19" x14ac:dyDescent="0.75">
      <c r="E347">
        <v>342</v>
      </c>
      <c r="F347">
        <v>100</v>
      </c>
      <c r="G347">
        <f t="shared" ca="1" si="342"/>
        <v>100.80049671692852</v>
      </c>
      <c r="H347">
        <f t="shared" ca="1" si="342"/>
        <v>107.42528022785535</v>
      </c>
      <c r="I347">
        <f t="shared" ca="1" si="342"/>
        <v>104.77857951931793</v>
      </c>
      <c r="J347">
        <f t="shared" ca="1" si="342"/>
        <v>103.44113691097417</v>
      </c>
      <c r="K347">
        <f t="shared" ref="K347:P347" ca="1" si="366">J347*EXP(($C$4-0.5*$C$5^2)*$C$10+$C$5*SQRT($C$10)*NORMINV(RAND(),0,1))</f>
        <v>105.81977107648294</v>
      </c>
      <c r="L347">
        <f t="shared" ca="1" si="366"/>
        <v>108.94411066402567</v>
      </c>
      <c r="M347">
        <f t="shared" ca="1" si="366"/>
        <v>120.40804233867981</v>
      </c>
      <c r="N347">
        <f t="shared" ca="1" si="366"/>
        <v>118.76989021840929</v>
      </c>
      <c r="O347">
        <f t="shared" ca="1" si="366"/>
        <v>113.80548711185997</v>
      </c>
      <c r="P347">
        <f t="shared" ca="1" si="366"/>
        <v>110.86545320516421</v>
      </c>
      <c r="Q347">
        <f t="shared" ca="1" si="344"/>
        <v>108.64165890815435</v>
      </c>
      <c r="R347">
        <f t="shared" ca="1" si="345"/>
        <v>8.6416589081543549</v>
      </c>
      <c r="S347">
        <f t="shared" ca="1" si="346"/>
        <v>8.4705425969424013</v>
      </c>
    </row>
    <row r="348" spans="5:19" x14ac:dyDescent="0.75">
      <c r="E348">
        <v>343</v>
      </c>
      <c r="F348">
        <v>100</v>
      </c>
      <c r="G348">
        <f t="shared" ca="1" si="342"/>
        <v>102.02807072660929</v>
      </c>
      <c r="H348">
        <f t="shared" ca="1" si="342"/>
        <v>98.120264260428641</v>
      </c>
      <c r="I348">
        <f t="shared" ca="1" si="342"/>
        <v>103.89609628994373</v>
      </c>
      <c r="J348">
        <f t="shared" ca="1" si="342"/>
        <v>110.32432875941312</v>
      </c>
      <c r="K348">
        <f t="shared" ref="K348:P348" ca="1" si="367">J348*EXP(($C$4-0.5*$C$5^2)*$C$10+$C$5*SQRT($C$10)*NORMINV(RAND(),0,1))</f>
        <v>111.4218324205527</v>
      </c>
      <c r="L348">
        <f t="shared" ca="1" si="367"/>
        <v>106.84403959148584</v>
      </c>
      <c r="M348">
        <f t="shared" ca="1" si="367"/>
        <v>109.92371739015648</v>
      </c>
      <c r="N348">
        <f t="shared" ca="1" si="367"/>
        <v>109.76755643636122</v>
      </c>
      <c r="O348">
        <f t="shared" ca="1" si="367"/>
        <v>107.70194068544782</v>
      </c>
      <c r="P348">
        <f t="shared" ca="1" si="367"/>
        <v>117.77263892752264</v>
      </c>
      <c r="Q348">
        <f t="shared" ca="1" si="344"/>
        <v>107.07277140799287</v>
      </c>
      <c r="R348">
        <f t="shared" ca="1" si="345"/>
        <v>7.0727714079928745</v>
      </c>
      <c r="S348">
        <f t="shared" ca="1" si="346"/>
        <v>6.9327211507165671</v>
      </c>
    </row>
    <row r="349" spans="5:19" x14ac:dyDescent="0.75">
      <c r="E349">
        <v>344</v>
      </c>
      <c r="F349">
        <v>100</v>
      </c>
      <c r="G349">
        <f t="shared" ca="1" si="342"/>
        <v>107.82493347704649</v>
      </c>
      <c r="H349">
        <f t="shared" ca="1" si="342"/>
        <v>94.322519199349131</v>
      </c>
      <c r="I349">
        <f t="shared" ca="1" si="342"/>
        <v>92.321894830942</v>
      </c>
      <c r="J349">
        <f t="shared" ca="1" si="342"/>
        <v>94.897308709379033</v>
      </c>
      <c r="K349">
        <f t="shared" ref="K349:P349" ca="1" si="368">J349*EXP(($C$4-0.5*$C$5^2)*$C$10+$C$5*SQRT($C$10)*NORMINV(RAND(),0,1))</f>
        <v>92.077227129935864</v>
      </c>
      <c r="L349">
        <f t="shared" ca="1" si="368"/>
        <v>103.18688850302443</v>
      </c>
      <c r="M349">
        <f t="shared" ca="1" si="368"/>
        <v>95.191305252755896</v>
      </c>
      <c r="N349">
        <f t="shared" ca="1" si="368"/>
        <v>90.795128110615224</v>
      </c>
      <c r="O349">
        <f t="shared" ca="1" si="368"/>
        <v>86.228542118620496</v>
      </c>
      <c r="P349">
        <f t="shared" ca="1" si="368"/>
        <v>84.165931285283307</v>
      </c>
      <c r="Q349">
        <f t="shared" ca="1" si="344"/>
        <v>94.637425328813791</v>
      </c>
      <c r="R349">
        <f t="shared" ca="1" si="345"/>
        <v>0</v>
      </c>
      <c r="S349">
        <f t="shared" ca="1" si="346"/>
        <v>0</v>
      </c>
    </row>
    <row r="350" spans="5:19" x14ac:dyDescent="0.75">
      <c r="E350">
        <v>345</v>
      </c>
      <c r="F350">
        <v>100</v>
      </c>
      <c r="G350">
        <f t="shared" ca="1" si="342"/>
        <v>93.766643527383451</v>
      </c>
      <c r="H350">
        <f t="shared" ca="1" si="342"/>
        <v>93.356152012347195</v>
      </c>
      <c r="I350">
        <f t="shared" ca="1" si="342"/>
        <v>97.034661003999048</v>
      </c>
      <c r="J350">
        <f t="shared" ca="1" si="342"/>
        <v>91.56344954031357</v>
      </c>
      <c r="K350">
        <f t="shared" ref="K350:P350" ca="1" si="369">J350*EXP(($C$4-0.5*$C$5^2)*$C$10+$C$5*SQRT($C$10)*NORMINV(RAND(),0,1))</f>
        <v>91.436623300242005</v>
      </c>
      <c r="L350">
        <f t="shared" ca="1" si="369"/>
        <v>86.581131697393872</v>
      </c>
      <c r="M350">
        <f t="shared" ca="1" si="369"/>
        <v>84.651239198797228</v>
      </c>
      <c r="N350">
        <f t="shared" ca="1" si="369"/>
        <v>88.21499835905388</v>
      </c>
      <c r="O350">
        <f t="shared" ca="1" si="369"/>
        <v>82.28825764401239</v>
      </c>
      <c r="P350">
        <f t="shared" ca="1" si="369"/>
        <v>78.636690616266051</v>
      </c>
      <c r="Q350">
        <f t="shared" ca="1" si="344"/>
        <v>89.77544062725535</v>
      </c>
      <c r="R350">
        <f t="shared" ca="1" si="345"/>
        <v>0</v>
      </c>
      <c r="S350">
        <f t="shared" ca="1" si="346"/>
        <v>0</v>
      </c>
    </row>
    <row r="351" spans="5:19" x14ac:dyDescent="0.75">
      <c r="E351">
        <v>346</v>
      </c>
      <c r="F351">
        <v>100</v>
      </c>
      <c r="G351">
        <f t="shared" ca="1" si="342"/>
        <v>103.32043504037959</v>
      </c>
      <c r="H351">
        <f t="shared" ca="1" si="342"/>
        <v>91.532220249619115</v>
      </c>
      <c r="I351">
        <f t="shared" ca="1" si="342"/>
        <v>90.739571949872939</v>
      </c>
      <c r="J351">
        <f t="shared" ca="1" si="342"/>
        <v>88.819994589142269</v>
      </c>
      <c r="K351">
        <f t="shared" ref="K351:P351" ca="1" si="370">J351*EXP(($C$4-0.5*$C$5^2)*$C$10+$C$5*SQRT($C$10)*NORMINV(RAND(),0,1))</f>
        <v>88.719068295468617</v>
      </c>
      <c r="L351">
        <f t="shared" ca="1" si="370"/>
        <v>93.918234867235441</v>
      </c>
      <c r="M351">
        <f t="shared" ca="1" si="370"/>
        <v>84.300627067371579</v>
      </c>
      <c r="N351">
        <f t="shared" ca="1" si="370"/>
        <v>84.038096085396205</v>
      </c>
      <c r="O351">
        <f t="shared" ca="1" si="370"/>
        <v>82.271739906845966</v>
      </c>
      <c r="P351">
        <f t="shared" ca="1" si="370"/>
        <v>83.939467580810586</v>
      </c>
      <c r="Q351">
        <f t="shared" ca="1" si="344"/>
        <v>90.145405057467485</v>
      </c>
      <c r="R351">
        <f t="shared" ca="1" si="345"/>
        <v>0</v>
      </c>
      <c r="S351">
        <f t="shared" ca="1" si="346"/>
        <v>0</v>
      </c>
    </row>
    <row r="352" spans="5:19" x14ac:dyDescent="0.75">
      <c r="E352">
        <v>347</v>
      </c>
      <c r="F352">
        <v>100</v>
      </c>
      <c r="G352">
        <f t="shared" ca="1" si="342"/>
        <v>91.045248119738986</v>
      </c>
      <c r="H352">
        <f t="shared" ca="1" si="342"/>
        <v>90.194455025287752</v>
      </c>
      <c r="I352">
        <f t="shared" ca="1" si="342"/>
        <v>84.425791403427183</v>
      </c>
      <c r="J352">
        <f t="shared" ca="1" si="342"/>
        <v>89.787015622251786</v>
      </c>
      <c r="K352">
        <f t="shared" ref="K352:P352" ca="1" si="371">J352*EXP(($C$4-0.5*$C$5^2)*$C$10+$C$5*SQRT($C$10)*NORMINV(RAND(),0,1))</f>
        <v>88.788731293306782</v>
      </c>
      <c r="L352">
        <f t="shared" ca="1" si="371"/>
        <v>88.103879087548009</v>
      </c>
      <c r="M352">
        <f t="shared" ca="1" si="371"/>
        <v>85.829042820759554</v>
      </c>
      <c r="N352">
        <f t="shared" ca="1" si="371"/>
        <v>82.502190622577558</v>
      </c>
      <c r="O352">
        <f t="shared" ca="1" si="371"/>
        <v>74.127413230336003</v>
      </c>
      <c r="P352">
        <f t="shared" ca="1" si="371"/>
        <v>78.610535156289686</v>
      </c>
      <c r="Q352">
        <f t="shared" ca="1" si="344"/>
        <v>86.674027489229374</v>
      </c>
      <c r="R352">
        <f t="shared" ca="1" si="345"/>
        <v>0</v>
      </c>
      <c r="S352">
        <f t="shared" ca="1" si="346"/>
        <v>0</v>
      </c>
    </row>
    <row r="353" spans="5:19" x14ac:dyDescent="0.75">
      <c r="E353">
        <v>348</v>
      </c>
      <c r="F353">
        <v>100</v>
      </c>
      <c r="G353">
        <f t="shared" ca="1" si="342"/>
        <v>96.695262506968987</v>
      </c>
      <c r="H353">
        <f t="shared" ca="1" si="342"/>
        <v>105.64983322572455</v>
      </c>
      <c r="I353">
        <f t="shared" ca="1" si="342"/>
        <v>100.22675867708097</v>
      </c>
      <c r="J353">
        <f t="shared" ca="1" si="342"/>
        <v>90.051192392004111</v>
      </c>
      <c r="K353">
        <f t="shared" ref="K353:P353" ca="1" si="372">J353*EXP(($C$4-0.5*$C$5^2)*$C$10+$C$5*SQRT($C$10)*NORMINV(RAND(),0,1))</f>
        <v>79.215600053271842</v>
      </c>
      <c r="L353">
        <f t="shared" ca="1" si="372"/>
        <v>80.808622952664876</v>
      </c>
      <c r="M353">
        <f t="shared" ca="1" si="372"/>
        <v>75.713276913864533</v>
      </c>
      <c r="N353">
        <f t="shared" ca="1" si="372"/>
        <v>79.891486413100651</v>
      </c>
      <c r="O353">
        <f t="shared" ca="1" si="372"/>
        <v>84.715070917184235</v>
      </c>
      <c r="P353">
        <f t="shared" ca="1" si="372"/>
        <v>81.498964833749369</v>
      </c>
      <c r="Q353">
        <f t="shared" ca="1" si="344"/>
        <v>88.587824444146747</v>
      </c>
      <c r="R353">
        <f t="shared" ca="1" si="345"/>
        <v>0</v>
      </c>
      <c r="S353">
        <f t="shared" ca="1" si="346"/>
        <v>0</v>
      </c>
    </row>
    <row r="354" spans="5:19" x14ac:dyDescent="0.75">
      <c r="E354">
        <v>349</v>
      </c>
      <c r="F354">
        <v>100</v>
      </c>
      <c r="G354">
        <f t="shared" ca="1" si="342"/>
        <v>103.00890637066394</v>
      </c>
      <c r="H354">
        <f t="shared" ca="1" si="342"/>
        <v>101.3603335165803</v>
      </c>
      <c r="I354">
        <f t="shared" ca="1" si="342"/>
        <v>100.86042527253321</v>
      </c>
      <c r="J354">
        <f t="shared" ca="1" si="342"/>
        <v>98.348992039652913</v>
      </c>
      <c r="K354">
        <f t="shared" ref="K354:P354" ca="1" si="373">J354*EXP(($C$4-0.5*$C$5^2)*$C$10+$C$5*SQRT($C$10)*NORMINV(RAND(),0,1))</f>
        <v>97.925045310873017</v>
      </c>
      <c r="L354">
        <f t="shared" ca="1" si="373"/>
        <v>96.730011769843571</v>
      </c>
      <c r="M354">
        <f t="shared" ca="1" si="373"/>
        <v>93.385579086878764</v>
      </c>
      <c r="N354">
        <f t="shared" ca="1" si="373"/>
        <v>82.451290130018506</v>
      </c>
      <c r="O354">
        <f t="shared" ca="1" si="373"/>
        <v>71.374925279781323</v>
      </c>
      <c r="P354">
        <f t="shared" ca="1" si="373"/>
        <v>69.564629549936711</v>
      </c>
      <c r="Q354">
        <f t="shared" ca="1" si="344"/>
        <v>92.273648938796569</v>
      </c>
      <c r="R354">
        <f t="shared" ca="1" si="345"/>
        <v>0</v>
      </c>
      <c r="S354">
        <f t="shared" ca="1" si="346"/>
        <v>0</v>
      </c>
    </row>
    <row r="355" spans="5:19" x14ac:dyDescent="0.75">
      <c r="E355">
        <v>350</v>
      </c>
      <c r="F355">
        <v>100</v>
      </c>
      <c r="G355">
        <f t="shared" ca="1" si="342"/>
        <v>88.200362714451259</v>
      </c>
      <c r="H355">
        <f t="shared" ca="1" si="342"/>
        <v>88.566980536390673</v>
      </c>
      <c r="I355">
        <f t="shared" ca="1" si="342"/>
        <v>96.907870930187372</v>
      </c>
      <c r="J355">
        <f t="shared" ca="1" si="342"/>
        <v>91.480591876912072</v>
      </c>
      <c r="K355">
        <f t="shared" ref="K355:P355" ca="1" si="374">J355*EXP(($C$4-0.5*$C$5^2)*$C$10+$C$5*SQRT($C$10)*NORMINV(RAND(),0,1))</f>
        <v>100.07501820343788</v>
      </c>
      <c r="L355">
        <f t="shared" ca="1" si="374"/>
        <v>93.278823457839067</v>
      </c>
      <c r="M355">
        <f t="shared" ca="1" si="374"/>
        <v>102.63263165893713</v>
      </c>
      <c r="N355">
        <f t="shared" ca="1" si="374"/>
        <v>88.754353425373608</v>
      </c>
      <c r="O355">
        <f t="shared" ca="1" si="374"/>
        <v>92.222998615027421</v>
      </c>
      <c r="P355">
        <f t="shared" ca="1" si="374"/>
        <v>84.421056519980525</v>
      </c>
      <c r="Q355">
        <f t="shared" ca="1" si="344"/>
        <v>93.321880721685162</v>
      </c>
      <c r="R355">
        <f t="shared" ca="1" si="345"/>
        <v>0</v>
      </c>
      <c r="S355">
        <f t="shared" ca="1" si="346"/>
        <v>0</v>
      </c>
    </row>
    <row r="356" spans="5:19" x14ac:dyDescent="0.75">
      <c r="E356">
        <v>351</v>
      </c>
      <c r="F356">
        <v>100</v>
      </c>
      <c r="G356">
        <f t="shared" ca="1" si="342"/>
        <v>91.396178473380019</v>
      </c>
      <c r="H356">
        <f t="shared" ca="1" si="342"/>
        <v>87.098491943116073</v>
      </c>
      <c r="I356">
        <f t="shared" ca="1" si="342"/>
        <v>79.770639732946009</v>
      </c>
      <c r="J356">
        <f t="shared" ca="1" si="342"/>
        <v>78.58362240956987</v>
      </c>
      <c r="K356">
        <f t="shared" ref="K356:P356" ca="1" si="375">J356*EXP(($C$4-0.5*$C$5^2)*$C$10+$C$5*SQRT($C$10)*NORMINV(RAND(),0,1))</f>
        <v>69.705885765901115</v>
      </c>
      <c r="L356">
        <f t="shared" ca="1" si="375"/>
        <v>68.652862376324691</v>
      </c>
      <c r="M356">
        <f t="shared" ca="1" si="375"/>
        <v>65.249163374718222</v>
      </c>
      <c r="N356">
        <f t="shared" ca="1" si="375"/>
        <v>71.279828603054938</v>
      </c>
      <c r="O356">
        <f t="shared" ca="1" si="375"/>
        <v>71.001695446566288</v>
      </c>
      <c r="P356">
        <f t="shared" ca="1" si="375"/>
        <v>76.886775436947531</v>
      </c>
      <c r="Q356">
        <f t="shared" ca="1" si="344"/>
        <v>78.147740323865889</v>
      </c>
      <c r="R356">
        <f t="shared" ca="1" si="345"/>
        <v>0</v>
      </c>
      <c r="S356">
        <f t="shared" ca="1" si="346"/>
        <v>0</v>
      </c>
    </row>
    <row r="357" spans="5:19" x14ac:dyDescent="0.75">
      <c r="E357">
        <v>352</v>
      </c>
      <c r="F357">
        <v>100</v>
      </c>
      <c r="G357">
        <f t="shared" ca="1" si="342"/>
        <v>103.8145701710927</v>
      </c>
      <c r="H357">
        <f t="shared" ca="1" si="342"/>
        <v>105.54267373208023</v>
      </c>
      <c r="I357">
        <f t="shared" ca="1" si="342"/>
        <v>121.35425071871489</v>
      </c>
      <c r="J357">
        <f t="shared" ca="1" si="342"/>
        <v>123.56046448121872</v>
      </c>
      <c r="K357">
        <f t="shared" ref="K357:P357" ca="1" si="376">J357*EXP(($C$4-0.5*$C$5^2)*$C$10+$C$5*SQRT($C$10)*NORMINV(RAND(),0,1))</f>
        <v>126.38222467490408</v>
      </c>
      <c r="L357">
        <f t="shared" ca="1" si="376"/>
        <v>113.8406725837237</v>
      </c>
      <c r="M357">
        <f t="shared" ca="1" si="376"/>
        <v>114.26924968365924</v>
      </c>
      <c r="N357">
        <f t="shared" ca="1" si="376"/>
        <v>114.81872990136863</v>
      </c>
      <c r="O357">
        <f t="shared" ca="1" si="376"/>
        <v>107.69064944063936</v>
      </c>
      <c r="P357">
        <f t="shared" ca="1" si="376"/>
        <v>117.28091824395825</v>
      </c>
      <c r="Q357">
        <f t="shared" ca="1" si="344"/>
        <v>113.50494578466906</v>
      </c>
      <c r="R357">
        <f t="shared" ca="1" si="345"/>
        <v>13.504945784669061</v>
      </c>
      <c r="S357">
        <f t="shared" ca="1" si="346"/>
        <v>13.237529941212271</v>
      </c>
    </row>
    <row r="358" spans="5:19" x14ac:dyDescent="0.75">
      <c r="E358">
        <v>353</v>
      </c>
      <c r="F358">
        <v>100</v>
      </c>
      <c r="G358">
        <f t="shared" ca="1" si="342"/>
        <v>102.88257792733715</v>
      </c>
      <c r="H358">
        <f t="shared" ca="1" si="342"/>
        <v>107.46750582898373</v>
      </c>
      <c r="I358">
        <f t="shared" ca="1" si="342"/>
        <v>113.67436444437789</v>
      </c>
      <c r="J358">
        <f t="shared" ca="1" si="342"/>
        <v>95.768028258404271</v>
      </c>
      <c r="K358">
        <f t="shared" ref="K358:P358" ca="1" si="377">J358*EXP(($C$4-0.5*$C$5^2)*$C$10+$C$5*SQRT($C$10)*NORMINV(RAND(),0,1))</f>
        <v>91.444311272624915</v>
      </c>
      <c r="L358">
        <f t="shared" ca="1" si="377"/>
        <v>84.741594635388751</v>
      </c>
      <c r="M358">
        <f t="shared" ca="1" si="377"/>
        <v>82.087666608106261</v>
      </c>
      <c r="N358">
        <f t="shared" ca="1" si="377"/>
        <v>83.099737192393206</v>
      </c>
      <c r="O358">
        <f t="shared" ca="1" si="377"/>
        <v>85.854665814295799</v>
      </c>
      <c r="P358">
        <f t="shared" ca="1" si="377"/>
        <v>88.090863558083925</v>
      </c>
      <c r="Q358">
        <f t="shared" ca="1" si="344"/>
        <v>94.101028685454153</v>
      </c>
      <c r="R358">
        <f t="shared" ca="1" si="345"/>
        <v>0</v>
      </c>
      <c r="S358">
        <f t="shared" ca="1" si="346"/>
        <v>0</v>
      </c>
    </row>
    <row r="359" spans="5:19" x14ac:dyDescent="0.75">
      <c r="E359">
        <v>354</v>
      </c>
      <c r="F359">
        <v>100</v>
      </c>
      <c r="G359">
        <f t="shared" ca="1" si="342"/>
        <v>102.47900813038733</v>
      </c>
      <c r="H359">
        <f t="shared" ca="1" si="342"/>
        <v>99.525326241418853</v>
      </c>
      <c r="I359">
        <f t="shared" ca="1" si="342"/>
        <v>97.305721781333133</v>
      </c>
      <c r="J359">
        <f t="shared" ca="1" si="342"/>
        <v>100.60786934245215</v>
      </c>
      <c r="K359">
        <f t="shared" ref="K359:P359" ca="1" si="378">J359*EXP(($C$4-0.5*$C$5^2)*$C$10+$C$5*SQRT($C$10)*NORMINV(RAND(),0,1))</f>
        <v>101.09277864949875</v>
      </c>
      <c r="L359">
        <f t="shared" ca="1" si="378"/>
        <v>101.81840659273487</v>
      </c>
      <c r="M359">
        <f t="shared" ca="1" si="378"/>
        <v>95.720487975687007</v>
      </c>
      <c r="N359">
        <f t="shared" ca="1" si="378"/>
        <v>86.63800974387847</v>
      </c>
      <c r="O359">
        <f t="shared" ca="1" si="378"/>
        <v>94.350065538554688</v>
      </c>
      <c r="P359">
        <f t="shared" ca="1" si="378"/>
        <v>88.684093973910919</v>
      </c>
      <c r="Q359">
        <f t="shared" ca="1" si="344"/>
        <v>97.111069815441454</v>
      </c>
      <c r="R359">
        <f t="shared" ca="1" si="345"/>
        <v>0</v>
      </c>
      <c r="S359">
        <f t="shared" ca="1" si="346"/>
        <v>0</v>
      </c>
    </row>
    <row r="360" spans="5:19" x14ac:dyDescent="0.75">
      <c r="E360">
        <v>355</v>
      </c>
      <c r="F360">
        <v>100</v>
      </c>
      <c r="G360">
        <f t="shared" ca="1" si="342"/>
        <v>103.29886838425195</v>
      </c>
      <c r="H360">
        <f t="shared" ca="1" si="342"/>
        <v>97.465812560344432</v>
      </c>
      <c r="I360">
        <f t="shared" ca="1" si="342"/>
        <v>97.095672783734045</v>
      </c>
      <c r="J360">
        <f t="shared" ca="1" si="342"/>
        <v>95.022858911941483</v>
      </c>
      <c r="K360">
        <f t="shared" ref="K360:P360" ca="1" si="379">J360*EXP(($C$4-0.5*$C$5^2)*$C$10+$C$5*SQRT($C$10)*NORMINV(RAND(),0,1))</f>
        <v>83.621486805241318</v>
      </c>
      <c r="L360">
        <f t="shared" ca="1" si="379"/>
        <v>88.033569799238762</v>
      </c>
      <c r="M360">
        <f t="shared" ca="1" si="379"/>
        <v>89.522695238011295</v>
      </c>
      <c r="N360">
        <f t="shared" ca="1" si="379"/>
        <v>93.305740477541065</v>
      </c>
      <c r="O360">
        <f t="shared" ca="1" si="379"/>
        <v>96.660836882437607</v>
      </c>
      <c r="P360">
        <f t="shared" ca="1" si="379"/>
        <v>96.486707894355888</v>
      </c>
      <c r="Q360">
        <f t="shared" ca="1" si="344"/>
        <v>94.592204521554365</v>
      </c>
      <c r="R360">
        <f t="shared" ca="1" si="345"/>
        <v>0</v>
      </c>
      <c r="S360">
        <f t="shared" ca="1" si="346"/>
        <v>0</v>
      </c>
    </row>
    <row r="361" spans="5:19" x14ac:dyDescent="0.75">
      <c r="E361">
        <v>356</v>
      </c>
      <c r="F361">
        <v>100</v>
      </c>
      <c r="G361">
        <f t="shared" ca="1" si="342"/>
        <v>91.848734306680072</v>
      </c>
      <c r="H361">
        <f t="shared" ca="1" si="342"/>
        <v>94.565423172322582</v>
      </c>
      <c r="I361">
        <f t="shared" ca="1" si="342"/>
        <v>105.29193707046237</v>
      </c>
      <c r="J361">
        <f t="shared" ca="1" si="342"/>
        <v>120.44042847550926</v>
      </c>
      <c r="K361">
        <f t="shared" ref="K361:P361" ca="1" si="380">J361*EXP(($C$4-0.5*$C$5^2)*$C$10+$C$5*SQRT($C$10)*NORMINV(RAND(),0,1))</f>
        <v>134.53919923053286</v>
      </c>
      <c r="L361">
        <f t="shared" ca="1" si="380"/>
        <v>133.20203109698798</v>
      </c>
      <c r="M361">
        <f t="shared" ca="1" si="380"/>
        <v>131.74647787467154</v>
      </c>
      <c r="N361">
        <f t="shared" ca="1" si="380"/>
        <v>132.43512557203795</v>
      </c>
      <c r="O361">
        <f t="shared" ca="1" si="380"/>
        <v>133.43587868015416</v>
      </c>
      <c r="P361">
        <f t="shared" ca="1" si="380"/>
        <v>137.80215921434396</v>
      </c>
      <c r="Q361">
        <f t="shared" ca="1" si="344"/>
        <v>119.57339951760933</v>
      </c>
      <c r="R361">
        <f t="shared" ca="1" si="345"/>
        <v>19.573399517609332</v>
      </c>
      <c r="S361">
        <f t="shared" ca="1" si="346"/>
        <v>19.185820239263752</v>
      </c>
    </row>
    <row r="362" spans="5:19" x14ac:dyDescent="0.75">
      <c r="E362">
        <v>357</v>
      </c>
      <c r="F362">
        <v>100</v>
      </c>
      <c r="G362">
        <f t="shared" ca="1" si="342"/>
        <v>94.551284213699745</v>
      </c>
      <c r="H362">
        <f t="shared" ca="1" si="342"/>
        <v>94.662295814335849</v>
      </c>
      <c r="I362">
        <f t="shared" ca="1" si="342"/>
        <v>95.92176794731914</v>
      </c>
      <c r="J362">
        <f t="shared" ca="1" si="342"/>
        <v>95.986573368626665</v>
      </c>
      <c r="K362">
        <f t="shared" ref="K362:P362" ca="1" si="381">J362*EXP(($C$4-0.5*$C$5^2)*$C$10+$C$5*SQRT($C$10)*NORMINV(RAND(),0,1))</f>
        <v>88.464108805397885</v>
      </c>
      <c r="L362">
        <f t="shared" ca="1" si="381"/>
        <v>88.55097588333372</v>
      </c>
      <c r="M362">
        <f t="shared" ca="1" si="381"/>
        <v>99.270445357306059</v>
      </c>
      <c r="N362">
        <f t="shared" ca="1" si="381"/>
        <v>101.01373937742332</v>
      </c>
      <c r="O362">
        <f t="shared" ca="1" si="381"/>
        <v>97.110219278013048</v>
      </c>
      <c r="P362">
        <f t="shared" ca="1" si="381"/>
        <v>99.891203723406676</v>
      </c>
      <c r="Q362">
        <f t="shared" ca="1" si="344"/>
        <v>95.947510342623843</v>
      </c>
      <c r="R362">
        <f t="shared" ca="1" si="345"/>
        <v>0</v>
      </c>
      <c r="S362">
        <f t="shared" ca="1" si="346"/>
        <v>0</v>
      </c>
    </row>
    <row r="363" spans="5:19" x14ac:dyDescent="0.75">
      <c r="E363">
        <v>358</v>
      </c>
      <c r="F363">
        <v>100</v>
      </c>
      <c r="G363">
        <f t="shared" ca="1" si="342"/>
        <v>98.0834304433765</v>
      </c>
      <c r="H363">
        <f t="shared" ca="1" si="342"/>
        <v>96.071092914220344</v>
      </c>
      <c r="I363">
        <f t="shared" ca="1" si="342"/>
        <v>96.812446599865027</v>
      </c>
      <c r="J363">
        <f t="shared" ca="1" si="342"/>
        <v>95.615118021314487</v>
      </c>
      <c r="K363">
        <f t="shared" ref="K363:P363" ca="1" si="382">J363*EXP(($C$4-0.5*$C$5^2)*$C$10+$C$5*SQRT($C$10)*NORMINV(RAND(),0,1))</f>
        <v>101.53530454091324</v>
      </c>
      <c r="L363">
        <f t="shared" ca="1" si="382"/>
        <v>121.90527235609758</v>
      </c>
      <c r="M363">
        <f t="shared" ca="1" si="382"/>
        <v>116.17457325400532</v>
      </c>
      <c r="N363">
        <f t="shared" ca="1" si="382"/>
        <v>115.90390229876103</v>
      </c>
      <c r="O363">
        <f t="shared" ca="1" si="382"/>
        <v>121.504593473345</v>
      </c>
      <c r="P363">
        <f t="shared" ca="1" si="382"/>
        <v>115.25620831126771</v>
      </c>
      <c r="Q363">
        <f t="shared" ca="1" si="344"/>
        <v>107.16926747392421</v>
      </c>
      <c r="R363">
        <f t="shared" ca="1" si="345"/>
        <v>7.1692674739242079</v>
      </c>
      <c r="S363">
        <f t="shared" ca="1" si="346"/>
        <v>7.0273064665217815</v>
      </c>
    </row>
    <row r="364" spans="5:19" x14ac:dyDescent="0.75">
      <c r="E364">
        <v>359</v>
      </c>
      <c r="F364">
        <v>100</v>
      </c>
      <c r="G364">
        <f t="shared" ca="1" si="342"/>
        <v>98.026873908972561</v>
      </c>
      <c r="H364">
        <f t="shared" ca="1" si="342"/>
        <v>87.386600596272373</v>
      </c>
      <c r="I364">
        <f t="shared" ca="1" si="342"/>
        <v>87.109293660762759</v>
      </c>
      <c r="J364">
        <f t="shared" ca="1" si="342"/>
        <v>92.900699835305446</v>
      </c>
      <c r="K364">
        <f t="shared" ref="K364:P364" ca="1" si="383">J364*EXP(($C$4-0.5*$C$5^2)*$C$10+$C$5*SQRT($C$10)*NORMINV(RAND(),0,1))</f>
        <v>102.24910869115097</v>
      </c>
      <c r="L364">
        <f t="shared" ca="1" si="383"/>
        <v>102.91105459036311</v>
      </c>
      <c r="M364">
        <f t="shared" ca="1" si="383"/>
        <v>101.07163089350244</v>
      </c>
      <c r="N364">
        <f t="shared" ca="1" si="383"/>
        <v>98.512039834270809</v>
      </c>
      <c r="O364">
        <f t="shared" ca="1" si="383"/>
        <v>101.05968576184304</v>
      </c>
      <c r="P364">
        <f t="shared" ca="1" si="383"/>
        <v>102.83695705698196</v>
      </c>
      <c r="Q364">
        <f t="shared" ca="1" si="344"/>
        <v>97.642176802675024</v>
      </c>
      <c r="R364">
        <f t="shared" ca="1" si="345"/>
        <v>0</v>
      </c>
      <c r="S364">
        <f t="shared" ca="1" si="346"/>
        <v>0</v>
      </c>
    </row>
    <row r="365" spans="5:19" x14ac:dyDescent="0.75">
      <c r="E365">
        <v>360</v>
      </c>
      <c r="F365">
        <v>100</v>
      </c>
      <c r="G365">
        <f t="shared" ca="1" si="342"/>
        <v>85.149360895072562</v>
      </c>
      <c r="H365">
        <f t="shared" ca="1" si="342"/>
        <v>87.354082359095955</v>
      </c>
      <c r="I365">
        <f t="shared" ca="1" si="342"/>
        <v>82.865102126975358</v>
      </c>
      <c r="J365">
        <f t="shared" ca="1" si="342"/>
        <v>75.077137509540705</v>
      </c>
      <c r="K365">
        <f t="shared" ref="K365:P365" ca="1" si="384">J365*EXP(($C$4-0.5*$C$5^2)*$C$10+$C$5*SQRT($C$10)*NORMINV(RAND(),0,1))</f>
        <v>72.292730251644244</v>
      </c>
      <c r="L365">
        <f t="shared" ca="1" si="384"/>
        <v>73.360780665660599</v>
      </c>
      <c r="M365">
        <f t="shared" ca="1" si="384"/>
        <v>72.571541975076116</v>
      </c>
      <c r="N365">
        <f t="shared" ca="1" si="384"/>
        <v>64.393377346618351</v>
      </c>
      <c r="O365">
        <f t="shared" ca="1" si="384"/>
        <v>70.477067034662127</v>
      </c>
      <c r="P365">
        <f t="shared" ca="1" si="384"/>
        <v>72.914491663266233</v>
      </c>
      <c r="Q365">
        <f t="shared" ca="1" si="344"/>
        <v>77.859606529782923</v>
      </c>
      <c r="R365">
        <f t="shared" ca="1" si="345"/>
        <v>0</v>
      </c>
      <c r="S365">
        <f t="shared" ca="1" si="346"/>
        <v>0</v>
      </c>
    </row>
    <row r="366" spans="5:19" x14ac:dyDescent="0.75">
      <c r="E366">
        <v>361</v>
      </c>
      <c r="F366">
        <v>100</v>
      </c>
      <c r="G366">
        <f t="shared" ca="1" si="342"/>
        <v>104.09085616581643</v>
      </c>
      <c r="H366">
        <f t="shared" ca="1" si="342"/>
        <v>95.364484293966015</v>
      </c>
      <c r="I366">
        <f t="shared" ca="1" si="342"/>
        <v>96.131616880119395</v>
      </c>
      <c r="J366">
        <f t="shared" ca="1" si="342"/>
        <v>96.169270356294277</v>
      </c>
      <c r="K366">
        <f t="shared" ref="K366:P366" ca="1" si="385">J366*EXP(($C$4-0.5*$C$5^2)*$C$10+$C$5*SQRT($C$10)*NORMINV(RAND(),0,1))</f>
        <v>86.700622585247572</v>
      </c>
      <c r="L366">
        <f t="shared" ca="1" si="385"/>
        <v>93.680053555994377</v>
      </c>
      <c r="M366">
        <f t="shared" ca="1" si="385"/>
        <v>100.97289647997535</v>
      </c>
      <c r="N366">
        <f t="shared" ca="1" si="385"/>
        <v>97.045576268323671</v>
      </c>
      <c r="O366">
        <f t="shared" ca="1" si="385"/>
        <v>105.00552257194278</v>
      </c>
      <c r="P366">
        <f t="shared" ca="1" si="385"/>
        <v>101.94396390674238</v>
      </c>
      <c r="Q366">
        <f t="shared" ca="1" si="344"/>
        <v>97.91862391494746</v>
      </c>
      <c r="R366">
        <f t="shared" ca="1" si="345"/>
        <v>0</v>
      </c>
      <c r="S366">
        <f t="shared" ca="1" si="346"/>
        <v>0</v>
      </c>
    </row>
    <row r="367" spans="5:19" x14ac:dyDescent="0.75">
      <c r="E367">
        <v>362</v>
      </c>
      <c r="F367">
        <v>100</v>
      </c>
      <c r="G367">
        <f t="shared" ca="1" si="342"/>
        <v>104.63034914740315</v>
      </c>
      <c r="H367">
        <f t="shared" ca="1" si="342"/>
        <v>108.57289520460449</v>
      </c>
      <c r="I367">
        <f t="shared" ca="1" si="342"/>
        <v>97.863012070267615</v>
      </c>
      <c r="J367">
        <f t="shared" ca="1" si="342"/>
        <v>104.99348254215077</v>
      </c>
      <c r="K367">
        <f t="shared" ref="K367:P367" ca="1" si="386">J367*EXP(($C$4-0.5*$C$5^2)*$C$10+$C$5*SQRT($C$10)*NORMINV(RAND(),0,1))</f>
        <v>100.80477327446017</v>
      </c>
      <c r="L367">
        <f t="shared" ca="1" si="386"/>
        <v>94.026528637746765</v>
      </c>
      <c r="M367">
        <f t="shared" ca="1" si="386"/>
        <v>100.99895967640744</v>
      </c>
      <c r="N367">
        <f t="shared" ca="1" si="386"/>
        <v>96.485076611853003</v>
      </c>
      <c r="O367">
        <f t="shared" ca="1" si="386"/>
        <v>102.72350829557003</v>
      </c>
      <c r="P367">
        <f t="shared" ca="1" si="386"/>
        <v>92.83061633541115</v>
      </c>
      <c r="Q367">
        <f t="shared" ca="1" si="344"/>
        <v>100.35720016326133</v>
      </c>
      <c r="R367">
        <f t="shared" ca="1" si="345"/>
        <v>0.35720016326132509</v>
      </c>
      <c r="S367">
        <f t="shared" ca="1" si="346"/>
        <v>0.35012712613370722</v>
      </c>
    </row>
    <row r="368" spans="5:19" x14ac:dyDescent="0.75">
      <c r="E368">
        <v>363</v>
      </c>
      <c r="F368">
        <v>100</v>
      </c>
      <c r="G368">
        <f t="shared" ca="1" si="342"/>
        <v>96.315101837701988</v>
      </c>
      <c r="H368">
        <f t="shared" ca="1" si="342"/>
        <v>98.698563638100282</v>
      </c>
      <c r="I368">
        <f t="shared" ca="1" si="342"/>
        <v>94.48902689262863</v>
      </c>
      <c r="J368">
        <f t="shared" ca="1" si="342"/>
        <v>88.411640444052182</v>
      </c>
      <c r="K368">
        <f t="shared" ref="K368:P368" ca="1" si="387">J368*EXP(($C$4-0.5*$C$5^2)*$C$10+$C$5*SQRT($C$10)*NORMINV(RAND(),0,1))</f>
        <v>96.010890006232401</v>
      </c>
      <c r="L368">
        <f t="shared" ca="1" si="387"/>
        <v>105.74264199171664</v>
      </c>
      <c r="M368">
        <f t="shared" ca="1" si="387"/>
        <v>103.34428019758693</v>
      </c>
      <c r="N368">
        <f t="shared" ca="1" si="387"/>
        <v>115.30245702110649</v>
      </c>
      <c r="O368">
        <f t="shared" ca="1" si="387"/>
        <v>128.19667505634737</v>
      </c>
      <c r="P368">
        <f t="shared" ca="1" si="387"/>
        <v>133.45227360771796</v>
      </c>
      <c r="Q368">
        <f t="shared" ca="1" si="344"/>
        <v>105.45123188119918</v>
      </c>
      <c r="R368">
        <f t="shared" ca="1" si="345"/>
        <v>5.4512318811991776</v>
      </c>
      <c r="S368">
        <f t="shared" ca="1" si="346"/>
        <v>5.3432902578389214</v>
      </c>
    </row>
    <row r="369" spans="5:19" x14ac:dyDescent="0.75">
      <c r="E369">
        <v>364</v>
      </c>
      <c r="F369">
        <v>100</v>
      </c>
      <c r="G369">
        <f t="shared" ca="1" si="342"/>
        <v>95.093187057538003</v>
      </c>
      <c r="H369">
        <f t="shared" ca="1" si="342"/>
        <v>93.931291041147261</v>
      </c>
      <c r="I369">
        <f t="shared" ca="1" si="342"/>
        <v>90.641419945074105</v>
      </c>
      <c r="J369">
        <f t="shared" ca="1" si="342"/>
        <v>84.816461339711864</v>
      </c>
      <c r="K369">
        <f t="shared" ref="K369:P369" ca="1" si="388">J369*EXP(($C$4-0.5*$C$5^2)*$C$10+$C$5*SQRT($C$10)*NORMINV(RAND(),0,1))</f>
        <v>80.942272769205076</v>
      </c>
      <c r="L369">
        <f t="shared" ca="1" si="388"/>
        <v>78.262644385947382</v>
      </c>
      <c r="M369">
        <f t="shared" ca="1" si="388"/>
        <v>77.810255744102804</v>
      </c>
      <c r="N369">
        <f t="shared" ca="1" si="388"/>
        <v>78.197784936253015</v>
      </c>
      <c r="O369">
        <f t="shared" ca="1" si="388"/>
        <v>88.958969579505109</v>
      </c>
      <c r="P369">
        <f t="shared" ca="1" si="388"/>
        <v>86.909125040105067</v>
      </c>
      <c r="Q369">
        <f t="shared" ca="1" si="344"/>
        <v>86.869401076235434</v>
      </c>
      <c r="R369">
        <f t="shared" ca="1" si="345"/>
        <v>0</v>
      </c>
      <c r="S369">
        <f t="shared" ca="1" si="346"/>
        <v>0</v>
      </c>
    </row>
    <row r="370" spans="5:19" x14ac:dyDescent="0.75">
      <c r="E370">
        <v>365</v>
      </c>
      <c r="F370">
        <v>100</v>
      </c>
      <c r="G370">
        <f t="shared" ca="1" si="342"/>
        <v>99.857996832113059</v>
      </c>
      <c r="H370">
        <f t="shared" ca="1" si="342"/>
        <v>106.16459930925292</v>
      </c>
      <c r="I370">
        <f t="shared" ca="1" si="342"/>
        <v>115.43358480026983</v>
      </c>
      <c r="J370">
        <f t="shared" ca="1" si="342"/>
        <v>120.71234794228468</v>
      </c>
      <c r="K370">
        <f t="shared" ref="K370:P370" ca="1" si="389">J370*EXP(($C$4-0.5*$C$5^2)*$C$10+$C$5*SQRT($C$10)*NORMINV(RAND(),0,1))</f>
        <v>117.73156544446107</v>
      </c>
      <c r="L370">
        <f t="shared" ca="1" si="389"/>
        <v>111.80750196471958</v>
      </c>
      <c r="M370">
        <f t="shared" ca="1" si="389"/>
        <v>119.58969082908119</v>
      </c>
      <c r="N370">
        <f t="shared" ca="1" si="389"/>
        <v>120.99212671588269</v>
      </c>
      <c r="O370">
        <f t="shared" ca="1" si="389"/>
        <v>115.59032774879832</v>
      </c>
      <c r="P370">
        <f t="shared" ca="1" si="389"/>
        <v>106.27145112700779</v>
      </c>
      <c r="Q370">
        <f t="shared" ca="1" si="344"/>
        <v>112.19556297398827</v>
      </c>
      <c r="R370">
        <f t="shared" ca="1" si="345"/>
        <v>12.195562973988274</v>
      </c>
      <c r="S370">
        <f t="shared" ca="1" si="346"/>
        <v>11.954074647332293</v>
      </c>
    </row>
    <row r="371" spans="5:19" x14ac:dyDescent="0.75">
      <c r="E371">
        <v>366</v>
      </c>
      <c r="F371">
        <v>100</v>
      </c>
      <c r="G371">
        <f t="shared" ca="1" si="342"/>
        <v>89.073294061495574</v>
      </c>
      <c r="H371">
        <f t="shared" ca="1" si="342"/>
        <v>82.143594366573566</v>
      </c>
      <c r="I371">
        <f t="shared" ca="1" si="342"/>
        <v>79.254720594315856</v>
      </c>
      <c r="J371">
        <f t="shared" ca="1" si="342"/>
        <v>73.847369231389251</v>
      </c>
      <c r="K371">
        <f t="shared" ref="K371:P371" ca="1" si="390">J371*EXP(($C$4-0.5*$C$5^2)*$C$10+$C$5*SQRT($C$10)*NORMINV(RAND(),0,1))</f>
        <v>77.729469816313909</v>
      </c>
      <c r="L371">
        <f t="shared" ca="1" si="390"/>
        <v>72.94304805980066</v>
      </c>
      <c r="M371">
        <f t="shared" ca="1" si="390"/>
        <v>78.802135181476316</v>
      </c>
      <c r="N371">
        <f t="shared" ca="1" si="390"/>
        <v>75.289548347135948</v>
      </c>
      <c r="O371">
        <f t="shared" ca="1" si="390"/>
        <v>67.454641316921894</v>
      </c>
      <c r="P371">
        <f t="shared" ca="1" si="390"/>
        <v>61.940969089543707</v>
      </c>
      <c r="Q371">
        <f t="shared" ca="1" si="344"/>
        <v>78.04352636954242</v>
      </c>
      <c r="R371">
        <f t="shared" ca="1" si="345"/>
        <v>0</v>
      </c>
      <c r="S371">
        <f t="shared" ca="1" si="346"/>
        <v>0</v>
      </c>
    </row>
    <row r="372" spans="5:19" x14ac:dyDescent="0.75">
      <c r="E372">
        <v>367</v>
      </c>
      <c r="F372">
        <v>100</v>
      </c>
      <c r="G372">
        <f t="shared" ca="1" si="342"/>
        <v>91.729025475270049</v>
      </c>
      <c r="H372">
        <f t="shared" ca="1" si="342"/>
        <v>87.253892738521486</v>
      </c>
      <c r="I372">
        <f t="shared" ca="1" si="342"/>
        <v>85.852029677343495</v>
      </c>
      <c r="J372">
        <f t="shared" ca="1" si="342"/>
        <v>88.802021833707528</v>
      </c>
      <c r="K372">
        <f t="shared" ref="K372:P372" ca="1" si="391">J372*EXP(($C$4-0.5*$C$5^2)*$C$10+$C$5*SQRT($C$10)*NORMINV(RAND(),0,1))</f>
        <v>93.638319718279647</v>
      </c>
      <c r="L372">
        <f t="shared" ca="1" si="391"/>
        <v>90.579417938008703</v>
      </c>
      <c r="M372">
        <f t="shared" ca="1" si="391"/>
        <v>87.366442541085831</v>
      </c>
      <c r="N372">
        <f t="shared" ca="1" si="391"/>
        <v>88.057322816522543</v>
      </c>
      <c r="O372">
        <f t="shared" ca="1" si="391"/>
        <v>84.907651259415104</v>
      </c>
      <c r="P372">
        <f t="shared" ca="1" si="391"/>
        <v>90.783182966412269</v>
      </c>
      <c r="Q372">
        <f t="shared" ca="1" si="344"/>
        <v>89.906300633142408</v>
      </c>
      <c r="R372">
        <f t="shared" ca="1" si="345"/>
        <v>0</v>
      </c>
      <c r="S372">
        <f t="shared" ca="1" si="346"/>
        <v>0</v>
      </c>
    </row>
    <row r="373" spans="5:19" x14ac:dyDescent="0.75">
      <c r="E373">
        <v>368</v>
      </c>
      <c r="F373">
        <v>100</v>
      </c>
      <c r="G373">
        <f t="shared" ca="1" si="342"/>
        <v>94.787107958550109</v>
      </c>
      <c r="H373">
        <f t="shared" ca="1" si="342"/>
        <v>96.545003450906634</v>
      </c>
      <c r="I373">
        <f t="shared" ca="1" si="342"/>
        <v>89.528425463011246</v>
      </c>
      <c r="J373">
        <f t="shared" ca="1" si="342"/>
        <v>89.066533356421687</v>
      </c>
      <c r="K373">
        <f t="shared" ref="K373:P373" ca="1" si="392">J373*EXP(($C$4-0.5*$C$5^2)*$C$10+$C$5*SQRT($C$10)*NORMINV(RAND(),0,1))</f>
        <v>94.464306686991534</v>
      </c>
      <c r="L373">
        <f t="shared" ca="1" si="392"/>
        <v>94.078074762760409</v>
      </c>
      <c r="M373">
        <f t="shared" ca="1" si="392"/>
        <v>101.90201632089972</v>
      </c>
      <c r="N373">
        <f t="shared" ca="1" si="392"/>
        <v>93.753573605404227</v>
      </c>
      <c r="O373">
        <f t="shared" ca="1" si="392"/>
        <v>100.62861188028374</v>
      </c>
      <c r="P373">
        <f t="shared" ca="1" si="392"/>
        <v>98.170189831359465</v>
      </c>
      <c r="Q373">
        <f t="shared" ca="1" si="344"/>
        <v>95.720349392417162</v>
      </c>
      <c r="R373">
        <f t="shared" ca="1" si="345"/>
        <v>0</v>
      </c>
      <c r="S373">
        <f t="shared" ca="1" si="346"/>
        <v>0</v>
      </c>
    </row>
    <row r="374" spans="5:19" x14ac:dyDescent="0.75">
      <c r="E374">
        <v>369</v>
      </c>
      <c r="F374">
        <v>100</v>
      </c>
      <c r="G374">
        <f t="shared" ca="1" si="342"/>
        <v>101.81260033117887</v>
      </c>
      <c r="H374">
        <f t="shared" ca="1" si="342"/>
        <v>97.350898480204805</v>
      </c>
      <c r="I374">
        <f t="shared" ca="1" si="342"/>
        <v>122.6448952302954</v>
      </c>
      <c r="J374">
        <f t="shared" ca="1" si="342"/>
        <v>112.83366075818195</v>
      </c>
      <c r="K374">
        <f t="shared" ref="K374:P374" ca="1" si="393">J374*EXP(($C$4-0.5*$C$5^2)*$C$10+$C$5*SQRT($C$10)*NORMINV(RAND(),0,1))</f>
        <v>116.57590424067102</v>
      </c>
      <c r="L374">
        <f t="shared" ca="1" si="393"/>
        <v>107.31866399014699</v>
      </c>
      <c r="M374">
        <f t="shared" ca="1" si="393"/>
        <v>109.76654157365546</v>
      </c>
      <c r="N374">
        <f t="shared" ca="1" si="393"/>
        <v>107.46153464249086</v>
      </c>
      <c r="O374">
        <f t="shared" ca="1" si="393"/>
        <v>111.4903197954647</v>
      </c>
      <c r="P374">
        <f t="shared" ca="1" si="393"/>
        <v>112.49551832931861</v>
      </c>
      <c r="Q374">
        <f t="shared" ca="1" si="344"/>
        <v>109.06823067014625</v>
      </c>
      <c r="R374">
        <f t="shared" ca="1" si="345"/>
        <v>9.0682306701462494</v>
      </c>
      <c r="S374">
        <f t="shared" ca="1" si="346"/>
        <v>8.8886676721169824</v>
      </c>
    </row>
    <row r="375" spans="5:19" x14ac:dyDescent="0.75">
      <c r="E375">
        <v>370</v>
      </c>
      <c r="F375">
        <v>100</v>
      </c>
      <c r="G375">
        <f t="shared" ca="1" si="342"/>
        <v>110.85607138362923</v>
      </c>
      <c r="H375">
        <f t="shared" ca="1" si="342"/>
        <v>116.16594379525574</v>
      </c>
      <c r="I375">
        <f t="shared" ca="1" si="342"/>
        <v>115.88144120951212</v>
      </c>
      <c r="J375">
        <f t="shared" ca="1" si="342"/>
        <v>119.57330412911277</v>
      </c>
      <c r="K375">
        <f t="shared" ref="K375:P375" ca="1" si="394">J375*EXP(($C$4-0.5*$C$5^2)*$C$10+$C$5*SQRT($C$10)*NORMINV(RAND(),0,1))</f>
        <v>112.27945406740265</v>
      </c>
      <c r="L375">
        <f t="shared" ca="1" si="394"/>
        <v>130.11137581539691</v>
      </c>
      <c r="M375">
        <f t="shared" ca="1" si="394"/>
        <v>132.96967515436981</v>
      </c>
      <c r="N375">
        <f t="shared" ca="1" si="394"/>
        <v>129.63984667651332</v>
      </c>
      <c r="O375">
        <f t="shared" ca="1" si="394"/>
        <v>134.10374122855137</v>
      </c>
      <c r="P375">
        <f t="shared" ca="1" si="394"/>
        <v>141.2207735639943</v>
      </c>
      <c r="Q375">
        <f t="shared" ca="1" si="344"/>
        <v>122.07287518397619</v>
      </c>
      <c r="R375">
        <f t="shared" ca="1" si="345"/>
        <v>22.072875183976194</v>
      </c>
      <c r="S375">
        <f t="shared" ca="1" si="346"/>
        <v>21.635802971399066</v>
      </c>
    </row>
    <row r="376" spans="5:19" x14ac:dyDescent="0.75">
      <c r="E376">
        <v>371</v>
      </c>
      <c r="F376">
        <v>100</v>
      </c>
      <c r="G376">
        <f t="shared" ca="1" si="342"/>
        <v>101.49998232995414</v>
      </c>
      <c r="H376">
        <f t="shared" ca="1" si="342"/>
        <v>116.52215639732314</v>
      </c>
      <c r="I376">
        <f t="shared" ca="1" si="342"/>
        <v>123.51036667192564</v>
      </c>
      <c r="J376">
        <f t="shared" ca="1" si="342"/>
        <v>118.40098815707147</v>
      </c>
      <c r="K376">
        <f t="shared" ref="K376:P376" ca="1" si="395">J376*EXP(($C$4-0.5*$C$5^2)*$C$10+$C$5*SQRT($C$10)*NORMINV(RAND(),0,1))</f>
        <v>115.18637078653373</v>
      </c>
      <c r="L376">
        <f t="shared" ca="1" si="395"/>
        <v>115.44583669739797</v>
      </c>
      <c r="M376">
        <f t="shared" ca="1" si="395"/>
        <v>108.19259527071557</v>
      </c>
      <c r="N376">
        <f t="shared" ca="1" si="395"/>
        <v>109.48796793740607</v>
      </c>
      <c r="O376">
        <f t="shared" ca="1" si="395"/>
        <v>122.17766277047942</v>
      </c>
      <c r="P376">
        <f t="shared" ca="1" si="395"/>
        <v>111.21441004044401</v>
      </c>
      <c r="Q376">
        <f t="shared" ca="1" si="344"/>
        <v>112.87621245993192</v>
      </c>
      <c r="R376">
        <f t="shared" ca="1" si="345"/>
        <v>12.876212459931921</v>
      </c>
      <c r="S376">
        <f t="shared" ca="1" si="346"/>
        <v>12.621246370441181</v>
      </c>
    </row>
    <row r="377" spans="5:19" x14ac:dyDescent="0.75">
      <c r="E377">
        <v>372</v>
      </c>
      <c r="F377">
        <v>100</v>
      </c>
      <c r="G377">
        <f t="shared" ca="1" si="342"/>
        <v>108.31476499638602</v>
      </c>
      <c r="H377">
        <f t="shared" ca="1" si="342"/>
        <v>104.25303290982416</v>
      </c>
      <c r="I377">
        <f t="shared" ca="1" si="342"/>
        <v>98.516833232231306</v>
      </c>
      <c r="J377">
        <f t="shared" ca="1" si="342"/>
        <v>96.964799549127548</v>
      </c>
      <c r="K377">
        <f t="shared" ref="K377:P377" ca="1" si="396">J377*EXP(($C$4-0.5*$C$5^2)*$C$10+$C$5*SQRT($C$10)*NORMINV(RAND(),0,1))</f>
        <v>94.4957586546535</v>
      </c>
      <c r="L377">
        <f t="shared" ca="1" si="396"/>
        <v>90.328281422299213</v>
      </c>
      <c r="M377">
        <f t="shared" ca="1" si="396"/>
        <v>92.641383526731062</v>
      </c>
      <c r="N377">
        <f t="shared" ca="1" si="396"/>
        <v>93.593746941051165</v>
      </c>
      <c r="O377">
        <f t="shared" ca="1" si="396"/>
        <v>101.20786160587134</v>
      </c>
      <c r="P377">
        <f t="shared" ca="1" si="396"/>
        <v>102.73698149897875</v>
      </c>
      <c r="Q377">
        <f t="shared" ca="1" si="344"/>
        <v>98.459404030650376</v>
      </c>
      <c r="R377">
        <f t="shared" ca="1" si="345"/>
        <v>0</v>
      </c>
      <c r="S377">
        <f t="shared" ca="1" si="346"/>
        <v>0</v>
      </c>
    </row>
    <row r="378" spans="5:19" x14ac:dyDescent="0.75">
      <c r="E378">
        <v>373</v>
      </c>
      <c r="F378">
        <v>100</v>
      </c>
      <c r="G378">
        <f t="shared" ca="1" si="342"/>
        <v>100.89845930639834</v>
      </c>
      <c r="H378">
        <f t="shared" ca="1" si="342"/>
        <v>100.9074002692405</v>
      </c>
      <c r="I378">
        <f t="shared" ca="1" si="342"/>
        <v>95.228306415034211</v>
      </c>
      <c r="J378">
        <f t="shared" ca="1" si="342"/>
        <v>100.08315988765543</v>
      </c>
      <c r="K378">
        <f t="shared" ref="K378:P378" ca="1" si="397">J378*EXP(($C$4-0.5*$C$5^2)*$C$10+$C$5*SQRT($C$10)*NORMINV(RAND(),0,1))</f>
        <v>94.243248998194559</v>
      </c>
      <c r="L378">
        <f t="shared" ca="1" si="397"/>
        <v>101.68708125455591</v>
      </c>
      <c r="M378">
        <f t="shared" ca="1" si="397"/>
        <v>103.92044539890587</v>
      </c>
      <c r="N378">
        <f t="shared" ca="1" si="397"/>
        <v>99.816840176931549</v>
      </c>
      <c r="O378">
        <f t="shared" ca="1" si="397"/>
        <v>98.746629505563092</v>
      </c>
      <c r="P378">
        <f t="shared" ca="1" si="397"/>
        <v>91.786498757247145</v>
      </c>
      <c r="Q378">
        <f t="shared" ca="1" si="344"/>
        <v>98.847097269975151</v>
      </c>
      <c r="R378">
        <f t="shared" ca="1" si="345"/>
        <v>0</v>
      </c>
      <c r="S378">
        <f t="shared" ca="1" si="346"/>
        <v>0</v>
      </c>
    </row>
    <row r="379" spans="5:19" x14ac:dyDescent="0.75">
      <c r="E379">
        <v>374</v>
      </c>
      <c r="F379">
        <v>100</v>
      </c>
      <c r="G379">
        <f t="shared" ca="1" si="342"/>
        <v>100.64300496749965</v>
      </c>
      <c r="H379">
        <f t="shared" ca="1" si="342"/>
        <v>105.60623315317221</v>
      </c>
      <c r="I379">
        <f t="shared" ca="1" si="342"/>
        <v>97.451104734474015</v>
      </c>
      <c r="J379">
        <f t="shared" ca="1" si="342"/>
        <v>99.367025077535885</v>
      </c>
      <c r="K379">
        <f t="shared" ref="K379:P379" ca="1" si="398">J379*EXP(($C$4-0.5*$C$5^2)*$C$10+$C$5*SQRT($C$10)*NORMINV(RAND(),0,1))</f>
        <v>105.44223583771398</v>
      </c>
      <c r="L379">
        <f t="shared" ca="1" si="398"/>
        <v>102.07437306421296</v>
      </c>
      <c r="M379">
        <f t="shared" ca="1" si="398"/>
        <v>109.62346157260721</v>
      </c>
      <c r="N379">
        <f t="shared" ca="1" si="398"/>
        <v>113.1560803392085</v>
      </c>
      <c r="O379">
        <f t="shared" ca="1" si="398"/>
        <v>110.16167623765148</v>
      </c>
      <c r="P379">
        <f t="shared" ca="1" si="398"/>
        <v>100.37919191920537</v>
      </c>
      <c r="Q379">
        <f t="shared" ca="1" si="344"/>
        <v>103.9913079002983</v>
      </c>
      <c r="R379">
        <f t="shared" ca="1" si="345"/>
        <v>3.9913079002982954</v>
      </c>
      <c r="S379">
        <f t="shared" ca="1" si="346"/>
        <v>3.91227470863116</v>
      </c>
    </row>
    <row r="380" spans="5:19" x14ac:dyDescent="0.75">
      <c r="E380">
        <v>375</v>
      </c>
      <c r="F380">
        <v>100</v>
      </c>
      <c r="G380">
        <f t="shared" ca="1" si="342"/>
        <v>102.63796969751124</v>
      </c>
      <c r="H380">
        <f t="shared" ca="1" si="342"/>
        <v>108.76412545662268</v>
      </c>
      <c r="I380">
        <f t="shared" ca="1" si="342"/>
        <v>106.10139168916116</v>
      </c>
      <c r="J380">
        <f t="shared" ca="1" si="342"/>
        <v>103.52387210957568</v>
      </c>
      <c r="K380">
        <f t="shared" ref="K380:P380" ca="1" si="399">J380*EXP(($C$4-0.5*$C$5^2)*$C$10+$C$5*SQRT($C$10)*NORMINV(RAND(),0,1))</f>
        <v>108.1970148934144</v>
      </c>
      <c r="L380">
        <f t="shared" ca="1" si="399"/>
        <v>111.35254583153599</v>
      </c>
      <c r="M380">
        <f t="shared" ca="1" si="399"/>
        <v>110.2241873405892</v>
      </c>
      <c r="N380">
        <f t="shared" ca="1" si="399"/>
        <v>122.08920021319763</v>
      </c>
      <c r="O380">
        <f t="shared" ca="1" si="399"/>
        <v>114.24166784128002</v>
      </c>
      <c r="P380">
        <f t="shared" ca="1" si="399"/>
        <v>96.845613939009155</v>
      </c>
      <c r="Q380">
        <f t="shared" ca="1" si="344"/>
        <v>107.63432627380884</v>
      </c>
      <c r="R380">
        <f t="shared" ca="1" si="345"/>
        <v>7.6343262738088384</v>
      </c>
      <c r="S380">
        <f t="shared" ca="1" si="346"/>
        <v>7.4831564851783279</v>
      </c>
    </row>
    <row r="381" spans="5:19" x14ac:dyDescent="0.75">
      <c r="E381">
        <v>376</v>
      </c>
      <c r="F381">
        <v>100</v>
      </c>
      <c r="G381">
        <f t="shared" ca="1" si="342"/>
        <v>102.66022518676567</v>
      </c>
      <c r="H381">
        <f t="shared" ca="1" si="342"/>
        <v>113.49900022813971</v>
      </c>
      <c r="I381">
        <f t="shared" ca="1" si="342"/>
        <v>108.94119878219189</v>
      </c>
      <c r="J381">
        <f t="shared" ca="1" si="342"/>
        <v>109.28556998025498</v>
      </c>
      <c r="K381">
        <f t="shared" ref="K381:P381" ca="1" si="400">J381*EXP(($C$4-0.5*$C$5^2)*$C$10+$C$5*SQRT($C$10)*NORMINV(RAND(),0,1))</f>
        <v>103.7827188759809</v>
      </c>
      <c r="L381">
        <f t="shared" ca="1" si="400"/>
        <v>110.35040806915539</v>
      </c>
      <c r="M381">
        <f t="shared" ca="1" si="400"/>
        <v>101.52502457722011</v>
      </c>
      <c r="N381">
        <f t="shared" ca="1" si="400"/>
        <v>109.04899732471104</v>
      </c>
      <c r="O381">
        <f t="shared" ca="1" si="400"/>
        <v>107.07502597639942</v>
      </c>
      <c r="P381">
        <f t="shared" ca="1" si="400"/>
        <v>109.42679991773178</v>
      </c>
      <c r="Q381">
        <f t="shared" ca="1" si="344"/>
        <v>106.87226990168647</v>
      </c>
      <c r="R381">
        <f t="shared" ca="1" si="345"/>
        <v>6.8722699016864652</v>
      </c>
      <c r="S381">
        <f t="shared" ca="1" si="346"/>
        <v>6.7361898402390183</v>
      </c>
    </row>
    <row r="382" spans="5:19" x14ac:dyDescent="0.75">
      <c r="E382">
        <v>377</v>
      </c>
      <c r="F382">
        <v>100</v>
      </c>
      <c r="G382">
        <f t="shared" ca="1" si="342"/>
        <v>102.24073825695159</v>
      </c>
      <c r="H382">
        <f t="shared" ca="1" si="342"/>
        <v>100.90628624663854</v>
      </c>
      <c r="I382">
        <f t="shared" ca="1" si="342"/>
        <v>94.986633491300609</v>
      </c>
      <c r="J382">
        <f t="shared" ca="1" si="342"/>
        <v>96.457986204793443</v>
      </c>
      <c r="K382">
        <f t="shared" ref="K382:P382" ca="1" si="401">J382*EXP(($C$4-0.5*$C$5^2)*$C$10+$C$5*SQRT($C$10)*NORMINV(RAND(),0,1))</f>
        <v>103.35761326471845</v>
      </c>
      <c r="L382">
        <f t="shared" ca="1" si="401"/>
        <v>109.31587188041857</v>
      </c>
      <c r="M382">
        <f t="shared" ca="1" si="401"/>
        <v>113.46375398384801</v>
      </c>
      <c r="N382">
        <f t="shared" ca="1" si="401"/>
        <v>108.48128901902962</v>
      </c>
      <c r="O382">
        <f t="shared" ca="1" si="401"/>
        <v>116.83490482512582</v>
      </c>
      <c r="P382">
        <f t="shared" ca="1" si="401"/>
        <v>106.83744146691086</v>
      </c>
      <c r="Q382">
        <f t="shared" ca="1" si="344"/>
        <v>104.80750169452141</v>
      </c>
      <c r="R382">
        <f t="shared" ca="1" si="345"/>
        <v>4.807501694521406</v>
      </c>
      <c r="S382">
        <f t="shared" ca="1" si="346"/>
        <v>4.7123067828898595</v>
      </c>
    </row>
    <row r="383" spans="5:19" x14ac:dyDescent="0.75">
      <c r="E383">
        <v>378</v>
      </c>
      <c r="F383">
        <v>100</v>
      </c>
      <c r="G383">
        <f t="shared" ca="1" si="342"/>
        <v>93.354548639871538</v>
      </c>
      <c r="H383">
        <f t="shared" ca="1" si="342"/>
        <v>109.85664147516994</v>
      </c>
      <c r="I383">
        <f t="shared" ca="1" si="342"/>
        <v>112.83983078461466</v>
      </c>
      <c r="J383">
        <f t="shared" ca="1" si="342"/>
        <v>106.47592199032486</v>
      </c>
      <c r="K383">
        <f t="shared" ref="K383:P383" ca="1" si="402">J383*EXP(($C$4-0.5*$C$5^2)*$C$10+$C$5*SQRT($C$10)*NORMINV(RAND(),0,1))</f>
        <v>97.662799716734995</v>
      </c>
      <c r="L383">
        <f t="shared" ca="1" si="402"/>
        <v>104.03997002885903</v>
      </c>
      <c r="M383">
        <f t="shared" ca="1" si="402"/>
        <v>100.22777111676322</v>
      </c>
      <c r="N383">
        <f t="shared" ca="1" si="402"/>
        <v>97.550993130575023</v>
      </c>
      <c r="O383">
        <f t="shared" ca="1" si="402"/>
        <v>98.815456351765519</v>
      </c>
      <c r="P383">
        <f t="shared" ca="1" si="402"/>
        <v>105.22325587882996</v>
      </c>
      <c r="Q383">
        <f t="shared" ca="1" si="344"/>
        <v>102.36792628304626</v>
      </c>
      <c r="R383">
        <f t="shared" ca="1" si="345"/>
        <v>2.3679262830462591</v>
      </c>
      <c r="S383">
        <f t="shared" ca="1" si="346"/>
        <v>2.3210382011301394</v>
      </c>
    </row>
    <row r="384" spans="5:19" x14ac:dyDescent="0.75">
      <c r="E384">
        <v>379</v>
      </c>
      <c r="F384">
        <v>100</v>
      </c>
      <c r="G384">
        <f t="shared" ca="1" si="342"/>
        <v>90.601401003175255</v>
      </c>
      <c r="H384">
        <f t="shared" ca="1" si="342"/>
        <v>91.657532555877808</v>
      </c>
      <c r="I384">
        <f t="shared" ca="1" si="342"/>
        <v>88.528229885281377</v>
      </c>
      <c r="J384">
        <f t="shared" ca="1" si="342"/>
        <v>96.009923859363724</v>
      </c>
      <c r="K384">
        <f t="shared" ref="K384:P384" ca="1" si="403">J384*EXP(($C$4-0.5*$C$5^2)*$C$10+$C$5*SQRT($C$10)*NORMINV(RAND(),0,1))</f>
        <v>97.376284058094058</v>
      </c>
      <c r="L384">
        <f t="shared" ca="1" si="403"/>
        <v>99.2472233345581</v>
      </c>
      <c r="M384">
        <f t="shared" ca="1" si="403"/>
        <v>103.5884925250473</v>
      </c>
      <c r="N384">
        <f t="shared" ca="1" si="403"/>
        <v>111.83120544647559</v>
      </c>
      <c r="O384">
        <f t="shared" ca="1" si="403"/>
        <v>101.1465325801678</v>
      </c>
      <c r="P384">
        <f t="shared" ca="1" si="403"/>
        <v>101.98585149010576</v>
      </c>
      <c r="Q384">
        <f t="shared" ca="1" si="344"/>
        <v>98.361152430740603</v>
      </c>
      <c r="R384">
        <f t="shared" ca="1" si="345"/>
        <v>0</v>
      </c>
      <c r="S384">
        <f t="shared" ca="1" si="346"/>
        <v>0</v>
      </c>
    </row>
    <row r="385" spans="5:19" x14ac:dyDescent="0.75">
      <c r="E385">
        <v>380</v>
      </c>
      <c r="F385">
        <v>100</v>
      </c>
      <c r="G385">
        <f t="shared" ca="1" si="342"/>
        <v>115.79324642409937</v>
      </c>
      <c r="H385">
        <f t="shared" ca="1" si="342"/>
        <v>106.09821081114242</v>
      </c>
      <c r="I385">
        <f t="shared" ca="1" si="342"/>
        <v>100.95560089729817</v>
      </c>
      <c r="J385">
        <f t="shared" ca="1" si="342"/>
        <v>102.32650764790182</v>
      </c>
      <c r="K385">
        <f t="shared" ref="K385:P385" ca="1" si="404">J385*EXP(($C$4-0.5*$C$5^2)*$C$10+$C$5*SQRT($C$10)*NORMINV(RAND(),0,1))</f>
        <v>111.90344505259607</v>
      </c>
      <c r="L385">
        <f t="shared" ca="1" si="404"/>
        <v>117.4327417370171</v>
      </c>
      <c r="M385">
        <f t="shared" ca="1" si="404"/>
        <v>119.10328067795</v>
      </c>
      <c r="N385">
        <f t="shared" ca="1" si="404"/>
        <v>106.85008151607691</v>
      </c>
      <c r="O385">
        <f t="shared" ca="1" si="404"/>
        <v>104.09900284444718</v>
      </c>
      <c r="P385">
        <f t="shared" ca="1" si="404"/>
        <v>105.84914613798951</v>
      </c>
      <c r="Q385">
        <f t="shared" ca="1" si="344"/>
        <v>108.21920579513804</v>
      </c>
      <c r="R385">
        <f t="shared" ca="1" si="345"/>
        <v>8.2192057951380377</v>
      </c>
      <c r="S385">
        <f t="shared" ca="1" si="346"/>
        <v>8.0564546160294999</v>
      </c>
    </row>
    <row r="386" spans="5:19" x14ac:dyDescent="0.75">
      <c r="E386">
        <v>381</v>
      </c>
      <c r="F386">
        <v>100</v>
      </c>
      <c r="G386">
        <f t="shared" ca="1" si="342"/>
        <v>96.288061821915207</v>
      </c>
      <c r="H386">
        <f t="shared" ca="1" si="342"/>
        <v>95.519559085116811</v>
      </c>
      <c r="I386">
        <f t="shared" ca="1" si="342"/>
        <v>97.987552075972218</v>
      </c>
      <c r="J386">
        <f t="shared" ca="1" si="342"/>
        <v>103.64257381690918</v>
      </c>
      <c r="K386">
        <f t="shared" ref="K386:P386" ca="1" si="405">J386*EXP(($C$4-0.5*$C$5^2)*$C$10+$C$5*SQRT($C$10)*NORMINV(RAND(),0,1))</f>
        <v>109.97373061575924</v>
      </c>
      <c r="L386">
        <f t="shared" ca="1" si="405"/>
        <v>108.07059561362493</v>
      </c>
      <c r="M386">
        <f t="shared" ca="1" si="405"/>
        <v>101.80563881957912</v>
      </c>
      <c r="N386">
        <f t="shared" ca="1" si="405"/>
        <v>113.11410951393471</v>
      </c>
      <c r="O386">
        <f t="shared" ca="1" si="405"/>
        <v>112.87464293272591</v>
      </c>
      <c r="P386">
        <f t="shared" ca="1" si="405"/>
        <v>112.52625502258553</v>
      </c>
      <c r="Q386">
        <f t="shared" ca="1" si="344"/>
        <v>104.70933811982935</v>
      </c>
      <c r="R386">
        <f t="shared" ca="1" si="345"/>
        <v>4.7093381198293542</v>
      </c>
      <c r="S386">
        <f t="shared" ca="1" si="346"/>
        <v>4.6160869772096627</v>
      </c>
    </row>
    <row r="387" spans="5:19" x14ac:dyDescent="0.75">
      <c r="E387">
        <v>382</v>
      </c>
      <c r="F387">
        <v>100</v>
      </c>
      <c r="G387">
        <f t="shared" ca="1" si="342"/>
        <v>106.41975980618257</v>
      </c>
      <c r="H387">
        <f t="shared" ca="1" si="342"/>
        <v>122.06036533222792</v>
      </c>
      <c r="I387">
        <f t="shared" ca="1" si="342"/>
        <v>119.37666528558202</v>
      </c>
      <c r="J387">
        <f t="shared" ca="1" si="342"/>
        <v>113.86509748816378</v>
      </c>
      <c r="K387">
        <f t="shared" ref="K387:P387" ca="1" si="406">J387*EXP(($C$4-0.5*$C$5^2)*$C$10+$C$5*SQRT($C$10)*NORMINV(RAND(),0,1))</f>
        <v>112.12446691053616</v>
      </c>
      <c r="L387">
        <f t="shared" ca="1" si="406"/>
        <v>115.66261214330129</v>
      </c>
      <c r="M387">
        <f t="shared" ca="1" si="406"/>
        <v>106.44084386383527</v>
      </c>
      <c r="N387">
        <f t="shared" ca="1" si="406"/>
        <v>101.36900020326468</v>
      </c>
      <c r="O387">
        <f t="shared" ca="1" si="406"/>
        <v>107.98379354824573</v>
      </c>
      <c r="P387">
        <f t="shared" ca="1" si="406"/>
        <v>95.534019490419468</v>
      </c>
      <c r="Q387">
        <f t="shared" ca="1" si="344"/>
        <v>109.16696582470536</v>
      </c>
      <c r="R387">
        <f t="shared" ca="1" si="345"/>
        <v>9.1669658247053576</v>
      </c>
      <c r="S387">
        <f t="shared" ca="1" si="346"/>
        <v>8.9854477396245578</v>
      </c>
    </row>
    <row r="388" spans="5:19" x14ac:dyDescent="0.75">
      <c r="E388">
        <v>383</v>
      </c>
      <c r="F388">
        <v>100</v>
      </c>
      <c r="G388">
        <f t="shared" ca="1" si="342"/>
        <v>100.12587201396227</v>
      </c>
      <c r="H388">
        <f t="shared" ca="1" si="342"/>
        <v>93.240372231495741</v>
      </c>
      <c r="I388">
        <f t="shared" ca="1" si="342"/>
        <v>99.957064668830412</v>
      </c>
      <c r="J388">
        <f t="shared" ca="1" si="342"/>
        <v>91.618292896371756</v>
      </c>
      <c r="K388">
        <f t="shared" ref="K388:P388" ca="1" si="407">J388*EXP(($C$4-0.5*$C$5^2)*$C$10+$C$5*SQRT($C$10)*NORMINV(RAND(),0,1))</f>
        <v>102.47493710238221</v>
      </c>
      <c r="L388">
        <f t="shared" ca="1" si="407"/>
        <v>108.65565001487647</v>
      </c>
      <c r="M388">
        <f t="shared" ca="1" si="407"/>
        <v>108.64626973145093</v>
      </c>
      <c r="N388">
        <f t="shared" ca="1" si="407"/>
        <v>112.07418246805321</v>
      </c>
      <c r="O388">
        <f t="shared" ca="1" si="407"/>
        <v>116.23216099786791</v>
      </c>
      <c r="P388">
        <f t="shared" ca="1" si="407"/>
        <v>123.03845415613392</v>
      </c>
      <c r="Q388">
        <f t="shared" ca="1" si="344"/>
        <v>105.09665966194771</v>
      </c>
      <c r="R388">
        <f t="shared" ca="1" si="345"/>
        <v>5.0966596619477116</v>
      </c>
      <c r="S388">
        <f t="shared" ca="1" si="346"/>
        <v>4.9957390389372023</v>
      </c>
    </row>
    <row r="389" spans="5:19" x14ac:dyDescent="0.75">
      <c r="E389">
        <v>384</v>
      </c>
      <c r="F389">
        <v>100</v>
      </c>
      <c r="G389">
        <f t="shared" ca="1" si="342"/>
        <v>97.906694356206017</v>
      </c>
      <c r="H389">
        <f t="shared" ca="1" si="342"/>
        <v>95.388367225777543</v>
      </c>
      <c r="I389">
        <f t="shared" ca="1" si="342"/>
        <v>89.765986549017953</v>
      </c>
      <c r="J389">
        <f t="shared" ca="1" si="342"/>
        <v>89.769941296112705</v>
      </c>
      <c r="K389">
        <f t="shared" ref="K389:P389" ca="1" si="408">J389*EXP(($C$4-0.5*$C$5^2)*$C$10+$C$5*SQRT($C$10)*NORMINV(RAND(),0,1))</f>
        <v>92.874232423878624</v>
      </c>
      <c r="L389">
        <f t="shared" ca="1" si="408"/>
        <v>90.601053887267852</v>
      </c>
      <c r="M389">
        <f t="shared" ca="1" si="408"/>
        <v>77.805385908658181</v>
      </c>
      <c r="N389">
        <f t="shared" ca="1" si="408"/>
        <v>80.289984179239553</v>
      </c>
      <c r="O389">
        <f t="shared" ca="1" si="408"/>
        <v>75.974483305518405</v>
      </c>
      <c r="P389">
        <f t="shared" ca="1" si="408"/>
        <v>74.758672201369166</v>
      </c>
      <c r="Q389">
        <f t="shared" ca="1" si="344"/>
        <v>87.739527393913292</v>
      </c>
      <c r="R389">
        <f t="shared" ca="1" si="345"/>
        <v>0</v>
      </c>
      <c r="S389">
        <f t="shared" ca="1" si="346"/>
        <v>0</v>
      </c>
    </row>
    <row r="390" spans="5:19" x14ac:dyDescent="0.75">
      <c r="E390">
        <v>385</v>
      </c>
      <c r="F390">
        <v>100</v>
      </c>
      <c r="G390">
        <f t="shared" ca="1" si="342"/>
        <v>99.031461500080994</v>
      </c>
      <c r="H390">
        <f t="shared" ca="1" si="342"/>
        <v>106.85666073520223</v>
      </c>
      <c r="I390">
        <f t="shared" ca="1" si="342"/>
        <v>121.43574425517492</v>
      </c>
      <c r="J390">
        <f t="shared" ref="J390:P390" ca="1" si="409">I390*EXP(($C$4-0.5*$C$5^2)*$C$10+$C$5*SQRT($C$10)*NORMINV(RAND(),0,1))</f>
        <v>118.93552839700028</v>
      </c>
      <c r="K390">
        <f t="shared" ca="1" si="409"/>
        <v>121.37144935398115</v>
      </c>
      <c r="L390">
        <f t="shared" ca="1" si="409"/>
        <v>118.09683234068814</v>
      </c>
      <c r="M390">
        <f t="shared" ca="1" si="409"/>
        <v>121.21843958903712</v>
      </c>
      <c r="N390">
        <f t="shared" ca="1" si="409"/>
        <v>110.16971777195249</v>
      </c>
      <c r="O390">
        <f t="shared" ca="1" si="409"/>
        <v>95.833043625896565</v>
      </c>
      <c r="P390">
        <f t="shared" ca="1" si="409"/>
        <v>97.566362387725221</v>
      </c>
      <c r="Q390">
        <f t="shared" ca="1" si="344"/>
        <v>110.04683999606718</v>
      </c>
      <c r="R390">
        <f t="shared" ca="1" si="345"/>
        <v>10.046839996067177</v>
      </c>
      <c r="S390">
        <f t="shared" ca="1" si="346"/>
        <v>9.8478992350702939</v>
      </c>
    </row>
    <row r="391" spans="5:19" x14ac:dyDescent="0.75">
      <c r="E391">
        <v>386</v>
      </c>
      <c r="F391">
        <v>100</v>
      </c>
      <c r="G391">
        <f t="shared" ref="G391:J454" ca="1" si="410">F391*EXP(($C$4-0.5*$C$5^2)*$C$10+$C$5*SQRT($C$10)*NORMINV(RAND(),0,1))</f>
        <v>107.92012043789663</v>
      </c>
      <c r="H391">
        <f t="shared" ca="1" si="410"/>
        <v>111.27270141838954</v>
      </c>
      <c r="I391">
        <f t="shared" ca="1" si="410"/>
        <v>116.83786123251021</v>
      </c>
      <c r="J391">
        <f t="shared" ca="1" si="410"/>
        <v>111.71931129288602</v>
      </c>
      <c r="K391">
        <f t="shared" ref="K391:P391" ca="1" si="411">J391*EXP(($C$4-0.5*$C$5^2)*$C$10+$C$5*SQRT($C$10)*NORMINV(RAND(),0,1))</f>
        <v>113.4681566267965</v>
      </c>
      <c r="L391">
        <f t="shared" ca="1" si="411"/>
        <v>118.1526041449624</v>
      </c>
      <c r="M391">
        <f t="shared" ca="1" si="411"/>
        <v>114.04971878370019</v>
      </c>
      <c r="N391">
        <f t="shared" ca="1" si="411"/>
        <v>114.85408358679865</v>
      </c>
      <c r="O391">
        <f t="shared" ca="1" si="411"/>
        <v>113.84014137571435</v>
      </c>
      <c r="P391">
        <f t="shared" ca="1" si="411"/>
        <v>112.85279888583078</v>
      </c>
      <c r="Q391">
        <f t="shared" ref="Q391:Q454" ca="1" si="412">AVERAGE(F391:P391)</f>
        <v>112.2697725259532</v>
      </c>
      <c r="R391">
        <f t="shared" ref="R391:R454" ca="1" si="413">MAX(Q391-$C$7,0)</f>
        <v>12.269772525953201</v>
      </c>
      <c r="S391">
        <f t="shared" ref="S391:S454" ca="1" si="414">EXP(-$C$4*$C$6)*R391</f>
        <v>12.026814751715003</v>
      </c>
    </row>
    <row r="392" spans="5:19" x14ac:dyDescent="0.75">
      <c r="E392">
        <v>387</v>
      </c>
      <c r="F392">
        <v>100</v>
      </c>
      <c r="G392">
        <f t="shared" ca="1" si="410"/>
        <v>98.036362533179954</v>
      </c>
      <c r="H392">
        <f t="shared" ca="1" si="410"/>
        <v>105.37614538511673</v>
      </c>
      <c r="I392">
        <f t="shared" ca="1" si="410"/>
        <v>112.79201617375837</v>
      </c>
      <c r="J392">
        <f t="shared" ca="1" si="410"/>
        <v>110.82854019001013</v>
      </c>
      <c r="K392">
        <f t="shared" ref="K392:P392" ca="1" si="415">J392*EXP(($C$4-0.5*$C$5^2)*$C$10+$C$5*SQRT($C$10)*NORMINV(RAND(),0,1))</f>
        <v>114.20690892861867</v>
      </c>
      <c r="L392">
        <f t="shared" ca="1" si="415"/>
        <v>112.95821629844752</v>
      </c>
      <c r="M392">
        <f t="shared" ca="1" si="415"/>
        <v>122.37785302969939</v>
      </c>
      <c r="N392">
        <f t="shared" ca="1" si="415"/>
        <v>138.90671910975959</v>
      </c>
      <c r="O392">
        <f t="shared" ca="1" si="415"/>
        <v>146.18314261407917</v>
      </c>
      <c r="P392">
        <f t="shared" ca="1" si="415"/>
        <v>144.45035983431256</v>
      </c>
      <c r="Q392">
        <f t="shared" ca="1" si="412"/>
        <v>118.73784219063474</v>
      </c>
      <c r="R392">
        <f t="shared" ca="1" si="413"/>
        <v>18.737842190634737</v>
      </c>
      <c r="S392">
        <f t="shared" ca="1" si="414"/>
        <v>18.366808055891514</v>
      </c>
    </row>
    <row r="393" spans="5:19" x14ac:dyDescent="0.75">
      <c r="E393">
        <v>388</v>
      </c>
      <c r="F393">
        <v>100</v>
      </c>
      <c r="G393">
        <f t="shared" ca="1" si="410"/>
        <v>97.746454587091094</v>
      </c>
      <c r="H393">
        <f t="shared" ca="1" si="410"/>
        <v>95.966439809222621</v>
      </c>
      <c r="I393">
        <f t="shared" ca="1" si="410"/>
        <v>93.935162483486394</v>
      </c>
      <c r="J393">
        <f t="shared" ca="1" si="410"/>
        <v>100.99837761656461</v>
      </c>
      <c r="K393">
        <f t="shared" ref="K393:P393" ca="1" si="416">J393*EXP(($C$4-0.5*$C$5^2)*$C$10+$C$5*SQRT($C$10)*NORMINV(RAND(),0,1))</f>
        <v>106.50655457422721</v>
      </c>
      <c r="L393">
        <f t="shared" ca="1" si="416"/>
        <v>114.98487057464578</v>
      </c>
      <c r="M393">
        <f t="shared" ca="1" si="416"/>
        <v>114.2617665850613</v>
      </c>
      <c r="N393">
        <f t="shared" ca="1" si="416"/>
        <v>108.37699621878684</v>
      </c>
      <c r="O393">
        <f t="shared" ca="1" si="416"/>
        <v>125.19756210653156</v>
      </c>
      <c r="P393">
        <f t="shared" ca="1" si="416"/>
        <v>117.21273282607893</v>
      </c>
      <c r="Q393">
        <f t="shared" ca="1" si="412"/>
        <v>106.83517430742695</v>
      </c>
      <c r="R393">
        <f t="shared" ca="1" si="413"/>
        <v>6.8351743074269535</v>
      </c>
      <c r="S393">
        <f t="shared" ca="1" si="414"/>
        <v>6.6998287879603193</v>
      </c>
    </row>
    <row r="394" spans="5:19" x14ac:dyDescent="0.75">
      <c r="E394">
        <v>389</v>
      </c>
      <c r="F394">
        <v>100</v>
      </c>
      <c r="G394">
        <f t="shared" ca="1" si="410"/>
        <v>97.936698300945025</v>
      </c>
      <c r="H394">
        <f t="shared" ca="1" si="410"/>
        <v>90.923295511891979</v>
      </c>
      <c r="I394">
        <f t="shared" ca="1" si="410"/>
        <v>92.467825495814822</v>
      </c>
      <c r="J394">
        <f t="shared" ca="1" si="410"/>
        <v>91.53305376332996</v>
      </c>
      <c r="K394">
        <f t="shared" ref="K394:P394" ca="1" si="417">J394*EXP(($C$4-0.5*$C$5^2)*$C$10+$C$5*SQRT($C$10)*NORMINV(RAND(),0,1))</f>
        <v>103.21531306887644</v>
      </c>
      <c r="L394">
        <f t="shared" ca="1" si="417"/>
        <v>93.368983997470153</v>
      </c>
      <c r="M394">
        <f t="shared" ca="1" si="417"/>
        <v>84.036039884425293</v>
      </c>
      <c r="N394">
        <f t="shared" ca="1" si="417"/>
        <v>78.872869698885822</v>
      </c>
      <c r="O394">
        <f t="shared" ca="1" si="417"/>
        <v>75.323509442902505</v>
      </c>
      <c r="P394">
        <f t="shared" ca="1" si="417"/>
        <v>69.336769135416063</v>
      </c>
      <c r="Q394">
        <f t="shared" ca="1" si="412"/>
        <v>88.819487118178003</v>
      </c>
      <c r="R394">
        <f t="shared" ca="1" si="413"/>
        <v>0</v>
      </c>
      <c r="S394">
        <f t="shared" ca="1" si="414"/>
        <v>0</v>
      </c>
    </row>
    <row r="395" spans="5:19" x14ac:dyDescent="0.75">
      <c r="E395">
        <v>390</v>
      </c>
      <c r="F395">
        <v>100</v>
      </c>
      <c r="G395">
        <f t="shared" ca="1" si="410"/>
        <v>103.94816119858218</v>
      </c>
      <c r="H395">
        <f t="shared" ca="1" si="410"/>
        <v>102.35906118862256</v>
      </c>
      <c r="I395">
        <f t="shared" ca="1" si="410"/>
        <v>102.85272056954675</v>
      </c>
      <c r="J395">
        <f t="shared" ca="1" si="410"/>
        <v>115.71225367119378</v>
      </c>
      <c r="K395">
        <f t="shared" ref="K395:P395" ca="1" si="418">J395*EXP(($C$4-0.5*$C$5^2)*$C$10+$C$5*SQRT($C$10)*NORMINV(RAND(),0,1))</f>
        <v>108.02751531662349</v>
      </c>
      <c r="L395">
        <f t="shared" ca="1" si="418"/>
        <v>104.11067572585075</v>
      </c>
      <c r="M395">
        <f t="shared" ca="1" si="418"/>
        <v>99.222915039318053</v>
      </c>
      <c r="N395">
        <f t="shared" ca="1" si="418"/>
        <v>94.023215305395198</v>
      </c>
      <c r="O395">
        <f t="shared" ca="1" si="418"/>
        <v>96.808959672274469</v>
      </c>
      <c r="P395">
        <f t="shared" ca="1" si="418"/>
        <v>112.68157395756528</v>
      </c>
      <c r="Q395">
        <f t="shared" ca="1" si="412"/>
        <v>103.61336833136114</v>
      </c>
      <c r="R395">
        <f t="shared" ca="1" si="413"/>
        <v>3.6133683313611442</v>
      </c>
      <c r="S395">
        <f t="shared" ca="1" si="414"/>
        <v>3.5418188445688377</v>
      </c>
    </row>
    <row r="396" spans="5:19" x14ac:dyDescent="0.75">
      <c r="E396">
        <v>391</v>
      </c>
      <c r="F396">
        <v>100</v>
      </c>
      <c r="G396">
        <f t="shared" ca="1" si="410"/>
        <v>99.410409563027741</v>
      </c>
      <c r="H396">
        <f t="shared" ca="1" si="410"/>
        <v>94.618327291276429</v>
      </c>
      <c r="I396">
        <f t="shared" ca="1" si="410"/>
        <v>107.20955028564047</v>
      </c>
      <c r="J396">
        <f t="shared" ca="1" si="410"/>
        <v>106.29941166215076</v>
      </c>
      <c r="K396">
        <f t="shared" ref="K396:P396" ca="1" si="419">J396*EXP(($C$4-0.5*$C$5^2)*$C$10+$C$5*SQRT($C$10)*NORMINV(RAND(),0,1))</f>
        <v>114.30314447072267</v>
      </c>
      <c r="L396">
        <f t="shared" ca="1" si="419"/>
        <v>112.20827705754709</v>
      </c>
      <c r="M396">
        <f t="shared" ca="1" si="419"/>
        <v>112.3106824573826</v>
      </c>
      <c r="N396">
        <f t="shared" ca="1" si="419"/>
        <v>113.57649154220931</v>
      </c>
      <c r="O396">
        <f t="shared" ca="1" si="419"/>
        <v>111.163508217434</v>
      </c>
      <c r="P396">
        <f t="shared" ca="1" si="419"/>
        <v>100.05802157448106</v>
      </c>
      <c r="Q396">
        <f t="shared" ca="1" si="412"/>
        <v>106.46889310198839</v>
      </c>
      <c r="R396">
        <f t="shared" ca="1" si="413"/>
        <v>6.4688931019883853</v>
      </c>
      <c r="S396">
        <f t="shared" ca="1" si="414"/>
        <v>6.3408004363322359</v>
      </c>
    </row>
    <row r="397" spans="5:19" x14ac:dyDescent="0.75">
      <c r="E397">
        <v>392</v>
      </c>
      <c r="F397">
        <v>100</v>
      </c>
      <c r="G397">
        <f t="shared" ca="1" si="410"/>
        <v>103.83728500549343</v>
      </c>
      <c r="H397">
        <f t="shared" ca="1" si="410"/>
        <v>99.422009196295846</v>
      </c>
      <c r="I397">
        <f t="shared" ca="1" si="410"/>
        <v>109.43472948880874</v>
      </c>
      <c r="J397">
        <f t="shared" ca="1" si="410"/>
        <v>115.39535933627901</v>
      </c>
      <c r="K397">
        <f t="shared" ref="K397:P397" ca="1" si="420">J397*EXP(($C$4-0.5*$C$5^2)*$C$10+$C$5*SQRT($C$10)*NORMINV(RAND(),0,1))</f>
        <v>111.55538102532428</v>
      </c>
      <c r="L397">
        <f t="shared" ca="1" si="420"/>
        <v>104.86511739860588</v>
      </c>
      <c r="M397">
        <f t="shared" ca="1" si="420"/>
        <v>97.930668892306116</v>
      </c>
      <c r="N397">
        <f t="shared" ca="1" si="420"/>
        <v>101.36713299772461</v>
      </c>
      <c r="O397">
        <f t="shared" ca="1" si="420"/>
        <v>94.550021256383516</v>
      </c>
      <c r="P397">
        <f t="shared" ca="1" si="420"/>
        <v>86.900319997190323</v>
      </c>
      <c r="Q397">
        <f t="shared" ca="1" si="412"/>
        <v>102.29618405403744</v>
      </c>
      <c r="R397">
        <f t="shared" ca="1" si="413"/>
        <v>2.2961840540374396</v>
      </c>
      <c r="S397">
        <f t="shared" ca="1" si="414"/>
        <v>2.250716563435625</v>
      </c>
    </row>
    <row r="398" spans="5:19" x14ac:dyDescent="0.75">
      <c r="E398">
        <v>393</v>
      </c>
      <c r="F398">
        <v>100</v>
      </c>
      <c r="G398">
        <f t="shared" ca="1" si="410"/>
        <v>91.859517111823791</v>
      </c>
      <c r="H398">
        <f t="shared" ca="1" si="410"/>
        <v>84.801782514771034</v>
      </c>
      <c r="I398">
        <f t="shared" ca="1" si="410"/>
        <v>82.34225148268645</v>
      </c>
      <c r="J398">
        <f t="shared" ca="1" si="410"/>
        <v>83.613853177602294</v>
      </c>
      <c r="K398">
        <f t="shared" ref="K398:P398" ca="1" si="421">J398*EXP(($C$4-0.5*$C$5^2)*$C$10+$C$5*SQRT($C$10)*NORMINV(RAND(),0,1))</f>
        <v>85.207573718601907</v>
      </c>
      <c r="L398">
        <f t="shared" ca="1" si="421"/>
        <v>81.10679056937866</v>
      </c>
      <c r="M398">
        <f t="shared" ca="1" si="421"/>
        <v>71.038317828440043</v>
      </c>
      <c r="N398">
        <f t="shared" ca="1" si="421"/>
        <v>69.682481597037679</v>
      </c>
      <c r="O398">
        <f t="shared" ca="1" si="421"/>
        <v>66.69606833692275</v>
      </c>
      <c r="P398">
        <f t="shared" ca="1" si="421"/>
        <v>65.121680906295197</v>
      </c>
      <c r="Q398">
        <f t="shared" ca="1" si="412"/>
        <v>80.133665203959993</v>
      </c>
      <c r="R398">
        <f t="shared" ca="1" si="413"/>
        <v>0</v>
      </c>
      <c r="S398">
        <f t="shared" ca="1" si="414"/>
        <v>0</v>
      </c>
    </row>
    <row r="399" spans="5:19" x14ac:dyDescent="0.75">
      <c r="E399">
        <v>394</v>
      </c>
      <c r="F399">
        <v>100</v>
      </c>
      <c r="G399">
        <f t="shared" ca="1" si="410"/>
        <v>107.53410131278551</v>
      </c>
      <c r="H399">
        <f t="shared" ca="1" si="410"/>
        <v>97.860701568896516</v>
      </c>
      <c r="I399">
        <f t="shared" ca="1" si="410"/>
        <v>97.995952760074829</v>
      </c>
      <c r="J399">
        <f t="shared" ca="1" si="410"/>
        <v>94.368712820081086</v>
      </c>
      <c r="K399">
        <f t="shared" ref="K399:P399" ca="1" si="422">J399*EXP(($C$4-0.5*$C$5^2)*$C$10+$C$5*SQRT($C$10)*NORMINV(RAND(),0,1))</f>
        <v>85.969847144957768</v>
      </c>
      <c r="L399">
        <f t="shared" ca="1" si="422"/>
        <v>99.534057479713042</v>
      </c>
      <c r="M399">
        <f t="shared" ca="1" si="422"/>
        <v>87.982111372803303</v>
      </c>
      <c r="N399">
        <f t="shared" ca="1" si="422"/>
        <v>85.481888962635892</v>
      </c>
      <c r="O399">
        <f t="shared" ca="1" si="422"/>
        <v>85.185529682852291</v>
      </c>
      <c r="P399">
        <f t="shared" ca="1" si="422"/>
        <v>86.264874324659871</v>
      </c>
      <c r="Q399">
        <f t="shared" ca="1" si="412"/>
        <v>93.470707039041827</v>
      </c>
      <c r="R399">
        <f t="shared" ca="1" si="413"/>
        <v>0</v>
      </c>
      <c r="S399">
        <f t="shared" ca="1" si="414"/>
        <v>0</v>
      </c>
    </row>
    <row r="400" spans="5:19" x14ac:dyDescent="0.75">
      <c r="E400">
        <v>395</v>
      </c>
      <c r="F400">
        <v>100</v>
      </c>
      <c r="G400">
        <f t="shared" ca="1" si="410"/>
        <v>97.050275713870377</v>
      </c>
      <c r="H400">
        <f t="shared" ca="1" si="410"/>
        <v>100.46740052761749</v>
      </c>
      <c r="I400">
        <f t="shared" ca="1" si="410"/>
        <v>106.50777174072638</v>
      </c>
      <c r="J400">
        <f t="shared" ca="1" si="410"/>
        <v>107.79059370582637</v>
      </c>
      <c r="K400">
        <f t="shared" ref="K400:P400" ca="1" si="423">J400*EXP(($C$4-0.5*$C$5^2)*$C$10+$C$5*SQRT($C$10)*NORMINV(RAND(),0,1))</f>
        <v>107.02406948568792</v>
      </c>
      <c r="L400">
        <f t="shared" ca="1" si="423"/>
        <v>112.1994213309778</v>
      </c>
      <c r="M400">
        <f t="shared" ca="1" si="423"/>
        <v>112.95087037717137</v>
      </c>
      <c r="N400">
        <f t="shared" ca="1" si="423"/>
        <v>108.27990104802689</v>
      </c>
      <c r="O400">
        <f t="shared" ca="1" si="423"/>
        <v>118.88604695606743</v>
      </c>
      <c r="P400">
        <f t="shared" ca="1" si="423"/>
        <v>126.81672365002859</v>
      </c>
      <c r="Q400">
        <f t="shared" ca="1" si="412"/>
        <v>108.9066431396364</v>
      </c>
      <c r="R400">
        <f t="shared" ca="1" si="413"/>
        <v>8.906643139636401</v>
      </c>
      <c r="S400">
        <f t="shared" ca="1" si="414"/>
        <v>8.7302797890883141</v>
      </c>
    </row>
    <row r="401" spans="5:19" x14ac:dyDescent="0.75">
      <c r="E401">
        <v>396</v>
      </c>
      <c r="F401">
        <v>100</v>
      </c>
      <c r="G401">
        <f t="shared" ca="1" si="410"/>
        <v>105.50567046504065</v>
      </c>
      <c r="H401">
        <f t="shared" ca="1" si="410"/>
        <v>113.07060809121634</v>
      </c>
      <c r="I401">
        <f t="shared" ca="1" si="410"/>
        <v>104.77799142068417</v>
      </c>
      <c r="J401">
        <f t="shared" ca="1" si="410"/>
        <v>102.84592765986469</v>
      </c>
      <c r="K401">
        <f t="shared" ref="K401:P401" ca="1" si="424">J401*EXP(($C$4-0.5*$C$5^2)*$C$10+$C$5*SQRT($C$10)*NORMINV(RAND(),0,1))</f>
        <v>103.05704884562989</v>
      </c>
      <c r="L401">
        <f t="shared" ca="1" si="424"/>
        <v>95.755401954147203</v>
      </c>
      <c r="M401">
        <f t="shared" ca="1" si="424"/>
        <v>94.089763396152733</v>
      </c>
      <c r="N401">
        <f t="shared" ca="1" si="424"/>
        <v>87.1336128316415</v>
      </c>
      <c r="O401">
        <f t="shared" ca="1" si="424"/>
        <v>87.339859189640606</v>
      </c>
      <c r="P401">
        <f t="shared" ca="1" si="424"/>
        <v>86.804325990463326</v>
      </c>
      <c r="Q401">
        <f t="shared" ca="1" si="412"/>
        <v>98.216382713134635</v>
      </c>
      <c r="R401">
        <f t="shared" ca="1" si="413"/>
        <v>0</v>
      </c>
      <c r="S401">
        <f t="shared" ca="1" si="414"/>
        <v>0</v>
      </c>
    </row>
    <row r="402" spans="5:19" x14ac:dyDescent="0.75">
      <c r="E402">
        <v>397</v>
      </c>
      <c r="F402">
        <v>100</v>
      </c>
      <c r="G402">
        <f t="shared" ca="1" si="410"/>
        <v>94.053142053885125</v>
      </c>
      <c r="H402">
        <f t="shared" ca="1" si="410"/>
        <v>90.338609569294505</v>
      </c>
      <c r="I402">
        <f t="shared" ca="1" si="410"/>
        <v>80.599675576687304</v>
      </c>
      <c r="J402">
        <f t="shared" ca="1" si="410"/>
        <v>86.458769043477531</v>
      </c>
      <c r="K402">
        <f t="shared" ref="K402:P402" ca="1" si="425">J402*EXP(($C$4-0.5*$C$5^2)*$C$10+$C$5*SQRT($C$10)*NORMINV(RAND(),0,1))</f>
        <v>95.497173474331774</v>
      </c>
      <c r="L402">
        <f t="shared" ca="1" si="425"/>
        <v>95.946164468398024</v>
      </c>
      <c r="M402">
        <f t="shared" ca="1" si="425"/>
        <v>101.28328834209536</v>
      </c>
      <c r="N402">
        <f t="shared" ca="1" si="425"/>
        <v>90.343961549940957</v>
      </c>
      <c r="O402">
        <f t="shared" ca="1" si="425"/>
        <v>98.553451790428014</v>
      </c>
      <c r="P402">
        <f t="shared" ca="1" si="425"/>
        <v>94.109773336983679</v>
      </c>
      <c r="Q402">
        <f t="shared" ca="1" si="412"/>
        <v>93.380364473229292</v>
      </c>
      <c r="R402">
        <f t="shared" ca="1" si="413"/>
        <v>0</v>
      </c>
      <c r="S402">
        <f t="shared" ca="1" si="414"/>
        <v>0</v>
      </c>
    </row>
    <row r="403" spans="5:19" x14ac:dyDescent="0.75">
      <c r="E403">
        <v>398</v>
      </c>
      <c r="F403">
        <v>100</v>
      </c>
      <c r="G403">
        <f t="shared" ca="1" si="410"/>
        <v>101.35627949663608</v>
      </c>
      <c r="H403">
        <f t="shared" ca="1" si="410"/>
        <v>108.66088299162449</v>
      </c>
      <c r="I403">
        <f t="shared" ca="1" si="410"/>
        <v>100.20119194752593</v>
      </c>
      <c r="J403">
        <f t="shared" ca="1" si="410"/>
        <v>88.729228091931674</v>
      </c>
      <c r="K403">
        <f t="shared" ref="K403:P403" ca="1" si="426">J403*EXP(($C$4-0.5*$C$5^2)*$C$10+$C$5*SQRT($C$10)*NORMINV(RAND(),0,1))</f>
        <v>94.605962324237765</v>
      </c>
      <c r="L403">
        <f t="shared" ca="1" si="426"/>
        <v>91.534539471084301</v>
      </c>
      <c r="M403">
        <f t="shared" ca="1" si="426"/>
        <v>82.530590546951203</v>
      </c>
      <c r="N403">
        <f t="shared" ca="1" si="426"/>
        <v>87.720399368190357</v>
      </c>
      <c r="O403">
        <f t="shared" ca="1" si="426"/>
        <v>80.745802559401881</v>
      </c>
      <c r="P403">
        <f t="shared" ca="1" si="426"/>
        <v>85.690765959214744</v>
      </c>
      <c r="Q403">
        <f t="shared" ca="1" si="412"/>
        <v>92.888694796072585</v>
      </c>
      <c r="R403">
        <f t="shared" ca="1" si="413"/>
        <v>0</v>
      </c>
      <c r="S403">
        <f t="shared" ca="1" si="414"/>
        <v>0</v>
      </c>
    </row>
    <row r="404" spans="5:19" x14ac:dyDescent="0.75">
      <c r="E404">
        <v>399</v>
      </c>
      <c r="F404">
        <v>100</v>
      </c>
      <c r="G404">
        <f t="shared" ca="1" si="410"/>
        <v>101.74535451829453</v>
      </c>
      <c r="H404">
        <f t="shared" ca="1" si="410"/>
        <v>97.687321137911894</v>
      </c>
      <c r="I404">
        <f t="shared" ca="1" si="410"/>
        <v>106.16480443832549</v>
      </c>
      <c r="J404">
        <f t="shared" ca="1" si="410"/>
        <v>96.831477347261341</v>
      </c>
      <c r="K404">
        <f t="shared" ref="K404:P404" ca="1" si="427">J404*EXP(($C$4-0.5*$C$5^2)*$C$10+$C$5*SQRT($C$10)*NORMINV(RAND(),0,1))</f>
        <v>92.362088775715492</v>
      </c>
      <c r="L404">
        <f t="shared" ca="1" si="427"/>
        <v>92.855619650578063</v>
      </c>
      <c r="M404">
        <f t="shared" ca="1" si="427"/>
        <v>100.70607516322012</v>
      </c>
      <c r="N404">
        <f t="shared" ca="1" si="427"/>
        <v>98.24976903936205</v>
      </c>
      <c r="O404">
        <f t="shared" ca="1" si="427"/>
        <v>101.12742679827718</v>
      </c>
      <c r="P404">
        <f t="shared" ca="1" si="427"/>
        <v>106.96429537112634</v>
      </c>
      <c r="Q404">
        <f t="shared" ca="1" si="412"/>
        <v>99.517657476370218</v>
      </c>
      <c r="R404">
        <f t="shared" ca="1" si="413"/>
        <v>0</v>
      </c>
      <c r="S404">
        <f t="shared" ca="1" si="414"/>
        <v>0</v>
      </c>
    </row>
    <row r="405" spans="5:19" x14ac:dyDescent="0.75">
      <c r="E405">
        <v>400</v>
      </c>
      <c r="F405">
        <v>100</v>
      </c>
      <c r="G405">
        <f t="shared" ca="1" si="410"/>
        <v>97.719985887133703</v>
      </c>
      <c r="H405">
        <f t="shared" ca="1" si="410"/>
        <v>110.33472365733459</v>
      </c>
      <c r="I405">
        <f t="shared" ca="1" si="410"/>
        <v>107.96110665598361</v>
      </c>
      <c r="J405">
        <f t="shared" ca="1" si="410"/>
        <v>111.45537407433497</v>
      </c>
      <c r="K405">
        <f t="shared" ref="K405:P405" ca="1" si="428">J405*EXP(($C$4-0.5*$C$5^2)*$C$10+$C$5*SQRT($C$10)*NORMINV(RAND(),0,1))</f>
        <v>102.66520083151414</v>
      </c>
      <c r="L405">
        <f t="shared" ca="1" si="428"/>
        <v>96.926294066566896</v>
      </c>
      <c r="M405">
        <f t="shared" ca="1" si="428"/>
        <v>95.459844680423174</v>
      </c>
      <c r="N405">
        <f t="shared" ca="1" si="428"/>
        <v>104.43618367508653</v>
      </c>
      <c r="O405">
        <f t="shared" ca="1" si="428"/>
        <v>111.92768052101501</v>
      </c>
      <c r="P405">
        <f t="shared" ca="1" si="428"/>
        <v>99.794888556023295</v>
      </c>
      <c r="Q405">
        <f t="shared" ca="1" si="412"/>
        <v>103.51648023685601</v>
      </c>
      <c r="R405">
        <f t="shared" ca="1" si="413"/>
        <v>3.5164802368560117</v>
      </c>
      <c r="S405">
        <f t="shared" ca="1" si="414"/>
        <v>3.4468492628756873</v>
      </c>
    </row>
    <row r="406" spans="5:19" x14ac:dyDescent="0.75">
      <c r="E406">
        <v>401</v>
      </c>
      <c r="F406">
        <v>100</v>
      </c>
      <c r="G406">
        <f t="shared" ca="1" si="410"/>
        <v>97.175844362450121</v>
      </c>
      <c r="H406">
        <f t="shared" ca="1" si="410"/>
        <v>99.622725480558003</v>
      </c>
      <c r="I406">
        <f t="shared" ca="1" si="410"/>
        <v>113.7555113293995</v>
      </c>
      <c r="J406">
        <f t="shared" ca="1" si="410"/>
        <v>120.25491548061629</v>
      </c>
      <c r="K406">
        <f t="shared" ref="K406:P406" ca="1" si="429">J406*EXP(($C$4-0.5*$C$5^2)*$C$10+$C$5*SQRT($C$10)*NORMINV(RAND(),0,1))</f>
        <v>110.26197454959318</v>
      </c>
      <c r="L406">
        <f t="shared" ca="1" si="429"/>
        <v>108.64117737458143</v>
      </c>
      <c r="M406">
        <f t="shared" ca="1" si="429"/>
        <v>104.81990553713977</v>
      </c>
      <c r="N406">
        <f t="shared" ca="1" si="429"/>
        <v>85.617003402537293</v>
      </c>
      <c r="O406">
        <f t="shared" ca="1" si="429"/>
        <v>90.615254999782806</v>
      </c>
      <c r="P406">
        <f t="shared" ca="1" si="429"/>
        <v>94.332518109224125</v>
      </c>
      <c r="Q406">
        <f t="shared" ca="1" si="412"/>
        <v>102.28153005689842</v>
      </c>
      <c r="R406">
        <f t="shared" ca="1" si="413"/>
        <v>2.2815300568984185</v>
      </c>
      <c r="S406">
        <f t="shared" ca="1" si="414"/>
        <v>2.2363527348813155</v>
      </c>
    </row>
    <row r="407" spans="5:19" x14ac:dyDescent="0.75">
      <c r="E407">
        <v>402</v>
      </c>
      <c r="F407">
        <v>100</v>
      </c>
      <c r="G407">
        <f t="shared" ca="1" si="410"/>
        <v>90.84821124311577</v>
      </c>
      <c r="H407">
        <f t="shared" ca="1" si="410"/>
        <v>92.224781984901028</v>
      </c>
      <c r="I407">
        <f t="shared" ca="1" si="410"/>
        <v>105.32508335023604</v>
      </c>
      <c r="J407">
        <f t="shared" ca="1" si="410"/>
        <v>97.460763257032056</v>
      </c>
      <c r="K407">
        <f t="shared" ref="K407:P407" ca="1" si="430">J407*EXP(($C$4-0.5*$C$5^2)*$C$10+$C$5*SQRT($C$10)*NORMINV(RAND(),0,1))</f>
        <v>103.54941863324861</v>
      </c>
      <c r="L407">
        <f t="shared" ca="1" si="430"/>
        <v>93.93984632475032</v>
      </c>
      <c r="M407">
        <f t="shared" ca="1" si="430"/>
        <v>97.530796047689847</v>
      </c>
      <c r="N407">
        <f t="shared" ca="1" si="430"/>
        <v>91.919130148495242</v>
      </c>
      <c r="O407">
        <f t="shared" ca="1" si="430"/>
        <v>92.170825317250348</v>
      </c>
      <c r="P407">
        <f t="shared" ca="1" si="430"/>
        <v>98.097321736094955</v>
      </c>
      <c r="Q407">
        <f t="shared" ca="1" si="412"/>
        <v>96.642379822074005</v>
      </c>
      <c r="R407">
        <f t="shared" ca="1" si="413"/>
        <v>0</v>
      </c>
      <c r="S407">
        <f t="shared" ca="1" si="414"/>
        <v>0</v>
      </c>
    </row>
    <row r="408" spans="5:19" x14ac:dyDescent="0.75">
      <c r="E408">
        <v>403</v>
      </c>
      <c r="F408">
        <v>100</v>
      </c>
      <c r="G408">
        <f t="shared" ca="1" si="410"/>
        <v>104.0071125317731</v>
      </c>
      <c r="H408">
        <f t="shared" ca="1" si="410"/>
        <v>95.287095355341791</v>
      </c>
      <c r="I408">
        <f t="shared" ca="1" si="410"/>
        <v>83.066164121944155</v>
      </c>
      <c r="J408">
        <f t="shared" ca="1" si="410"/>
        <v>84.77769829637495</v>
      </c>
      <c r="K408">
        <f t="shared" ref="K408:P408" ca="1" si="431">J408*EXP(($C$4-0.5*$C$5^2)*$C$10+$C$5*SQRT($C$10)*NORMINV(RAND(),0,1))</f>
        <v>93.036970655519568</v>
      </c>
      <c r="L408">
        <f t="shared" ca="1" si="431"/>
        <v>91.021477637719983</v>
      </c>
      <c r="M408">
        <f t="shared" ca="1" si="431"/>
        <v>108.80196198303436</v>
      </c>
      <c r="N408">
        <f t="shared" ca="1" si="431"/>
        <v>111.89943299812633</v>
      </c>
      <c r="O408">
        <f t="shared" ca="1" si="431"/>
        <v>97.576801455022419</v>
      </c>
      <c r="P408">
        <f t="shared" ca="1" si="431"/>
        <v>94.074329963155833</v>
      </c>
      <c r="Q408">
        <f t="shared" ca="1" si="412"/>
        <v>96.686276818001133</v>
      </c>
      <c r="R408">
        <f t="shared" ca="1" si="413"/>
        <v>0</v>
      </c>
      <c r="S408">
        <f t="shared" ca="1" si="414"/>
        <v>0</v>
      </c>
    </row>
    <row r="409" spans="5:19" x14ac:dyDescent="0.75">
      <c r="E409">
        <v>404</v>
      </c>
      <c r="F409">
        <v>100</v>
      </c>
      <c r="G409">
        <f t="shared" ca="1" si="410"/>
        <v>107.31078655357756</v>
      </c>
      <c r="H409">
        <f t="shared" ca="1" si="410"/>
        <v>109.54142383082134</v>
      </c>
      <c r="I409">
        <f t="shared" ca="1" si="410"/>
        <v>96.561214474520781</v>
      </c>
      <c r="J409">
        <f t="shared" ca="1" si="410"/>
        <v>103.26077019868764</v>
      </c>
      <c r="K409">
        <f t="shared" ref="K409:P409" ca="1" si="432">J409*EXP(($C$4-0.5*$C$5^2)*$C$10+$C$5*SQRT($C$10)*NORMINV(RAND(),0,1))</f>
        <v>107.01188801904348</v>
      </c>
      <c r="L409">
        <f t="shared" ca="1" si="432"/>
        <v>102.21136594466583</v>
      </c>
      <c r="M409">
        <f t="shared" ca="1" si="432"/>
        <v>106.93176497424892</v>
      </c>
      <c r="N409">
        <f t="shared" ca="1" si="432"/>
        <v>98.373301526086621</v>
      </c>
      <c r="O409">
        <f t="shared" ca="1" si="432"/>
        <v>100.68367387566697</v>
      </c>
      <c r="P409">
        <f t="shared" ca="1" si="432"/>
        <v>94.453315099194825</v>
      </c>
      <c r="Q409">
        <f t="shared" ca="1" si="412"/>
        <v>102.39450040877401</v>
      </c>
      <c r="R409">
        <f t="shared" ca="1" si="413"/>
        <v>2.3945004087740074</v>
      </c>
      <c r="S409">
        <f t="shared" ca="1" si="414"/>
        <v>2.3470861239127654</v>
      </c>
    </row>
    <row r="410" spans="5:19" x14ac:dyDescent="0.75">
      <c r="E410">
        <v>405</v>
      </c>
      <c r="F410">
        <v>100</v>
      </c>
      <c r="G410">
        <f t="shared" ca="1" si="410"/>
        <v>110.63133228126101</v>
      </c>
      <c r="H410">
        <f t="shared" ca="1" si="410"/>
        <v>104.89166483005152</v>
      </c>
      <c r="I410">
        <f t="shared" ca="1" si="410"/>
        <v>100.14438675460542</v>
      </c>
      <c r="J410">
        <f t="shared" ca="1" si="410"/>
        <v>95.37559833707698</v>
      </c>
      <c r="K410">
        <f t="shared" ref="K410:P410" ca="1" si="433">J410*EXP(($C$4-0.5*$C$5^2)*$C$10+$C$5*SQRT($C$10)*NORMINV(RAND(),0,1))</f>
        <v>89.854552775676453</v>
      </c>
      <c r="L410">
        <f t="shared" ca="1" si="433"/>
        <v>83.066456807423194</v>
      </c>
      <c r="M410">
        <f t="shared" ca="1" si="433"/>
        <v>87.200819900253975</v>
      </c>
      <c r="N410">
        <f t="shared" ca="1" si="433"/>
        <v>84.267305923179222</v>
      </c>
      <c r="O410">
        <f t="shared" ca="1" si="433"/>
        <v>83.449394402756226</v>
      </c>
      <c r="P410">
        <f t="shared" ca="1" si="433"/>
        <v>83.829061895325168</v>
      </c>
      <c r="Q410">
        <f t="shared" ca="1" si="412"/>
        <v>92.973688537055367</v>
      </c>
      <c r="R410">
        <f t="shared" ca="1" si="413"/>
        <v>0</v>
      </c>
      <c r="S410">
        <f t="shared" ca="1" si="414"/>
        <v>0</v>
      </c>
    </row>
    <row r="411" spans="5:19" x14ac:dyDescent="0.75">
      <c r="E411">
        <v>406</v>
      </c>
      <c r="F411">
        <v>100</v>
      </c>
      <c r="G411">
        <f t="shared" ca="1" si="410"/>
        <v>109.15013396777964</v>
      </c>
      <c r="H411">
        <f t="shared" ca="1" si="410"/>
        <v>120.77845821154489</v>
      </c>
      <c r="I411">
        <f t="shared" ca="1" si="410"/>
        <v>123.22174107630823</v>
      </c>
      <c r="J411">
        <f t="shared" ca="1" si="410"/>
        <v>126.52494487209802</v>
      </c>
      <c r="K411">
        <f t="shared" ref="K411:P411" ca="1" si="434">J411*EXP(($C$4-0.5*$C$5^2)*$C$10+$C$5*SQRT($C$10)*NORMINV(RAND(),0,1))</f>
        <v>145.4462973554628</v>
      </c>
      <c r="L411">
        <f t="shared" ca="1" si="434"/>
        <v>159.22023992281916</v>
      </c>
      <c r="M411">
        <f t="shared" ca="1" si="434"/>
        <v>150.37093359621775</v>
      </c>
      <c r="N411">
        <f t="shared" ca="1" si="434"/>
        <v>133.33874077781704</v>
      </c>
      <c r="O411">
        <f t="shared" ca="1" si="434"/>
        <v>133.62988954670593</v>
      </c>
      <c r="P411">
        <f t="shared" ca="1" si="434"/>
        <v>133.25827803004125</v>
      </c>
      <c r="Q411">
        <f t="shared" ca="1" si="412"/>
        <v>130.4490597597086</v>
      </c>
      <c r="R411">
        <f t="shared" ca="1" si="413"/>
        <v>30.449059759708604</v>
      </c>
      <c r="S411">
        <f t="shared" ca="1" si="414"/>
        <v>29.84612797990448</v>
      </c>
    </row>
    <row r="412" spans="5:19" x14ac:dyDescent="0.75">
      <c r="E412">
        <v>407</v>
      </c>
      <c r="F412">
        <v>100</v>
      </c>
      <c r="G412">
        <f t="shared" ca="1" si="410"/>
        <v>107.61018213673823</v>
      </c>
      <c r="H412">
        <f t="shared" ca="1" si="410"/>
        <v>113.21805965038003</v>
      </c>
      <c r="I412">
        <f t="shared" ca="1" si="410"/>
        <v>109.78006336263375</v>
      </c>
      <c r="J412">
        <f t="shared" ca="1" si="410"/>
        <v>113.91603622109361</v>
      </c>
      <c r="K412">
        <f t="shared" ref="K412:P412" ca="1" si="435">J412*EXP(($C$4-0.5*$C$5^2)*$C$10+$C$5*SQRT($C$10)*NORMINV(RAND(),0,1))</f>
        <v>115.07680829439711</v>
      </c>
      <c r="L412">
        <f t="shared" ca="1" si="435"/>
        <v>105.49245372931296</v>
      </c>
      <c r="M412">
        <f t="shared" ca="1" si="435"/>
        <v>106.25784524975268</v>
      </c>
      <c r="N412">
        <f t="shared" ca="1" si="435"/>
        <v>107.27416262390987</v>
      </c>
      <c r="O412">
        <f t="shared" ca="1" si="435"/>
        <v>110.11463803384216</v>
      </c>
      <c r="P412">
        <f t="shared" ca="1" si="435"/>
        <v>107.9294891340528</v>
      </c>
      <c r="Q412">
        <f t="shared" ca="1" si="412"/>
        <v>108.78815803964666</v>
      </c>
      <c r="R412">
        <f t="shared" ca="1" si="413"/>
        <v>8.7881580396466603</v>
      </c>
      <c r="S412">
        <f t="shared" ca="1" si="414"/>
        <v>8.6141408512717508</v>
      </c>
    </row>
    <row r="413" spans="5:19" x14ac:dyDescent="0.75">
      <c r="E413">
        <v>408</v>
      </c>
      <c r="F413">
        <v>100</v>
      </c>
      <c r="G413">
        <f t="shared" ca="1" si="410"/>
        <v>94.776032361329825</v>
      </c>
      <c r="H413">
        <f t="shared" ca="1" si="410"/>
        <v>92.802885108636374</v>
      </c>
      <c r="I413">
        <f t="shared" ca="1" si="410"/>
        <v>99.032384281790613</v>
      </c>
      <c r="J413">
        <f t="shared" ca="1" si="410"/>
        <v>105.3459957667753</v>
      </c>
      <c r="K413">
        <f t="shared" ref="K413:P413" ca="1" si="436">J413*EXP(($C$4-0.5*$C$5^2)*$C$10+$C$5*SQRT($C$10)*NORMINV(RAND(),0,1))</f>
        <v>98.282029007397711</v>
      </c>
      <c r="L413">
        <f t="shared" ca="1" si="436"/>
        <v>105.85426749460197</v>
      </c>
      <c r="M413">
        <f t="shared" ca="1" si="436"/>
        <v>114.69962761359953</v>
      </c>
      <c r="N413">
        <f t="shared" ca="1" si="436"/>
        <v>112.10950854080774</v>
      </c>
      <c r="O413">
        <f t="shared" ca="1" si="436"/>
        <v>120.29543762228052</v>
      </c>
      <c r="P413">
        <f t="shared" ca="1" si="436"/>
        <v>121.43686542381369</v>
      </c>
      <c r="Q413">
        <f t="shared" ca="1" si="412"/>
        <v>105.87591211100303</v>
      </c>
      <c r="R413">
        <f t="shared" ca="1" si="413"/>
        <v>5.8759121110030321</v>
      </c>
      <c r="S413">
        <f t="shared" ca="1" si="414"/>
        <v>5.759561255672268</v>
      </c>
    </row>
    <row r="414" spans="5:19" x14ac:dyDescent="0.75">
      <c r="E414">
        <v>409</v>
      </c>
      <c r="F414">
        <v>100</v>
      </c>
      <c r="G414">
        <f t="shared" ca="1" si="410"/>
        <v>107.31851694899788</v>
      </c>
      <c r="H414">
        <f t="shared" ca="1" si="410"/>
        <v>87.897468220241223</v>
      </c>
      <c r="I414">
        <f t="shared" ca="1" si="410"/>
        <v>85.809241259623093</v>
      </c>
      <c r="J414">
        <f t="shared" ca="1" si="410"/>
        <v>83.451031421064101</v>
      </c>
      <c r="K414">
        <f t="shared" ref="K414:P414" ca="1" si="437">J414*EXP(($C$4-0.5*$C$5^2)*$C$10+$C$5*SQRT($C$10)*NORMINV(RAND(),0,1))</f>
        <v>80.57961359529483</v>
      </c>
      <c r="L414">
        <f t="shared" ca="1" si="437"/>
        <v>76.90702473814919</v>
      </c>
      <c r="M414">
        <f t="shared" ca="1" si="437"/>
        <v>64.602329719740467</v>
      </c>
      <c r="N414">
        <f t="shared" ca="1" si="437"/>
        <v>58.866542347634258</v>
      </c>
      <c r="O414">
        <f t="shared" ca="1" si="437"/>
        <v>59.447839290835624</v>
      </c>
      <c r="P414">
        <f t="shared" ca="1" si="437"/>
        <v>62.606567671000377</v>
      </c>
      <c r="Q414">
        <f t="shared" ca="1" si="412"/>
        <v>78.862379564780085</v>
      </c>
      <c r="R414">
        <f t="shared" ca="1" si="413"/>
        <v>0</v>
      </c>
      <c r="S414">
        <f t="shared" ca="1" si="414"/>
        <v>0</v>
      </c>
    </row>
    <row r="415" spans="5:19" x14ac:dyDescent="0.75">
      <c r="E415">
        <v>410</v>
      </c>
      <c r="F415">
        <v>100</v>
      </c>
      <c r="G415">
        <f t="shared" ca="1" si="410"/>
        <v>93.423927153930137</v>
      </c>
      <c r="H415">
        <f t="shared" ca="1" si="410"/>
        <v>89.181072455793</v>
      </c>
      <c r="I415">
        <f t="shared" ca="1" si="410"/>
        <v>92.737074004762292</v>
      </c>
      <c r="J415">
        <f t="shared" ca="1" si="410"/>
        <v>90.894528285968192</v>
      </c>
      <c r="K415">
        <f t="shared" ref="K415:P415" ca="1" si="438">J415*EXP(($C$4-0.5*$C$5^2)*$C$10+$C$5*SQRT($C$10)*NORMINV(RAND(),0,1))</f>
        <v>89.112804232619297</v>
      </c>
      <c r="L415">
        <f t="shared" ca="1" si="438"/>
        <v>93.713342999761295</v>
      </c>
      <c r="M415">
        <f t="shared" ca="1" si="438"/>
        <v>96.778458219446563</v>
      </c>
      <c r="N415">
        <f t="shared" ca="1" si="438"/>
        <v>98.029649440064674</v>
      </c>
      <c r="O415">
        <f t="shared" ca="1" si="438"/>
        <v>94.351169377966855</v>
      </c>
      <c r="P415">
        <f t="shared" ca="1" si="438"/>
        <v>91.943087845872085</v>
      </c>
      <c r="Q415">
        <f t="shared" ca="1" si="412"/>
        <v>93.651374001471311</v>
      </c>
      <c r="R415">
        <f t="shared" ca="1" si="413"/>
        <v>0</v>
      </c>
      <c r="S415">
        <f t="shared" ca="1" si="414"/>
        <v>0</v>
      </c>
    </row>
    <row r="416" spans="5:19" x14ac:dyDescent="0.75">
      <c r="E416">
        <v>411</v>
      </c>
      <c r="F416">
        <v>100</v>
      </c>
      <c r="G416">
        <f t="shared" ca="1" si="410"/>
        <v>95.799778922709024</v>
      </c>
      <c r="H416">
        <f t="shared" ca="1" si="410"/>
        <v>94.868743720233539</v>
      </c>
      <c r="I416">
        <f t="shared" ca="1" si="410"/>
        <v>91.002333940305363</v>
      </c>
      <c r="J416">
        <f t="shared" ca="1" si="410"/>
        <v>85.536310851535333</v>
      </c>
      <c r="K416">
        <f t="shared" ref="K416:P416" ca="1" si="439">J416*EXP(($C$4-0.5*$C$5^2)*$C$10+$C$5*SQRT($C$10)*NORMINV(RAND(),0,1))</f>
        <v>78.783349199107775</v>
      </c>
      <c r="L416">
        <f t="shared" ca="1" si="439"/>
        <v>82.997600152267182</v>
      </c>
      <c r="M416">
        <f t="shared" ca="1" si="439"/>
        <v>78.136746936446769</v>
      </c>
      <c r="N416">
        <f t="shared" ca="1" si="439"/>
        <v>76.316076527870763</v>
      </c>
      <c r="O416">
        <f t="shared" ca="1" si="439"/>
        <v>85.1296463075508</v>
      </c>
      <c r="P416">
        <f t="shared" ca="1" si="439"/>
        <v>89.196921497287406</v>
      </c>
      <c r="Q416">
        <f t="shared" ca="1" si="412"/>
        <v>87.069773459573995</v>
      </c>
      <c r="R416">
        <f t="shared" ca="1" si="413"/>
        <v>0</v>
      </c>
      <c r="S416">
        <f t="shared" ca="1" si="414"/>
        <v>0</v>
      </c>
    </row>
    <row r="417" spans="5:19" x14ac:dyDescent="0.75">
      <c r="E417">
        <v>412</v>
      </c>
      <c r="F417">
        <v>100</v>
      </c>
      <c r="G417">
        <f t="shared" ca="1" si="410"/>
        <v>101.35206285222434</v>
      </c>
      <c r="H417">
        <f t="shared" ca="1" si="410"/>
        <v>90.90795137220951</v>
      </c>
      <c r="I417">
        <f t="shared" ca="1" si="410"/>
        <v>88.312388095155328</v>
      </c>
      <c r="J417">
        <f t="shared" ca="1" si="410"/>
        <v>88.651324970780507</v>
      </c>
      <c r="K417">
        <f t="shared" ref="K417:P417" ca="1" si="440">J417*EXP(($C$4-0.5*$C$5^2)*$C$10+$C$5*SQRT($C$10)*NORMINV(RAND(),0,1))</f>
        <v>89.328540861173636</v>
      </c>
      <c r="L417">
        <f t="shared" ca="1" si="440"/>
        <v>93.937430413269169</v>
      </c>
      <c r="M417">
        <f t="shared" ca="1" si="440"/>
        <v>91.416893791175539</v>
      </c>
      <c r="N417">
        <f t="shared" ca="1" si="440"/>
        <v>101.03326195809964</v>
      </c>
      <c r="O417">
        <f t="shared" ca="1" si="440"/>
        <v>106.87933956728487</v>
      </c>
      <c r="P417">
        <f t="shared" ca="1" si="440"/>
        <v>108.19344822809651</v>
      </c>
      <c r="Q417">
        <f t="shared" ca="1" si="412"/>
        <v>96.364785646315354</v>
      </c>
      <c r="R417">
        <f t="shared" ca="1" si="413"/>
        <v>0</v>
      </c>
      <c r="S417">
        <f t="shared" ca="1" si="414"/>
        <v>0</v>
      </c>
    </row>
    <row r="418" spans="5:19" x14ac:dyDescent="0.75">
      <c r="E418">
        <v>413</v>
      </c>
      <c r="F418">
        <v>100</v>
      </c>
      <c r="G418">
        <f t="shared" ca="1" si="410"/>
        <v>105.41799076222385</v>
      </c>
      <c r="H418">
        <f t="shared" ca="1" si="410"/>
        <v>92.412525375503847</v>
      </c>
      <c r="I418">
        <f t="shared" ca="1" si="410"/>
        <v>98.952318944223904</v>
      </c>
      <c r="J418">
        <f t="shared" ca="1" si="410"/>
        <v>102.36051466657099</v>
      </c>
      <c r="K418">
        <f t="shared" ref="K418:P418" ca="1" si="441">J418*EXP(($C$4-0.5*$C$5^2)*$C$10+$C$5*SQRT($C$10)*NORMINV(RAND(),0,1))</f>
        <v>103.87329440126469</v>
      </c>
      <c r="L418">
        <f t="shared" ca="1" si="441"/>
        <v>105.3921777478715</v>
      </c>
      <c r="M418">
        <f t="shared" ca="1" si="441"/>
        <v>111.01650838658263</v>
      </c>
      <c r="N418">
        <f t="shared" ca="1" si="441"/>
        <v>118.16900451456991</v>
      </c>
      <c r="O418">
        <f t="shared" ca="1" si="441"/>
        <v>122.62620837206499</v>
      </c>
      <c r="P418">
        <f t="shared" ca="1" si="441"/>
        <v>117.90527290457258</v>
      </c>
      <c r="Q418">
        <f t="shared" ca="1" si="412"/>
        <v>107.10234691594991</v>
      </c>
      <c r="R418">
        <f t="shared" ca="1" si="413"/>
        <v>7.1023469159499086</v>
      </c>
      <c r="S418">
        <f t="shared" ca="1" si="414"/>
        <v>6.9617110243784248</v>
      </c>
    </row>
    <row r="419" spans="5:19" x14ac:dyDescent="0.75">
      <c r="E419">
        <v>414</v>
      </c>
      <c r="F419">
        <v>100</v>
      </c>
      <c r="G419">
        <f t="shared" ca="1" si="410"/>
        <v>98.338559663096291</v>
      </c>
      <c r="H419">
        <f t="shared" ca="1" si="410"/>
        <v>103.92307043203613</v>
      </c>
      <c r="I419">
        <f t="shared" ca="1" si="410"/>
        <v>107.06181907568534</v>
      </c>
      <c r="J419">
        <f t="shared" ca="1" si="410"/>
        <v>113.93544990437596</v>
      </c>
      <c r="K419">
        <f t="shared" ref="K419:P419" ca="1" si="442">J419*EXP(($C$4-0.5*$C$5^2)*$C$10+$C$5*SQRT($C$10)*NORMINV(RAND(),0,1))</f>
        <v>114.89012047368455</v>
      </c>
      <c r="L419">
        <f t="shared" ca="1" si="442"/>
        <v>109.58490470025409</v>
      </c>
      <c r="M419">
        <f t="shared" ca="1" si="442"/>
        <v>110.10386518731522</v>
      </c>
      <c r="N419">
        <f t="shared" ca="1" si="442"/>
        <v>115.80898976394565</v>
      </c>
      <c r="O419">
        <f t="shared" ca="1" si="442"/>
        <v>103.84981262672515</v>
      </c>
      <c r="P419">
        <f t="shared" ca="1" si="442"/>
        <v>100.62192300243652</v>
      </c>
      <c r="Q419">
        <f t="shared" ca="1" si="412"/>
        <v>107.10168316632317</v>
      </c>
      <c r="R419">
        <f t="shared" ca="1" si="413"/>
        <v>7.1016831663231699</v>
      </c>
      <c r="S419">
        <f t="shared" ca="1" si="414"/>
        <v>6.9610604178748883</v>
      </c>
    </row>
    <row r="420" spans="5:19" x14ac:dyDescent="0.75">
      <c r="E420">
        <v>415</v>
      </c>
      <c r="F420">
        <v>100</v>
      </c>
      <c r="G420">
        <f t="shared" ca="1" si="410"/>
        <v>110.93604361756873</v>
      </c>
      <c r="H420">
        <f t="shared" ca="1" si="410"/>
        <v>118.92557642753218</v>
      </c>
      <c r="I420">
        <f t="shared" ca="1" si="410"/>
        <v>117.33142966946046</v>
      </c>
      <c r="J420">
        <f t="shared" ca="1" si="410"/>
        <v>113.79163044801209</v>
      </c>
      <c r="K420">
        <f t="shared" ref="K420:P420" ca="1" si="443">J420*EXP(($C$4-0.5*$C$5^2)*$C$10+$C$5*SQRT($C$10)*NORMINV(RAND(),0,1))</f>
        <v>119.39842786422298</v>
      </c>
      <c r="L420">
        <f t="shared" ca="1" si="443"/>
        <v>115.50674911417013</v>
      </c>
      <c r="M420">
        <f t="shared" ca="1" si="443"/>
        <v>121.15137458081341</v>
      </c>
      <c r="N420">
        <f t="shared" ca="1" si="443"/>
        <v>122.63429078376788</v>
      </c>
      <c r="O420">
        <f t="shared" ca="1" si="443"/>
        <v>113.74191008135531</v>
      </c>
      <c r="P420">
        <f t="shared" ca="1" si="443"/>
        <v>113.24854017134265</v>
      </c>
      <c r="Q420">
        <f t="shared" ca="1" si="412"/>
        <v>115.15145206893145</v>
      </c>
      <c r="R420">
        <f t="shared" ca="1" si="413"/>
        <v>15.151452068931448</v>
      </c>
      <c r="S420">
        <f t="shared" ca="1" si="414"/>
        <v>14.851433216637497</v>
      </c>
    </row>
    <row r="421" spans="5:19" x14ac:dyDescent="0.75">
      <c r="E421">
        <v>416</v>
      </c>
      <c r="F421">
        <v>100</v>
      </c>
      <c r="G421">
        <f t="shared" ca="1" si="410"/>
        <v>97.71086164134978</v>
      </c>
      <c r="H421">
        <f t="shared" ca="1" si="410"/>
        <v>93.892882335333184</v>
      </c>
      <c r="I421">
        <f t="shared" ca="1" si="410"/>
        <v>110.58618552312123</v>
      </c>
      <c r="J421">
        <f t="shared" ca="1" si="410"/>
        <v>115.98399366803854</v>
      </c>
      <c r="K421">
        <f t="shared" ref="K421:P421" ca="1" si="444">J421*EXP(($C$4-0.5*$C$5^2)*$C$10+$C$5*SQRT($C$10)*NORMINV(RAND(),0,1))</f>
        <v>106.24172284288505</v>
      </c>
      <c r="L421">
        <f t="shared" ca="1" si="444"/>
        <v>108.63008574204287</v>
      </c>
      <c r="M421">
        <f t="shared" ca="1" si="444"/>
        <v>106.96514859379019</v>
      </c>
      <c r="N421">
        <f t="shared" ca="1" si="444"/>
        <v>92.628055246979912</v>
      </c>
      <c r="O421">
        <f t="shared" ca="1" si="444"/>
        <v>86.969869680620036</v>
      </c>
      <c r="P421">
        <f t="shared" ca="1" si="444"/>
        <v>90.917386626214849</v>
      </c>
      <c r="Q421">
        <f t="shared" ca="1" si="412"/>
        <v>100.9569265363978</v>
      </c>
      <c r="R421">
        <f t="shared" ca="1" si="413"/>
        <v>0.9569265363978019</v>
      </c>
      <c r="S421">
        <f t="shared" ca="1" si="414"/>
        <v>0.93797812142915382</v>
      </c>
    </row>
    <row r="422" spans="5:19" x14ac:dyDescent="0.75">
      <c r="E422">
        <v>417</v>
      </c>
      <c r="F422">
        <v>100</v>
      </c>
      <c r="G422">
        <f t="shared" ca="1" si="410"/>
        <v>88.132029368480104</v>
      </c>
      <c r="H422">
        <f t="shared" ca="1" si="410"/>
        <v>89.75328901911989</v>
      </c>
      <c r="I422">
        <f t="shared" ca="1" si="410"/>
        <v>90.559401104269838</v>
      </c>
      <c r="J422">
        <f t="shared" ca="1" si="410"/>
        <v>80.848034987386072</v>
      </c>
      <c r="K422">
        <f t="shared" ref="K422:P422" ca="1" si="445">J422*EXP(($C$4-0.5*$C$5^2)*$C$10+$C$5*SQRT($C$10)*NORMINV(RAND(),0,1))</f>
        <v>76.887364056643875</v>
      </c>
      <c r="L422">
        <f t="shared" ca="1" si="445"/>
        <v>77.005637891488007</v>
      </c>
      <c r="M422">
        <f t="shared" ca="1" si="445"/>
        <v>81.979429590285108</v>
      </c>
      <c r="N422">
        <f t="shared" ca="1" si="445"/>
        <v>81.300488080106803</v>
      </c>
      <c r="O422">
        <f t="shared" ca="1" si="445"/>
        <v>75.942996067788002</v>
      </c>
      <c r="P422">
        <f t="shared" ca="1" si="445"/>
        <v>73.954608147496003</v>
      </c>
      <c r="Q422">
        <f t="shared" ca="1" si="412"/>
        <v>83.305752573914887</v>
      </c>
      <c r="R422">
        <f t="shared" ca="1" si="413"/>
        <v>0</v>
      </c>
      <c r="S422">
        <f t="shared" ca="1" si="414"/>
        <v>0</v>
      </c>
    </row>
    <row r="423" spans="5:19" x14ac:dyDescent="0.75">
      <c r="E423">
        <v>418</v>
      </c>
      <c r="F423">
        <v>100</v>
      </c>
      <c r="G423">
        <f t="shared" ca="1" si="410"/>
        <v>96.59550799794286</v>
      </c>
      <c r="H423">
        <f t="shared" ca="1" si="410"/>
        <v>103.31544924376318</v>
      </c>
      <c r="I423">
        <f t="shared" ca="1" si="410"/>
        <v>96.077424396061488</v>
      </c>
      <c r="J423">
        <f t="shared" ca="1" si="410"/>
        <v>99.902592014217078</v>
      </c>
      <c r="K423">
        <f t="shared" ref="K423:P423" ca="1" si="446">J423*EXP(($C$4-0.5*$C$5^2)*$C$10+$C$5*SQRT($C$10)*NORMINV(RAND(),0,1))</f>
        <v>108.90239006765923</v>
      </c>
      <c r="L423">
        <f t="shared" ca="1" si="446"/>
        <v>110.72670319806303</v>
      </c>
      <c r="M423">
        <f t="shared" ca="1" si="446"/>
        <v>107.14608401941462</v>
      </c>
      <c r="N423">
        <f t="shared" ca="1" si="446"/>
        <v>112.59358421161052</v>
      </c>
      <c r="O423">
        <f t="shared" ca="1" si="446"/>
        <v>116.45896637272621</v>
      </c>
      <c r="P423">
        <f t="shared" ca="1" si="446"/>
        <v>99.449372094394946</v>
      </c>
      <c r="Q423">
        <f t="shared" ca="1" si="412"/>
        <v>104.65164305598664</v>
      </c>
      <c r="R423">
        <f t="shared" ca="1" si="413"/>
        <v>4.6516430559866393</v>
      </c>
      <c r="S423">
        <f t="shared" ca="1" si="414"/>
        <v>4.5595343521746843</v>
      </c>
    </row>
    <row r="424" spans="5:19" x14ac:dyDescent="0.75">
      <c r="E424">
        <v>419</v>
      </c>
      <c r="F424">
        <v>100</v>
      </c>
      <c r="G424">
        <f t="shared" ca="1" si="410"/>
        <v>93.73786343248814</v>
      </c>
      <c r="H424">
        <f t="shared" ca="1" si="410"/>
        <v>96.265667486798435</v>
      </c>
      <c r="I424">
        <f t="shared" ca="1" si="410"/>
        <v>94.618552414194824</v>
      </c>
      <c r="J424">
        <f t="shared" ca="1" si="410"/>
        <v>104.14086638965347</v>
      </c>
      <c r="K424">
        <f t="shared" ref="K424:P424" ca="1" si="447">J424*EXP(($C$4-0.5*$C$5^2)*$C$10+$C$5*SQRT($C$10)*NORMINV(RAND(),0,1))</f>
        <v>109.64408318671425</v>
      </c>
      <c r="L424">
        <f t="shared" ca="1" si="447"/>
        <v>97.775487963652736</v>
      </c>
      <c r="M424">
        <f t="shared" ca="1" si="447"/>
        <v>104.99462292853315</v>
      </c>
      <c r="N424">
        <f t="shared" ca="1" si="447"/>
        <v>117.72555544600178</v>
      </c>
      <c r="O424">
        <f t="shared" ca="1" si="447"/>
        <v>109.9131396919869</v>
      </c>
      <c r="P424">
        <f t="shared" ca="1" si="447"/>
        <v>116.82286907188724</v>
      </c>
      <c r="Q424">
        <f t="shared" ca="1" si="412"/>
        <v>104.14897345562827</v>
      </c>
      <c r="R424">
        <f t="shared" ca="1" si="413"/>
        <v>4.1489734556282656</v>
      </c>
      <c r="S424">
        <f t="shared" ca="1" si="414"/>
        <v>4.0668182767917695</v>
      </c>
    </row>
    <row r="425" spans="5:19" x14ac:dyDescent="0.75">
      <c r="E425">
        <v>420</v>
      </c>
      <c r="F425">
        <v>100</v>
      </c>
      <c r="G425">
        <f t="shared" ca="1" si="410"/>
        <v>93.757597451793089</v>
      </c>
      <c r="H425">
        <f t="shared" ca="1" si="410"/>
        <v>84.18070979802232</v>
      </c>
      <c r="I425">
        <f t="shared" ca="1" si="410"/>
        <v>82.79340770448654</v>
      </c>
      <c r="J425">
        <f t="shared" ca="1" si="410"/>
        <v>76.871132751023509</v>
      </c>
      <c r="K425">
        <f t="shared" ref="K425:P425" ca="1" si="448">J425*EXP(($C$4-0.5*$C$5^2)*$C$10+$C$5*SQRT($C$10)*NORMINV(RAND(),0,1))</f>
        <v>77.333454029911834</v>
      </c>
      <c r="L425">
        <f t="shared" ca="1" si="448"/>
        <v>75.047087685423548</v>
      </c>
      <c r="M425">
        <f t="shared" ca="1" si="448"/>
        <v>78.811819671228932</v>
      </c>
      <c r="N425">
        <f t="shared" ca="1" si="448"/>
        <v>70.674773871754965</v>
      </c>
      <c r="O425">
        <f t="shared" ca="1" si="448"/>
        <v>76.161242541230635</v>
      </c>
      <c r="P425">
        <f t="shared" ca="1" si="448"/>
        <v>80.545333811588065</v>
      </c>
      <c r="Q425">
        <f t="shared" ca="1" si="412"/>
        <v>81.470596301496684</v>
      </c>
      <c r="R425">
        <f t="shared" ca="1" si="413"/>
        <v>0</v>
      </c>
      <c r="S425">
        <f t="shared" ca="1" si="414"/>
        <v>0</v>
      </c>
    </row>
    <row r="426" spans="5:19" x14ac:dyDescent="0.75">
      <c r="E426">
        <v>421</v>
      </c>
      <c r="F426">
        <v>100</v>
      </c>
      <c r="G426">
        <f t="shared" ca="1" si="410"/>
        <v>89.34113725863277</v>
      </c>
      <c r="H426">
        <f t="shared" ca="1" si="410"/>
        <v>86.990628161654286</v>
      </c>
      <c r="I426">
        <f t="shared" ca="1" si="410"/>
        <v>83.83900969110968</v>
      </c>
      <c r="J426">
        <f t="shared" ca="1" si="410"/>
        <v>87.095427873071444</v>
      </c>
      <c r="K426">
        <f t="shared" ref="K426:P426" ca="1" si="449">J426*EXP(($C$4-0.5*$C$5^2)*$C$10+$C$5*SQRT($C$10)*NORMINV(RAND(),0,1))</f>
        <v>88.050582184137284</v>
      </c>
      <c r="L426">
        <f t="shared" ca="1" si="449"/>
        <v>85.164654845388426</v>
      </c>
      <c r="M426">
        <f t="shared" ca="1" si="449"/>
        <v>74.711189685704781</v>
      </c>
      <c r="N426">
        <f t="shared" ca="1" si="449"/>
        <v>84.530819123468603</v>
      </c>
      <c r="O426">
        <f t="shared" ca="1" si="449"/>
        <v>82.810422268531511</v>
      </c>
      <c r="P426">
        <f t="shared" ca="1" si="449"/>
        <v>84.645626322842674</v>
      </c>
      <c r="Q426">
        <f t="shared" ca="1" si="412"/>
        <v>86.10722703768559</v>
      </c>
      <c r="R426">
        <f t="shared" ca="1" si="413"/>
        <v>0</v>
      </c>
      <c r="S426">
        <f t="shared" ca="1" si="414"/>
        <v>0</v>
      </c>
    </row>
    <row r="427" spans="5:19" x14ac:dyDescent="0.75">
      <c r="E427">
        <v>422</v>
      </c>
      <c r="F427">
        <v>100</v>
      </c>
      <c r="G427">
        <f t="shared" ca="1" si="410"/>
        <v>104.52526002278952</v>
      </c>
      <c r="H427">
        <f t="shared" ca="1" si="410"/>
        <v>91.514791418508722</v>
      </c>
      <c r="I427">
        <f t="shared" ca="1" si="410"/>
        <v>87.985387053945956</v>
      </c>
      <c r="J427">
        <f t="shared" ca="1" si="410"/>
        <v>97.036847034444449</v>
      </c>
      <c r="K427">
        <f t="shared" ref="K427:P427" ca="1" si="450">J427*EXP(($C$4-0.5*$C$5^2)*$C$10+$C$5*SQRT($C$10)*NORMINV(RAND(),0,1))</f>
        <v>97.977513078608979</v>
      </c>
      <c r="L427">
        <f t="shared" ca="1" si="450"/>
        <v>97.304335550785623</v>
      </c>
      <c r="M427">
        <f t="shared" ca="1" si="450"/>
        <v>95.0007662795784</v>
      </c>
      <c r="N427">
        <f t="shared" ca="1" si="450"/>
        <v>81.69182824474882</v>
      </c>
      <c r="O427">
        <f t="shared" ca="1" si="450"/>
        <v>81.910984538972158</v>
      </c>
      <c r="P427">
        <f t="shared" ca="1" si="450"/>
        <v>90.709242251665884</v>
      </c>
      <c r="Q427">
        <f t="shared" ca="1" si="412"/>
        <v>93.241541406731685</v>
      </c>
      <c r="R427">
        <f t="shared" ca="1" si="413"/>
        <v>0</v>
      </c>
      <c r="S427">
        <f t="shared" ca="1" si="414"/>
        <v>0</v>
      </c>
    </row>
    <row r="428" spans="5:19" x14ac:dyDescent="0.75">
      <c r="E428">
        <v>423</v>
      </c>
      <c r="F428">
        <v>100</v>
      </c>
      <c r="G428">
        <f t="shared" ca="1" si="410"/>
        <v>92.279658799389779</v>
      </c>
      <c r="H428">
        <f t="shared" ca="1" si="410"/>
        <v>84.671866817174006</v>
      </c>
      <c r="I428">
        <f t="shared" ca="1" si="410"/>
        <v>82.605597806006699</v>
      </c>
      <c r="J428">
        <f t="shared" ca="1" si="410"/>
        <v>83.793176030787194</v>
      </c>
      <c r="K428">
        <f t="shared" ref="K428:P428" ca="1" si="451">J428*EXP(($C$4-0.5*$C$5^2)*$C$10+$C$5*SQRT($C$10)*NORMINV(RAND(),0,1))</f>
        <v>81.541201032581057</v>
      </c>
      <c r="L428">
        <f t="shared" ca="1" si="451"/>
        <v>73.53704864177665</v>
      </c>
      <c r="M428">
        <f t="shared" ca="1" si="451"/>
        <v>68.641444877140231</v>
      </c>
      <c r="N428">
        <f t="shared" ca="1" si="451"/>
        <v>71.78547420694953</v>
      </c>
      <c r="O428">
        <f t="shared" ca="1" si="451"/>
        <v>74.059634617903768</v>
      </c>
      <c r="P428">
        <f t="shared" ca="1" si="451"/>
        <v>68.392794274470518</v>
      </c>
      <c r="Q428">
        <f t="shared" ca="1" si="412"/>
        <v>80.118899736743572</v>
      </c>
      <c r="R428">
        <f t="shared" ca="1" si="413"/>
        <v>0</v>
      </c>
      <c r="S428">
        <f t="shared" ca="1" si="414"/>
        <v>0</v>
      </c>
    </row>
    <row r="429" spans="5:19" x14ac:dyDescent="0.75">
      <c r="E429">
        <v>424</v>
      </c>
      <c r="F429">
        <v>100</v>
      </c>
      <c r="G429">
        <f t="shared" ca="1" si="410"/>
        <v>98.146739395756029</v>
      </c>
      <c r="H429">
        <f t="shared" ca="1" si="410"/>
        <v>98.298258030219486</v>
      </c>
      <c r="I429">
        <f t="shared" ca="1" si="410"/>
        <v>94.516226473771496</v>
      </c>
      <c r="J429">
        <f t="shared" ca="1" si="410"/>
        <v>100.55859322101462</v>
      </c>
      <c r="K429">
        <f t="shared" ref="K429:P429" ca="1" si="452">J429*EXP(($C$4-0.5*$C$5^2)*$C$10+$C$5*SQRT($C$10)*NORMINV(RAND(),0,1))</f>
        <v>90.055408893042923</v>
      </c>
      <c r="L429">
        <f t="shared" ca="1" si="452"/>
        <v>94.708615279335902</v>
      </c>
      <c r="M429">
        <f t="shared" ca="1" si="452"/>
        <v>93.236576123215755</v>
      </c>
      <c r="N429">
        <f t="shared" ca="1" si="452"/>
        <v>88.445706131204645</v>
      </c>
      <c r="O429">
        <f t="shared" ca="1" si="452"/>
        <v>93.871854746126573</v>
      </c>
      <c r="P429">
        <f t="shared" ca="1" si="452"/>
        <v>100.02079918264656</v>
      </c>
      <c r="Q429">
        <f t="shared" ca="1" si="412"/>
        <v>95.623525225121284</v>
      </c>
      <c r="R429">
        <f t="shared" ca="1" si="413"/>
        <v>0</v>
      </c>
      <c r="S429">
        <f t="shared" ca="1" si="414"/>
        <v>0</v>
      </c>
    </row>
    <row r="430" spans="5:19" x14ac:dyDescent="0.75">
      <c r="E430">
        <v>425</v>
      </c>
      <c r="F430">
        <v>100</v>
      </c>
      <c r="G430">
        <f t="shared" ca="1" si="410"/>
        <v>90.795512438744524</v>
      </c>
      <c r="H430">
        <f t="shared" ca="1" si="410"/>
        <v>88.217657514650341</v>
      </c>
      <c r="I430">
        <f t="shared" ca="1" si="410"/>
        <v>91.366663519540822</v>
      </c>
      <c r="J430">
        <f t="shared" ca="1" si="410"/>
        <v>95.257264577096606</v>
      </c>
      <c r="K430">
        <f t="shared" ref="K430:P430" ca="1" si="453">J430*EXP(($C$4-0.5*$C$5^2)*$C$10+$C$5*SQRT($C$10)*NORMINV(RAND(),0,1))</f>
        <v>97.367812858237698</v>
      </c>
      <c r="L430">
        <f t="shared" ca="1" si="453"/>
        <v>92.890458177855734</v>
      </c>
      <c r="M430">
        <f t="shared" ca="1" si="453"/>
        <v>95.480650694578031</v>
      </c>
      <c r="N430">
        <f t="shared" ca="1" si="453"/>
        <v>82.558422583563697</v>
      </c>
      <c r="O430">
        <f t="shared" ca="1" si="453"/>
        <v>74.751797564847152</v>
      </c>
      <c r="P430">
        <f t="shared" ca="1" si="453"/>
        <v>65.569647526309453</v>
      </c>
      <c r="Q430">
        <f t="shared" ca="1" si="412"/>
        <v>88.568717041402195</v>
      </c>
      <c r="R430">
        <f t="shared" ca="1" si="413"/>
        <v>0</v>
      </c>
      <c r="S430">
        <f t="shared" ca="1" si="414"/>
        <v>0</v>
      </c>
    </row>
    <row r="431" spans="5:19" x14ac:dyDescent="0.75">
      <c r="E431">
        <v>426</v>
      </c>
      <c r="F431">
        <v>100</v>
      </c>
      <c r="G431">
        <f t="shared" ca="1" si="410"/>
        <v>92.832628023947763</v>
      </c>
      <c r="H431">
        <f t="shared" ca="1" si="410"/>
        <v>96.978661833718661</v>
      </c>
      <c r="I431">
        <f t="shared" ca="1" si="410"/>
        <v>93.567936750289746</v>
      </c>
      <c r="J431">
        <f t="shared" ca="1" si="410"/>
        <v>93.014181017609715</v>
      </c>
      <c r="K431">
        <f t="shared" ref="K431:P431" ca="1" si="454">J431*EXP(($C$4-0.5*$C$5^2)*$C$10+$C$5*SQRT($C$10)*NORMINV(RAND(),0,1))</f>
        <v>95.957294687072832</v>
      </c>
      <c r="L431">
        <f t="shared" ca="1" si="454"/>
        <v>87.078671856649478</v>
      </c>
      <c r="M431">
        <f t="shared" ca="1" si="454"/>
        <v>81.985564004457913</v>
      </c>
      <c r="N431">
        <f t="shared" ca="1" si="454"/>
        <v>86.273257903401586</v>
      </c>
      <c r="O431">
        <f t="shared" ca="1" si="454"/>
        <v>78.647109189377261</v>
      </c>
      <c r="P431">
        <f t="shared" ca="1" si="454"/>
        <v>80.04536755436078</v>
      </c>
      <c r="Q431">
        <f t="shared" ca="1" si="412"/>
        <v>89.670970256444164</v>
      </c>
      <c r="R431">
        <f t="shared" ca="1" si="413"/>
        <v>0</v>
      </c>
      <c r="S431">
        <f t="shared" ca="1" si="414"/>
        <v>0</v>
      </c>
    </row>
    <row r="432" spans="5:19" x14ac:dyDescent="0.75">
      <c r="E432">
        <v>427</v>
      </c>
      <c r="F432">
        <v>100</v>
      </c>
      <c r="G432">
        <f t="shared" ca="1" si="410"/>
        <v>105.92436786747257</v>
      </c>
      <c r="H432">
        <f t="shared" ca="1" si="410"/>
        <v>117.83828595247742</v>
      </c>
      <c r="I432">
        <f t="shared" ca="1" si="410"/>
        <v>124.43784264895602</v>
      </c>
      <c r="J432">
        <f t="shared" ca="1" si="410"/>
        <v>119.39048339625526</v>
      </c>
      <c r="K432">
        <f t="shared" ref="K432:P432" ca="1" si="455">J432*EXP(($C$4-0.5*$C$5^2)*$C$10+$C$5*SQRT($C$10)*NORMINV(RAND(),0,1))</f>
        <v>108.04354756425317</v>
      </c>
      <c r="L432">
        <f t="shared" ca="1" si="455"/>
        <v>106.71260823682456</v>
      </c>
      <c r="M432">
        <f t="shared" ca="1" si="455"/>
        <v>109.85181314937938</v>
      </c>
      <c r="N432">
        <f t="shared" ca="1" si="455"/>
        <v>97.940144247813933</v>
      </c>
      <c r="O432">
        <f t="shared" ca="1" si="455"/>
        <v>100.82738671335069</v>
      </c>
      <c r="P432">
        <f t="shared" ca="1" si="455"/>
        <v>96.712708471169606</v>
      </c>
      <c r="Q432">
        <f t="shared" ca="1" si="412"/>
        <v>107.97083529526843</v>
      </c>
      <c r="R432">
        <f t="shared" ca="1" si="413"/>
        <v>7.9708352952684294</v>
      </c>
      <c r="S432">
        <f t="shared" ca="1" si="414"/>
        <v>7.8130021815687734</v>
      </c>
    </row>
    <row r="433" spans="5:19" x14ac:dyDescent="0.75">
      <c r="E433">
        <v>428</v>
      </c>
      <c r="F433">
        <v>100</v>
      </c>
      <c r="G433">
        <f t="shared" ca="1" si="410"/>
        <v>109.92692956318551</v>
      </c>
      <c r="H433">
        <f t="shared" ca="1" si="410"/>
        <v>99.831061442798699</v>
      </c>
      <c r="I433">
        <f t="shared" ca="1" si="410"/>
        <v>102.04070630773451</v>
      </c>
      <c r="J433">
        <f t="shared" ca="1" si="410"/>
        <v>108.76535403014883</v>
      </c>
      <c r="K433">
        <f t="shared" ref="K433:P433" ca="1" si="456">J433*EXP(($C$4-0.5*$C$5^2)*$C$10+$C$5*SQRT($C$10)*NORMINV(RAND(),0,1))</f>
        <v>113.31436124609228</v>
      </c>
      <c r="L433">
        <f t="shared" ca="1" si="456"/>
        <v>108.16659664379191</v>
      </c>
      <c r="M433">
        <f t="shared" ca="1" si="456"/>
        <v>98.266275585883193</v>
      </c>
      <c r="N433">
        <f t="shared" ca="1" si="456"/>
        <v>91.782858611029837</v>
      </c>
      <c r="O433">
        <f t="shared" ca="1" si="456"/>
        <v>89.544628551915153</v>
      </c>
      <c r="P433">
        <f t="shared" ca="1" si="456"/>
        <v>83.263820620215512</v>
      </c>
      <c r="Q433">
        <f t="shared" ca="1" si="412"/>
        <v>100.44569023661778</v>
      </c>
      <c r="R433">
        <f t="shared" ca="1" si="413"/>
        <v>0.44569023661777862</v>
      </c>
      <c r="S433">
        <f t="shared" ca="1" si="414"/>
        <v>0.43686497863852042</v>
      </c>
    </row>
    <row r="434" spans="5:19" x14ac:dyDescent="0.75">
      <c r="E434">
        <v>429</v>
      </c>
      <c r="F434">
        <v>100</v>
      </c>
      <c r="G434">
        <f t="shared" ca="1" si="410"/>
        <v>99.434415184909838</v>
      </c>
      <c r="H434">
        <f t="shared" ca="1" si="410"/>
        <v>94.363437560292823</v>
      </c>
      <c r="I434">
        <f t="shared" ca="1" si="410"/>
        <v>103.87856449585165</v>
      </c>
      <c r="J434">
        <f t="shared" ca="1" si="410"/>
        <v>105.17308544278936</v>
      </c>
      <c r="K434">
        <f t="shared" ref="K434:P434" ca="1" si="457">J434*EXP(($C$4-0.5*$C$5^2)*$C$10+$C$5*SQRT($C$10)*NORMINV(RAND(),0,1))</f>
        <v>85.955163424127747</v>
      </c>
      <c r="L434">
        <f t="shared" ca="1" si="457"/>
        <v>90.958170678185638</v>
      </c>
      <c r="M434">
        <f t="shared" ca="1" si="457"/>
        <v>90.960179199432886</v>
      </c>
      <c r="N434">
        <f t="shared" ca="1" si="457"/>
        <v>81.759583754562328</v>
      </c>
      <c r="O434">
        <f t="shared" ca="1" si="457"/>
        <v>80.650253569196153</v>
      </c>
      <c r="P434">
        <f t="shared" ca="1" si="457"/>
        <v>80.359963364698331</v>
      </c>
      <c r="Q434">
        <f t="shared" ca="1" si="412"/>
        <v>92.135710606731521</v>
      </c>
      <c r="R434">
        <f t="shared" ca="1" si="413"/>
        <v>0</v>
      </c>
      <c r="S434">
        <f t="shared" ca="1" si="414"/>
        <v>0</v>
      </c>
    </row>
    <row r="435" spans="5:19" x14ac:dyDescent="0.75">
      <c r="E435">
        <v>430</v>
      </c>
      <c r="F435">
        <v>100</v>
      </c>
      <c r="G435">
        <f t="shared" ca="1" si="410"/>
        <v>102.20671707711053</v>
      </c>
      <c r="H435">
        <f t="shared" ca="1" si="410"/>
        <v>105.12867409427014</v>
      </c>
      <c r="I435">
        <f t="shared" ca="1" si="410"/>
        <v>101.83108859902529</v>
      </c>
      <c r="J435">
        <f t="shared" ca="1" si="410"/>
        <v>101.88879583324568</v>
      </c>
      <c r="K435">
        <f t="shared" ref="K435:P435" ca="1" si="458">J435*EXP(($C$4-0.5*$C$5^2)*$C$10+$C$5*SQRT($C$10)*NORMINV(RAND(),0,1))</f>
        <v>94.618272001366762</v>
      </c>
      <c r="L435">
        <f t="shared" ca="1" si="458"/>
        <v>104.73730835823747</v>
      </c>
      <c r="M435">
        <f t="shared" ca="1" si="458"/>
        <v>100.6594072884406</v>
      </c>
      <c r="N435">
        <f t="shared" ca="1" si="458"/>
        <v>103.16107371697625</v>
      </c>
      <c r="O435">
        <f t="shared" ca="1" si="458"/>
        <v>99.116626280360052</v>
      </c>
      <c r="P435">
        <f t="shared" ca="1" si="458"/>
        <v>97.583994947955247</v>
      </c>
      <c r="Q435">
        <f t="shared" ca="1" si="412"/>
        <v>100.99381438154434</v>
      </c>
      <c r="R435">
        <f t="shared" ca="1" si="413"/>
        <v>0.99381438154433965</v>
      </c>
      <c r="S435">
        <f t="shared" ca="1" si="414"/>
        <v>0.9741355383029352</v>
      </c>
    </row>
    <row r="436" spans="5:19" x14ac:dyDescent="0.75">
      <c r="E436">
        <v>431</v>
      </c>
      <c r="F436">
        <v>100</v>
      </c>
      <c r="G436">
        <f t="shared" ca="1" si="410"/>
        <v>102.3202296786681</v>
      </c>
      <c r="H436">
        <f t="shared" ca="1" si="410"/>
        <v>110.79324321154924</v>
      </c>
      <c r="I436">
        <f t="shared" ca="1" si="410"/>
        <v>96.774698900378553</v>
      </c>
      <c r="J436">
        <f t="shared" ca="1" si="410"/>
        <v>97.482358954394215</v>
      </c>
      <c r="K436">
        <f t="shared" ref="K436:P436" ca="1" si="459">J436*EXP(($C$4-0.5*$C$5^2)*$C$10+$C$5*SQRT($C$10)*NORMINV(RAND(),0,1))</f>
        <v>108.4896639965974</v>
      </c>
      <c r="L436">
        <f t="shared" ca="1" si="459"/>
        <v>103.36874941170899</v>
      </c>
      <c r="M436">
        <f t="shared" ca="1" si="459"/>
        <v>105.748123267444</v>
      </c>
      <c r="N436">
        <f t="shared" ca="1" si="459"/>
        <v>100.97805757868832</v>
      </c>
      <c r="O436">
        <f t="shared" ca="1" si="459"/>
        <v>95.656250081112418</v>
      </c>
      <c r="P436">
        <f t="shared" ca="1" si="459"/>
        <v>111.93812829460587</v>
      </c>
      <c r="Q436">
        <f t="shared" ca="1" si="412"/>
        <v>103.04995485228611</v>
      </c>
      <c r="R436">
        <f t="shared" ca="1" si="413"/>
        <v>3.0499548522861062</v>
      </c>
      <c r="S436">
        <f t="shared" ca="1" si="414"/>
        <v>2.9895616998563419</v>
      </c>
    </row>
    <row r="437" spans="5:19" x14ac:dyDescent="0.75">
      <c r="E437">
        <v>432</v>
      </c>
      <c r="F437">
        <v>100</v>
      </c>
      <c r="G437">
        <f t="shared" ca="1" si="410"/>
        <v>103.88340257985899</v>
      </c>
      <c r="H437">
        <f t="shared" ca="1" si="410"/>
        <v>112.57582915488273</v>
      </c>
      <c r="I437">
        <f t="shared" ca="1" si="410"/>
        <v>118.48498130639365</v>
      </c>
      <c r="J437">
        <f t="shared" ca="1" si="410"/>
        <v>109.38195994402955</v>
      </c>
      <c r="K437">
        <f t="shared" ref="K437:P437" ca="1" si="460">J437*EXP(($C$4-0.5*$C$5^2)*$C$10+$C$5*SQRT($C$10)*NORMINV(RAND(),0,1))</f>
        <v>117.99501578540179</v>
      </c>
      <c r="L437">
        <f t="shared" ca="1" si="460"/>
        <v>120.56220607241215</v>
      </c>
      <c r="M437">
        <f t="shared" ca="1" si="460"/>
        <v>123.71457457529864</v>
      </c>
      <c r="N437">
        <f t="shared" ca="1" si="460"/>
        <v>126.89250554379508</v>
      </c>
      <c r="O437">
        <f t="shared" ca="1" si="460"/>
        <v>124.50383069789608</v>
      </c>
      <c r="P437">
        <f t="shared" ca="1" si="460"/>
        <v>136.12607114585654</v>
      </c>
      <c r="Q437">
        <f t="shared" ca="1" si="412"/>
        <v>117.64730698234776</v>
      </c>
      <c r="R437">
        <f t="shared" ca="1" si="413"/>
        <v>17.647306982347757</v>
      </c>
      <c r="S437">
        <f t="shared" ca="1" si="414"/>
        <v>17.297866891534309</v>
      </c>
    </row>
    <row r="438" spans="5:19" x14ac:dyDescent="0.75">
      <c r="E438">
        <v>433</v>
      </c>
      <c r="F438">
        <v>100</v>
      </c>
      <c r="G438">
        <f t="shared" ca="1" si="410"/>
        <v>95.063815795513349</v>
      </c>
      <c r="H438">
        <f t="shared" ca="1" si="410"/>
        <v>103.87422402337258</v>
      </c>
      <c r="I438">
        <f t="shared" ca="1" si="410"/>
        <v>110.00552143334797</v>
      </c>
      <c r="J438">
        <f t="shared" ca="1" si="410"/>
        <v>111.38423703450569</v>
      </c>
      <c r="K438">
        <f t="shared" ref="K438:P438" ca="1" si="461">J438*EXP(($C$4-0.5*$C$5^2)*$C$10+$C$5*SQRT($C$10)*NORMINV(RAND(),0,1))</f>
        <v>111.2932073145178</v>
      </c>
      <c r="L438">
        <f t="shared" ca="1" si="461"/>
        <v>113.89846354812045</v>
      </c>
      <c r="M438">
        <f t="shared" ca="1" si="461"/>
        <v>117.31739576211308</v>
      </c>
      <c r="N438">
        <f t="shared" ca="1" si="461"/>
        <v>123.16654747048122</v>
      </c>
      <c r="O438">
        <f t="shared" ca="1" si="461"/>
        <v>128.3217595474157</v>
      </c>
      <c r="P438">
        <f t="shared" ca="1" si="461"/>
        <v>125.13123412649698</v>
      </c>
      <c r="Q438">
        <f t="shared" ca="1" si="412"/>
        <v>112.67785509598951</v>
      </c>
      <c r="R438">
        <f t="shared" ca="1" si="413"/>
        <v>12.677855095989514</v>
      </c>
      <c r="S438">
        <f t="shared" ca="1" si="414"/>
        <v>12.426816745464208</v>
      </c>
    </row>
    <row r="439" spans="5:19" x14ac:dyDescent="0.75">
      <c r="E439">
        <v>434</v>
      </c>
      <c r="F439">
        <v>100</v>
      </c>
      <c r="G439">
        <f t="shared" ca="1" si="410"/>
        <v>99.837086519588127</v>
      </c>
      <c r="H439">
        <f t="shared" ca="1" si="410"/>
        <v>104.45871187730052</v>
      </c>
      <c r="I439">
        <f t="shared" ca="1" si="410"/>
        <v>90.878068089558397</v>
      </c>
      <c r="J439">
        <f t="shared" ca="1" si="410"/>
        <v>94.154999075589842</v>
      </c>
      <c r="K439">
        <f t="shared" ref="K439:P439" ca="1" si="462">J439*EXP(($C$4-0.5*$C$5^2)*$C$10+$C$5*SQRT($C$10)*NORMINV(RAND(),0,1))</f>
        <v>88.873075974341802</v>
      </c>
      <c r="L439">
        <f t="shared" ca="1" si="462"/>
        <v>91.613838740037068</v>
      </c>
      <c r="M439">
        <f t="shared" ca="1" si="462"/>
        <v>84.037305138912075</v>
      </c>
      <c r="N439">
        <f t="shared" ca="1" si="462"/>
        <v>75.62299913553754</v>
      </c>
      <c r="O439">
        <f t="shared" ca="1" si="462"/>
        <v>75.754441903637385</v>
      </c>
      <c r="P439">
        <f t="shared" ca="1" si="462"/>
        <v>84.049377496321597</v>
      </c>
      <c r="Q439">
        <f t="shared" ca="1" si="412"/>
        <v>89.934536722802207</v>
      </c>
      <c r="R439">
        <f t="shared" ca="1" si="413"/>
        <v>0</v>
      </c>
      <c r="S439">
        <f t="shared" ca="1" si="414"/>
        <v>0</v>
      </c>
    </row>
    <row r="440" spans="5:19" x14ac:dyDescent="0.75">
      <c r="E440">
        <v>435</v>
      </c>
      <c r="F440">
        <v>100</v>
      </c>
      <c r="G440">
        <f t="shared" ca="1" si="410"/>
        <v>98.308787836077869</v>
      </c>
      <c r="H440">
        <f t="shared" ca="1" si="410"/>
        <v>107.49783616917097</v>
      </c>
      <c r="I440">
        <f t="shared" ca="1" si="410"/>
        <v>110.1096834385623</v>
      </c>
      <c r="J440">
        <f t="shared" ca="1" si="410"/>
        <v>106.09557224924323</v>
      </c>
      <c r="K440">
        <f t="shared" ref="K440:P440" ca="1" si="463">J440*EXP(($C$4-0.5*$C$5^2)*$C$10+$C$5*SQRT($C$10)*NORMINV(RAND(),0,1))</f>
        <v>108.12146689024364</v>
      </c>
      <c r="L440">
        <f t="shared" ca="1" si="463"/>
        <v>110.26557473001317</v>
      </c>
      <c r="M440">
        <f t="shared" ca="1" si="463"/>
        <v>97.92647675051019</v>
      </c>
      <c r="N440">
        <f t="shared" ca="1" si="463"/>
        <v>105.64850101562274</v>
      </c>
      <c r="O440">
        <f t="shared" ca="1" si="463"/>
        <v>102.31682040894202</v>
      </c>
      <c r="P440">
        <f t="shared" ca="1" si="463"/>
        <v>112.47274087104063</v>
      </c>
      <c r="Q440">
        <f t="shared" ca="1" si="412"/>
        <v>105.3421327599479</v>
      </c>
      <c r="R440">
        <f t="shared" ca="1" si="413"/>
        <v>5.3421327599479014</v>
      </c>
      <c r="S440">
        <f t="shared" ca="1" si="414"/>
        <v>5.2363514439294878</v>
      </c>
    </row>
    <row r="441" spans="5:19" x14ac:dyDescent="0.75">
      <c r="E441">
        <v>436</v>
      </c>
      <c r="F441">
        <v>100</v>
      </c>
      <c r="G441">
        <f t="shared" ca="1" si="410"/>
        <v>102.48698298852574</v>
      </c>
      <c r="H441">
        <f t="shared" ca="1" si="410"/>
        <v>100.68321917780872</v>
      </c>
      <c r="I441">
        <f t="shared" ca="1" si="410"/>
        <v>87.92669491001385</v>
      </c>
      <c r="J441">
        <f t="shared" ca="1" si="410"/>
        <v>87.297867717345568</v>
      </c>
      <c r="K441">
        <f t="shared" ref="K441:P441" ca="1" si="464">J441*EXP(($C$4-0.5*$C$5^2)*$C$10+$C$5*SQRT($C$10)*NORMINV(RAND(),0,1))</f>
        <v>90.909972226982248</v>
      </c>
      <c r="L441">
        <f t="shared" ca="1" si="464"/>
        <v>102.31170912408462</v>
      </c>
      <c r="M441">
        <f t="shared" ca="1" si="464"/>
        <v>99.951702491969471</v>
      </c>
      <c r="N441">
        <f t="shared" ca="1" si="464"/>
        <v>96.234363789757936</v>
      </c>
      <c r="O441">
        <f t="shared" ca="1" si="464"/>
        <v>102.01259465330097</v>
      </c>
      <c r="P441">
        <f t="shared" ca="1" si="464"/>
        <v>115.05719452976392</v>
      </c>
      <c r="Q441">
        <f t="shared" ca="1" si="412"/>
        <v>98.62475469177754</v>
      </c>
      <c r="R441">
        <f t="shared" ca="1" si="413"/>
        <v>0</v>
      </c>
      <c r="S441">
        <f t="shared" ca="1" si="414"/>
        <v>0</v>
      </c>
    </row>
    <row r="442" spans="5:19" x14ac:dyDescent="0.75">
      <c r="E442">
        <v>437</v>
      </c>
      <c r="F442">
        <v>100</v>
      </c>
      <c r="G442">
        <f t="shared" ca="1" si="410"/>
        <v>101.93629736447818</v>
      </c>
      <c r="H442">
        <f t="shared" ca="1" si="410"/>
        <v>97.13610319653742</v>
      </c>
      <c r="I442">
        <f t="shared" ca="1" si="410"/>
        <v>93.586352509977687</v>
      </c>
      <c r="J442">
        <f t="shared" ca="1" si="410"/>
        <v>94.528942825809395</v>
      </c>
      <c r="K442">
        <f t="shared" ref="K442:P442" ca="1" si="465">J442*EXP(($C$4-0.5*$C$5^2)*$C$10+$C$5*SQRT($C$10)*NORMINV(RAND(),0,1))</f>
        <v>93.952702177404149</v>
      </c>
      <c r="L442">
        <f t="shared" ca="1" si="465"/>
        <v>93.355587132934673</v>
      </c>
      <c r="M442">
        <f t="shared" ca="1" si="465"/>
        <v>89.867124733924271</v>
      </c>
      <c r="N442">
        <f t="shared" ca="1" si="465"/>
        <v>97.287826868899927</v>
      </c>
      <c r="O442">
        <f t="shared" ca="1" si="465"/>
        <v>91.107257675071423</v>
      </c>
      <c r="P442">
        <f t="shared" ca="1" si="465"/>
        <v>97.019788410654613</v>
      </c>
      <c r="Q442">
        <f t="shared" ca="1" si="412"/>
        <v>95.434362081426528</v>
      </c>
      <c r="R442">
        <f t="shared" ca="1" si="413"/>
        <v>0</v>
      </c>
      <c r="S442">
        <f t="shared" ca="1" si="414"/>
        <v>0</v>
      </c>
    </row>
    <row r="443" spans="5:19" x14ac:dyDescent="0.75">
      <c r="E443">
        <v>438</v>
      </c>
      <c r="F443">
        <v>100</v>
      </c>
      <c r="G443">
        <f t="shared" ca="1" si="410"/>
        <v>100.69627389372098</v>
      </c>
      <c r="H443">
        <f t="shared" ca="1" si="410"/>
        <v>104.98211689498756</v>
      </c>
      <c r="I443">
        <f t="shared" ca="1" si="410"/>
        <v>96.309398905091498</v>
      </c>
      <c r="J443">
        <f t="shared" ca="1" si="410"/>
        <v>95.756637340708409</v>
      </c>
      <c r="K443">
        <f t="shared" ref="K443:P443" ca="1" si="466">J443*EXP(($C$4-0.5*$C$5^2)*$C$10+$C$5*SQRT($C$10)*NORMINV(RAND(),0,1))</f>
        <v>98.909028301730459</v>
      </c>
      <c r="L443">
        <f t="shared" ca="1" si="466"/>
        <v>107.82658289677087</v>
      </c>
      <c r="M443">
        <f t="shared" ca="1" si="466"/>
        <v>104.59224047909937</v>
      </c>
      <c r="N443">
        <f t="shared" ca="1" si="466"/>
        <v>97.952319725388449</v>
      </c>
      <c r="O443">
        <f t="shared" ca="1" si="466"/>
        <v>100.61718683537089</v>
      </c>
      <c r="P443">
        <f t="shared" ca="1" si="466"/>
        <v>103.12408482913011</v>
      </c>
      <c r="Q443">
        <f t="shared" ca="1" si="412"/>
        <v>100.97871546381806</v>
      </c>
      <c r="R443">
        <f t="shared" ca="1" si="413"/>
        <v>0.9787154638180624</v>
      </c>
      <c r="S443">
        <f t="shared" ca="1" si="414"/>
        <v>0.95933559917927036</v>
      </c>
    </row>
    <row r="444" spans="5:19" x14ac:dyDescent="0.75">
      <c r="E444">
        <v>439</v>
      </c>
      <c r="F444">
        <v>100</v>
      </c>
      <c r="G444">
        <f t="shared" ca="1" si="410"/>
        <v>99.179557483469111</v>
      </c>
      <c r="H444">
        <f t="shared" ca="1" si="410"/>
        <v>98.290858804091883</v>
      </c>
      <c r="I444">
        <f t="shared" ca="1" si="410"/>
        <v>96.526578841052114</v>
      </c>
      <c r="J444">
        <f t="shared" ca="1" si="410"/>
        <v>91.843298732238253</v>
      </c>
      <c r="K444">
        <f t="shared" ref="K444:P444" ca="1" si="467">J444*EXP(($C$4-0.5*$C$5^2)*$C$10+$C$5*SQRT($C$10)*NORMINV(RAND(),0,1))</f>
        <v>91.86549923971495</v>
      </c>
      <c r="L444">
        <f t="shared" ca="1" si="467"/>
        <v>91.248783130044444</v>
      </c>
      <c r="M444">
        <f t="shared" ca="1" si="467"/>
        <v>98.945561492176253</v>
      </c>
      <c r="N444">
        <f t="shared" ca="1" si="467"/>
        <v>95.87190391780058</v>
      </c>
      <c r="O444">
        <f t="shared" ca="1" si="467"/>
        <v>93.487469472000882</v>
      </c>
      <c r="P444">
        <f t="shared" ca="1" si="467"/>
        <v>93.985059363328332</v>
      </c>
      <c r="Q444">
        <f t="shared" ca="1" si="412"/>
        <v>95.56768822508333</v>
      </c>
      <c r="R444">
        <f t="shared" ca="1" si="413"/>
        <v>0</v>
      </c>
      <c r="S444">
        <f t="shared" ca="1" si="414"/>
        <v>0</v>
      </c>
    </row>
    <row r="445" spans="5:19" x14ac:dyDescent="0.75">
      <c r="E445">
        <v>440</v>
      </c>
      <c r="F445">
        <v>100</v>
      </c>
      <c r="G445">
        <f t="shared" ca="1" si="410"/>
        <v>97.427599354971818</v>
      </c>
      <c r="H445">
        <f t="shared" ca="1" si="410"/>
        <v>97.464860619756635</v>
      </c>
      <c r="I445">
        <f t="shared" ca="1" si="410"/>
        <v>98.223340949541011</v>
      </c>
      <c r="J445">
        <f t="shared" ca="1" si="410"/>
        <v>99.905987178170776</v>
      </c>
      <c r="K445">
        <f t="shared" ref="K445:P445" ca="1" si="468">J445*EXP(($C$4-0.5*$C$5^2)*$C$10+$C$5*SQRT($C$10)*NORMINV(RAND(),0,1))</f>
        <v>97.739236399624531</v>
      </c>
      <c r="L445">
        <f t="shared" ca="1" si="468"/>
        <v>95.780890634003995</v>
      </c>
      <c r="M445">
        <f t="shared" ca="1" si="468"/>
        <v>94.324185695039148</v>
      </c>
      <c r="N445">
        <f t="shared" ca="1" si="468"/>
        <v>95.569948905716558</v>
      </c>
      <c r="O445">
        <f t="shared" ca="1" si="468"/>
        <v>94.119656420217723</v>
      </c>
      <c r="P445">
        <f t="shared" ca="1" si="468"/>
        <v>96.952225823790499</v>
      </c>
      <c r="Q445">
        <f t="shared" ca="1" si="412"/>
        <v>97.046175634621164</v>
      </c>
      <c r="R445">
        <f t="shared" ca="1" si="413"/>
        <v>0</v>
      </c>
      <c r="S445">
        <f t="shared" ca="1" si="414"/>
        <v>0</v>
      </c>
    </row>
    <row r="446" spans="5:19" x14ac:dyDescent="0.75">
      <c r="E446">
        <v>441</v>
      </c>
      <c r="F446">
        <v>100</v>
      </c>
      <c r="G446">
        <f t="shared" ca="1" si="410"/>
        <v>101.20610182026314</v>
      </c>
      <c r="H446">
        <f t="shared" ca="1" si="410"/>
        <v>86.478272480294393</v>
      </c>
      <c r="I446">
        <f t="shared" ca="1" si="410"/>
        <v>76.953292370857284</v>
      </c>
      <c r="J446">
        <f t="shared" ca="1" si="410"/>
        <v>68.39103204138739</v>
      </c>
      <c r="K446">
        <f t="shared" ref="K446:P446" ca="1" si="469">J446*EXP(($C$4-0.5*$C$5^2)*$C$10+$C$5*SQRT($C$10)*NORMINV(RAND(),0,1))</f>
        <v>65.55963142303888</v>
      </c>
      <c r="L446">
        <f t="shared" ca="1" si="469"/>
        <v>59.651662066530889</v>
      </c>
      <c r="M446">
        <f t="shared" ca="1" si="469"/>
        <v>55.44262428768134</v>
      </c>
      <c r="N446">
        <f t="shared" ca="1" si="469"/>
        <v>57.446856824023769</v>
      </c>
      <c r="O446">
        <f t="shared" ca="1" si="469"/>
        <v>53.2903431666413</v>
      </c>
      <c r="P446">
        <f t="shared" ca="1" si="469"/>
        <v>51.229828364586851</v>
      </c>
      <c r="Q446">
        <f t="shared" ca="1" si="412"/>
        <v>70.513604076845937</v>
      </c>
      <c r="R446">
        <f t="shared" ca="1" si="413"/>
        <v>0</v>
      </c>
      <c r="S446">
        <f t="shared" ca="1" si="414"/>
        <v>0</v>
      </c>
    </row>
    <row r="447" spans="5:19" x14ac:dyDescent="0.75">
      <c r="E447">
        <v>442</v>
      </c>
      <c r="F447">
        <v>100</v>
      </c>
      <c r="G447">
        <f t="shared" ca="1" si="410"/>
        <v>98.620308785668556</v>
      </c>
      <c r="H447">
        <f t="shared" ca="1" si="410"/>
        <v>95.097866554685183</v>
      </c>
      <c r="I447">
        <f t="shared" ca="1" si="410"/>
        <v>104.4342163254577</v>
      </c>
      <c r="J447">
        <f t="shared" ca="1" si="410"/>
        <v>100.71717714519333</v>
      </c>
      <c r="K447">
        <f t="shared" ref="K447:P447" ca="1" si="470">J447*EXP(($C$4-0.5*$C$5^2)*$C$10+$C$5*SQRT($C$10)*NORMINV(RAND(),0,1))</f>
        <v>96.794522479658355</v>
      </c>
      <c r="L447">
        <f t="shared" ca="1" si="470"/>
        <v>99.607796761247968</v>
      </c>
      <c r="M447">
        <f t="shared" ca="1" si="470"/>
        <v>95.012512875072616</v>
      </c>
      <c r="N447">
        <f t="shared" ca="1" si="470"/>
        <v>87.12857833902612</v>
      </c>
      <c r="O447">
        <f t="shared" ca="1" si="470"/>
        <v>96.335455272657114</v>
      </c>
      <c r="P447">
        <f t="shared" ca="1" si="470"/>
        <v>86.434855773205669</v>
      </c>
      <c r="Q447">
        <f t="shared" ca="1" si="412"/>
        <v>96.380299119261153</v>
      </c>
      <c r="R447">
        <f t="shared" ca="1" si="413"/>
        <v>0</v>
      </c>
      <c r="S447">
        <f t="shared" ca="1" si="414"/>
        <v>0</v>
      </c>
    </row>
    <row r="448" spans="5:19" x14ac:dyDescent="0.75">
      <c r="E448">
        <v>443</v>
      </c>
      <c r="F448">
        <v>100</v>
      </c>
      <c r="G448">
        <f t="shared" ca="1" si="410"/>
        <v>98.035759625752846</v>
      </c>
      <c r="H448">
        <f t="shared" ca="1" si="410"/>
        <v>92.760919400394059</v>
      </c>
      <c r="I448">
        <f t="shared" ca="1" si="410"/>
        <v>89.203982237136643</v>
      </c>
      <c r="J448">
        <f t="shared" ca="1" si="410"/>
        <v>92.130643425031337</v>
      </c>
      <c r="K448">
        <f t="shared" ref="K448:P448" ca="1" si="471">J448*EXP(($C$4-0.5*$C$5^2)*$C$10+$C$5*SQRT($C$10)*NORMINV(RAND(),0,1))</f>
        <v>95.567314684185206</v>
      </c>
      <c r="L448">
        <f t="shared" ca="1" si="471"/>
        <v>101.74921509372867</v>
      </c>
      <c r="M448">
        <f t="shared" ca="1" si="471"/>
        <v>95.446443640569598</v>
      </c>
      <c r="N448">
        <f t="shared" ca="1" si="471"/>
        <v>95.696944523340548</v>
      </c>
      <c r="O448">
        <f t="shared" ca="1" si="471"/>
        <v>97.824227245045904</v>
      </c>
      <c r="P448">
        <f t="shared" ca="1" si="471"/>
        <v>105.6087003565994</v>
      </c>
      <c r="Q448">
        <f t="shared" ca="1" si="412"/>
        <v>96.729468202889478</v>
      </c>
      <c r="R448">
        <f t="shared" ca="1" si="413"/>
        <v>0</v>
      </c>
      <c r="S448">
        <f t="shared" ca="1" si="414"/>
        <v>0</v>
      </c>
    </row>
    <row r="449" spans="5:19" x14ac:dyDescent="0.75">
      <c r="E449">
        <v>444</v>
      </c>
      <c r="F449">
        <v>100</v>
      </c>
      <c r="G449">
        <f t="shared" ca="1" si="410"/>
        <v>109.34623048901125</v>
      </c>
      <c r="H449">
        <f t="shared" ca="1" si="410"/>
        <v>113.14721391712665</v>
      </c>
      <c r="I449">
        <f t="shared" ca="1" si="410"/>
        <v>121.04529896139763</v>
      </c>
      <c r="J449">
        <f t="shared" ca="1" si="410"/>
        <v>117.96826372634625</v>
      </c>
      <c r="K449">
        <f t="shared" ref="K449:P449" ca="1" si="472">J449*EXP(($C$4-0.5*$C$5^2)*$C$10+$C$5*SQRT($C$10)*NORMINV(RAND(),0,1))</f>
        <v>108.96297437618571</v>
      </c>
      <c r="L449">
        <f t="shared" ca="1" si="472"/>
        <v>98.258755316149291</v>
      </c>
      <c r="M449">
        <f t="shared" ca="1" si="472"/>
        <v>94.3521390462395</v>
      </c>
      <c r="N449">
        <f t="shared" ca="1" si="472"/>
        <v>80.974784060398989</v>
      </c>
      <c r="O449">
        <f t="shared" ca="1" si="472"/>
        <v>78.824181184357201</v>
      </c>
      <c r="P449">
        <f t="shared" ca="1" si="472"/>
        <v>80.826086981678543</v>
      </c>
      <c r="Q449">
        <f t="shared" ca="1" si="412"/>
        <v>100.33690255080828</v>
      </c>
      <c r="R449">
        <f t="shared" ca="1" si="413"/>
        <v>0.33690255080827569</v>
      </c>
      <c r="S449">
        <f t="shared" ca="1" si="414"/>
        <v>0.33023143333593352</v>
      </c>
    </row>
    <row r="450" spans="5:19" x14ac:dyDescent="0.75">
      <c r="E450">
        <v>445</v>
      </c>
      <c r="F450">
        <v>100</v>
      </c>
      <c r="G450">
        <f t="shared" ca="1" si="410"/>
        <v>95.973622963675425</v>
      </c>
      <c r="H450">
        <f t="shared" ca="1" si="410"/>
        <v>112.82133450516693</v>
      </c>
      <c r="I450">
        <f t="shared" ca="1" si="410"/>
        <v>106.38550906711291</v>
      </c>
      <c r="J450">
        <f t="shared" ca="1" si="410"/>
        <v>104.30813955445707</v>
      </c>
      <c r="K450">
        <f t="shared" ref="K450:P450" ca="1" si="473">J450*EXP(($C$4-0.5*$C$5^2)*$C$10+$C$5*SQRT($C$10)*NORMINV(RAND(),0,1))</f>
        <v>105.41248167060689</v>
      </c>
      <c r="L450">
        <f t="shared" ca="1" si="473"/>
        <v>108.51809506882292</v>
      </c>
      <c r="M450">
        <f t="shared" ca="1" si="473"/>
        <v>106.25622033096862</v>
      </c>
      <c r="N450">
        <f t="shared" ca="1" si="473"/>
        <v>107.80015085755049</v>
      </c>
      <c r="O450">
        <f t="shared" ca="1" si="473"/>
        <v>119.00148374994998</v>
      </c>
      <c r="P450">
        <f t="shared" ca="1" si="473"/>
        <v>124.11890624222154</v>
      </c>
      <c r="Q450">
        <f t="shared" ca="1" si="412"/>
        <v>108.23599491004843</v>
      </c>
      <c r="R450">
        <f t="shared" ca="1" si="413"/>
        <v>8.2359949100484329</v>
      </c>
      <c r="S450">
        <f t="shared" ca="1" si="414"/>
        <v>8.0729112841906634</v>
      </c>
    </row>
    <row r="451" spans="5:19" x14ac:dyDescent="0.75">
      <c r="E451">
        <v>446</v>
      </c>
      <c r="F451">
        <v>100</v>
      </c>
      <c r="G451">
        <f t="shared" ca="1" si="410"/>
        <v>102.16433248610022</v>
      </c>
      <c r="H451">
        <f t="shared" ca="1" si="410"/>
        <v>113.77650155850186</v>
      </c>
      <c r="I451">
        <f t="shared" ca="1" si="410"/>
        <v>113.13256438791493</v>
      </c>
      <c r="J451">
        <f t="shared" ca="1" si="410"/>
        <v>110.74054903030427</v>
      </c>
      <c r="K451">
        <f t="shared" ref="K451:P451" ca="1" si="474">J451*EXP(($C$4-0.5*$C$5^2)*$C$10+$C$5*SQRT($C$10)*NORMINV(RAND(),0,1))</f>
        <v>110.93843587078845</v>
      </c>
      <c r="L451">
        <f t="shared" ca="1" si="474"/>
        <v>109.78774300905491</v>
      </c>
      <c r="M451">
        <f t="shared" ca="1" si="474"/>
        <v>117.16441343932421</v>
      </c>
      <c r="N451">
        <f t="shared" ca="1" si="474"/>
        <v>109.79834864032112</v>
      </c>
      <c r="O451">
        <f t="shared" ca="1" si="474"/>
        <v>128.24082792954692</v>
      </c>
      <c r="P451">
        <f t="shared" ca="1" si="474"/>
        <v>123.18832218393275</v>
      </c>
      <c r="Q451">
        <f t="shared" ca="1" si="412"/>
        <v>112.63018532143542</v>
      </c>
      <c r="R451">
        <f t="shared" ca="1" si="413"/>
        <v>12.63018532143542</v>
      </c>
      <c r="S451">
        <f t="shared" ca="1" si="414"/>
        <v>12.380090895689452</v>
      </c>
    </row>
    <row r="452" spans="5:19" x14ac:dyDescent="0.75">
      <c r="E452">
        <v>447</v>
      </c>
      <c r="F452">
        <v>100</v>
      </c>
      <c r="G452">
        <f t="shared" ca="1" si="410"/>
        <v>100.23773744496407</v>
      </c>
      <c r="H452">
        <f t="shared" ca="1" si="410"/>
        <v>98.776780394265714</v>
      </c>
      <c r="I452">
        <f t="shared" ca="1" si="410"/>
        <v>98.124486084661854</v>
      </c>
      <c r="J452">
        <f t="shared" ca="1" si="410"/>
        <v>93.248511258719915</v>
      </c>
      <c r="K452">
        <f t="shared" ref="K452:P452" ca="1" si="475">J452*EXP(($C$4-0.5*$C$5^2)*$C$10+$C$5*SQRT($C$10)*NORMINV(RAND(),0,1))</f>
        <v>98.075230942392068</v>
      </c>
      <c r="L452">
        <f t="shared" ca="1" si="475"/>
        <v>104.85701974483545</v>
      </c>
      <c r="M452">
        <f t="shared" ca="1" si="475"/>
        <v>100.35864549268808</v>
      </c>
      <c r="N452">
        <f t="shared" ca="1" si="475"/>
        <v>98.170235767533526</v>
      </c>
      <c r="O452">
        <f t="shared" ca="1" si="475"/>
        <v>93.55655629411855</v>
      </c>
      <c r="P452">
        <f t="shared" ca="1" si="475"/>
        <v>97.003199484641399</v>
      </c>
      <c r="Q452">
        <f t="shared" ca="1" si="412"/>
        <v>98.400763900801863</v>
      </c>
      <c r="R452">
        <f t="shared" ca="1" si="413"/>
        <v>0</v>
      </c>
      <c r="S452">
        <f t="shared" ca="1" si="414"/>
        <v>0</v>
      </c>
    </row>
    <row r="453" spans="5:19" x14ac:dyDescent="0.75">
      <c r="E453">
        <v>448</v>
      </c>
      <c r="F453">
        <v>100</v>
      </c>
      <c r="G453">
        <f t="shared" ca="1" si="410"/>
        <v>102.41750260297182</v>
      </c>
      <c r="H453">
        <f t="shared" ca="1" si="410"/>
        <v>99.092346092117225</v>
      </c>
      <c r="I453">
        <f t="shared" ca="1" si="410"/>
        <v>95.484398223062925</v>
      </c>
      <c r="J453">
        <f t="shared" ca="1" si="410"/>
        <v>97.392838694277913</v>
      </c>
      <c r="K453">
        <f t="shared" ref="K453:P453" ca="1" si="476">J453*EXP(($C$4-0.5*$C$5^2)*$C$10+$C$5*SQRT($C$10)*NORMINV(RAND(),0,1))</f>
        <v>94.312799603328031</v>
      </c>
      <c r="L453">
        <f t="shared" ca="1" si="476"/>
        <v>92.876517621867166</v>
      </c>
      <c r="M453">
        <f t="shared" ca="1" si="476"/>
        <v>91.399178309466436</v>
      </c>
      <c r="N453">
        <f t="shared" ca="1" si="476"/>
        <v>102.89518009285497</v>
      </c>
      <c r="O453">
        <f t="shared" ca="1" si="476"/>
        <v>108.04517613154972</v>
      </c>
      <c r="P453">
        <f t="shared" ca="1" si="476"/>
        <v>108.52722325200196</v>
      </c>
      <c r="Q453">
        <f t="shared" ca="1" si="412"/>
        <v>99.313014602136178</v>
      </c>
      <c r="R453">
        <f t="shared" ca="1" si="413"/>
        <v>0</v>
      </c>
      <c r="S453">
        <f t="shared" ca="1" si="414"/>
        <v>0</v>
      </c>
    </row>
    <row r="454" spans="5:19" x14ac:dyDescent="0.75">
      <c r="E454">
        <v>449</v>
      </c>
      <c r="F454">
        <v>100</v>
      </c>
      <c r="G454">
        <f t="shared" ca="1" si="410"/>
        <v>111.80989931692638</v>
      </c>
      <c r="H454">
        <f t="shared" ca="1" si="410"/>
        <v>111.80384722280345</v>
      </c>
      <c r="I454">
        <f t="shared" ca="1" si="410"/>
        <v>129.8465805384258</v>
      </c>
      <c r="J454">
        <f t="shared" ref="J454:P454" ca="1" si="477">I454*EXP(($C$4-0.5*$C$5^2)*$C$10+$C$5*SQRT($C$10)*NORMINV(RAND(),0,1))</f>
        <v>123.93050632856028</v>
      </c>
      <c r="K454">
        <f t="shared" ca="1" si="477"/>
        <v>114.46210649350094</v>
      </c>
      <c r="L454">
        <f t="shared" ca="1" si="477"/>
        <v>120.18440731170011</v>
      </c>
      <c r="M454">
        <f t="shared" ca="1" si="477"/>
        <v>134.47454677371894</v>
      </c>
      <c r="N454">
        <f t="shared" ca="1" si="477"/>
        <v>139.00228470986801</v>
      </c>
      <c r="O454">
        <f t="shared" ca="1" si="477"/>
        <v>152.39122305595242</v>
      </c>
      <c r="P454">
        <f t="shared" ca="1" si="477"/>
        <v>159.86009157203571</v>
      </c>
      <c r="Q454">
        <f t="shared" ca="1" si="412"/>
        <v>127.06959030213565</v>
      </c>
      <c r="R454">
        <f t="shared" ca="1" si="413"/>
        <v>27.069590302135651</v>
      </c>
      <c r="S454">
        <f t="shared" ca="1" si="414"/>
        <v>26.533576501110772</v>
      </c>
    </row>
    <row r="455" spans="5:19" x14ac:dyDescent="0.75">
      <c r="E455">
        <v>450</v>
      </c>
      <c r="F455">
        <v>100</v>
      </c>
      <c r="G455">
        <f t="shared" ref="G455:J518" ca="1" si="478">F455*EXP(($C$4-0.5*$C$5^2)*$C$10+$C$5*SQRT($C$10)*NORMINV(RAND(),0,1))</f>
        <v>99.030532060571886</v>
      </c>
      <c r="H455">
        <f t="shared" ca="1" si="478"/>
        <v>106.20196230301202</v>
      </c>
      <c r="I455">
        <f t="shared" ca="1" si="478"/>
        <v>111.98630738011076</v>
      </c>
      <c r="J455">
        <f t="shared" ca="1" si="478"/>
        <v>115.01555115499582</v>
      </c>
      <c r="K455">
        <f t="shared" ref="K455:P455" ca="1" si="479">J455*EXP(($C$4-0.5*$C$5^2)*$C$10+$C$5*SQRT($C$10)*NORMINV(RAND(),0,1))</f>
        <v>116.11001489997862</v>
      </c>
      <c r="L455">
        <f t="shared" ca="1" si="479"/>
        <v>110.67799045186609</v>
      </c>
      <c r="M455">
        <f t="shared" ca="1" si="479"/>
        <v>111.98913899805984</v>
      </c>
      <c r="N455">
        <f t="shared" ca="1" si="479"/>
        <v>108.22720607346308</v>
      </c>
      <c r="O455">
        <f t="shared" ca="1" si="479"/>
        <v>113.59774603107027</v>
      </c>
      <c r="P455">
        <f t="shared" ca="1" si="479"/>
        <v>101.54675098911976</v>
      </c>
      <c r="Q455">
        <f t="shared" ref="Q455:Q518" ca="1" si="480">AVERAGE(F455:P455)</f>
        <v>108.58029094020439</v>
      </c>
      <c r="R455">
        <f t="shared" ref="R455:R518" ca="1" si="481">MAX(Q455-$C$7,0)</f>
        <v>8.5802909402043923</v>
      </c>
      <c r="S455">
        <f t="shared" ref="S455:S518" ca="1" si="482">EXP(-$C$4*$C$6)*R455</f>
        <v>8.4103897961743161</v>
      </c>
    </row>
    <row r="456" spans="5:19" x14ac:dyDescent="0.75">
      <c r="E456">
        <v>451</v>
      </c>
      <c r="F456">
        <v>100</v>
      </c>
      <c r="G456">
        <f t="shared" ca="1" si="478"/>
        <v>97.146794303350447</v>
      </c>
      <c r="H456">
        <f t="shared" ca="1" si="478"/>
        <v>93.891208742156564</v>
      </c>
      <c r="I456">
        <f t="shared" ca="1" si="478"/>
        <v>94.32807293083647</v>
      </c>
      <c r="J456">
        <f t="shared" ca="1" si="478"/>
        <v>92.937079356199519</v>
      </c>
      <c r="K456">
        <f t="shared" ref="K456:P456" ca="1" si="483">J456*EXP(($C$4-0.5*$C$5^2)*$C$10+$C$5*SQRT($C$10)*NORMINV(RAND(),0,1))</f>
        <v>94.811022366597413</v>
      </c>
      <c r="L456">
        <f t="shared" ca="1" si="483"/>
        <v>100.64371554247305</v>
      </c>
      <c r="M456">
        <f t="shared" ca="1" si="483"/>
        <v>108.02324635968195</v>
      </c>
      <c r="N456">
        <f t="shared" ca="1" si="483"/>
        <v>98.772754339663507</v>
      </c>
      <c r="O456">
        <f t="shared" ca="1" si="483"/>
        <v>105.71712736561339</v>
      </c>
      <c r="P456">
        <f t="shared" ca="1" si="483"/>
        <v>100.0698561200429</v>
      </c>
      <c r="Q456">
        <f t="shared" ca="1" si="480"/>
        <v>98.758261584237744</v>
      </c>
      <c r="R456">
        <f t="shared" ca="1" si="481"/>
        <v>0</v>
      </c>
      <c r="S456">
        <f t="shared" ca="1" si="482"/>
        <v>0</v>
      </c>
    </row>
    <row r="457" spans="5:19" x14ac:dyDescent="0.75">
      <c r="E457">
        <v>452</v>
      </c>
      <c r="F457">
        <v>100</v>
      </c>
      <c r="G457">
        <f t="shared" ca="1" si="478"/>
        <v>111.33136514904936</v>
      </c>
      <c r="H457">
        <f t="shared" ca="1" si="478"/>
        <v>108.05901910090108</v>
      </c>
      <c r="I457">
        <f t="shared" ca="1" si="478"/>
        <v>102.45084981832524</v>
      </c>
      <c r="J457">
        <f t="shared" ca="1" si="478"/>
        <v>99.123612543003063</v>
      </c>
      <c r="K457">
        <f t="shared" ref="K457:P457" ca="1" si="484">J457*EXP(($C$4-0.5*$C$5^2)*$C$10+$C$5*SQRT($C$10)*NORMINV(RAND(),0,1))</f>
        <v>99.015081030409945</v>
      </c>
      <c r="L457">
        <f t="shared" ca="1" si="484"/>
        <v>103.87858647604581</v>
      </c>
      <c r="M457">
        <f t="shared" ca="1" si="484"/>
        <v>102.83840448499649</v>
      </c>
      <c r="N457">
        <f t="shared" ca="1" si="484"/>
        <v>94.919406852913568</v>
      </c>
      <c r="O457">
        <f t="shared" ca="1" si="484"/>
        <v>94.705205187909471</v>
      </c>
      <c r="P457">
        <f t="shared" ca="1" si="484"/>
        <v>93.063183326964904</v>
      </c>
      <c r="Q457">
        <f t="shared" ca="1" si="480"/>
        <v>100.85315581550172</v>
      </c>
      <c r="R457">
        <f t="shared" ca="1" si="481"/>
        <v>0.85315581550172226</v>
      </c>
      <c r="S457">
        <f t="shared" ca="1" si="482"/>
        <v>0.83626219847873107</v>
      </c>
    </row>
    <row r="458" spans="5:19" x14ac:dyDescent="0.75">
      <c r="E458">
        <v>453</v>
      </c>
      <c r="F458">
        <v>100</v>
      </c>
      <c r="G458">
        <f t="shared" ca="1" si="478"/>
        <v>102.80658692941125</v>
      </c>
      <c r="H458">
        <f t="shared" ca="1" si="478"/>
        <v>104.00627515290824</v>
      </c>
      <c r="I458">
        <f t="shared" ca="1" si="478"/>
        <v>117.76413730351426</v>
      </c>
      <c r="J458">
        <f t="shared" ca="1" si="478"/>
        <v>120.44519850629649</v>
      </c>
      <c r="K458">
        <f t="shared" ref="K458:P458" ca="1" si="485">J458*EXP(($C$4-0.5*$C$5^2)*$C$10+$C$5*SQRT($C$10)*NORMINV(RAND(),0,1))</f>
        <v>108.98904146930377</v>
      </c>
      <c r="L458">
        <f t="shared" ca="1" si="485"/>
        <v>111.30933167510699</v>
      </c>
      <c r="M458">
        <f t="shared" ca="1" si="485"/>
        <v>108.48904973699617</v>
      </c>
      <c r="N458">
        <f t="shared" ca="1" si="485"/>
        <v>102.96865986175196</v>
      </c>
      <c r="O458">
        <f t="shared" ca="1" si="485"/>
        <v>116.21405390398843</v>
      </c>
      <c r="P458">
        <f t="shared" ca="1" si="485"/>
        <v>114.99924081676126</v>
      </c>
      <c r="Q458">
        <f t="shared" ca="1" si="480"/>
        <v>109.81741594145809</v>
      </c>
      <c r="R458">
        <f t="shared" ca="1" si="481"/>
        <v>9.8174159414580942</v>
      </c>
      <c r="S458">
        <f t="shared" ca="1" si="482"/>
        <v>9.623018081117813</v>
      </c>
    </row>
    <row r="459" spans="5:19" x14ac:dyDescent="0.75">
      <c r="E459">
        <v>454</v>
      </c>
      <c r="F459">
        <v>100</v>
      </c>
      <c r="G459">
        <f t="shared" ca="1" si="478"/>
        <v>87.320984533044879</v>
      </c>
      <c r="H459">
        <f t="shared" ca="1" si="478"/>
        <v>85.099156608117013</v>
      </c>
      <c r="I459">
        <f t="shared" ca="1" si="478"/>
        <v>86.617342027638344</v>
      </c>
      <c r="J459">
        <f t="shared" ca="1" si="478"/>
        <v>82.079373257654012</v>
      </c>
      <c r="K459">
        <f t="shared" ref="K459:P459" ca="1" si="486">J459*EXP(($C$4-0.5*$C$5^2)*$C$10+$C$5*SQRT($C$10)*NORMINV(RAND(),0,1))</f>
        <v>89.664845658492695</v>
      </c>
      <c r="L459">
        <f t="shared" ca="1" si="486"/>
        <v>98.062842049149978</v>
      </c>
      <c r="M459">
        <f t="shared" ca="1" si="486"/>
        <v>100.95614614106725</v>
      </c>
      <c r="N459">
        <f t="shared" ca="1" si="486"/>
        <v>112.36090408723281</v>
      </c>
      <c r="O459">
        <f t="shared" ca="1" si="486"/>
        <v>121.50365420507997</v>
      </c>
      <c r="P459">
        <f t="shared" ca="1" si="486"/>
        <v>115.50013607332633</v>
      </c>
      <c r="Q459">
        <f t="shared" ca="1" si="480"/>
        <v>98.105944058254849</v>
      </c>
      <c r="R459">
        <f t="shared" ca="1" si="481"/>
        <v>0</v>
      </c>
      <c r="S459">
        <f t="shared" ca="1" si="482"/>
        <v>0</v>
      </c>
    </row>
    <row r="460" spans="5:19" x14ac:dyDescent="0.75">
      <c r="E460">
        <v>455</v>
      </c>
      <c r="F460">
        <v>100</v>
      </c>
      <c r="G460">
        <f t="shared" ca="1" si="478"/>
        <v>99.036415291946923</v>
      </c>
      <c r="H460">
        <f t="shared" ca="1" si="478"/>
        <v>98.35479749165998</v>
      </c>
      <c r="I460">
        <f t="shared" ca="1" si="478"/>
        <v>86.561606809594721</v>
      </c>
      <c r="J460">
        <f t="shared" ca="1" si="478"/>
        <v>95.24087337886165</v>
      </c>
      <c r="K460">
        <f t="shared" ref="K460:P460" ca="1" si="487">J460*EXP(($C$4-0.5*$C$5^2)*$C$10+$C$5*SQRT($C$10)*NORMINV(RAND(),0,1))</f>
        <v>99.501746413291187</v>
      </c>
      <c r="L460">
        <f t="shared" ca="1" si="487"/>
        <v>102.50979702116969</v>
      </c>
      <c r="M460">
        <f t="shared" ca="1" si="487"/>
        <v>107.67180177478652</v>
      </c>
      <c r="N460">
        <f t="shared" ca="1" si="487"/>
        <v>108.18207502989128</v>
      </c>
      <c r="O460">
        <f t="shared" ca="1" si="487"/>
        <v>105.53490182641274</v>
      </c>
      <c r="P460">
        <f t="shared" ca="1" si="487"/>
        <v>111.97982751321359</v>
      </c>
      <c r="Q460">
        <f t="shared" ca="1" si="480"/>
        <v>101.32489477734802</v>
      </c>
      <c r="R460">
        <f t="shared" ca="1" si="481"/>
        <v>1.3248947773480211</v>
      </c>
      <c r="S460">
        <f t="shared" ca="1" si="482"/>
        <v>1.2986601030275791</v>
      </c>
    </row>
    <row r="461" spans="5:19" x14ac:dyDescent="0.75">
      <c r="E461">
        <v>456</v>
      </c>
      <c r="F461">
        <v>100</v>
      </c>
      <c r="G461">
        <f t="shared" ca="1" si="478"/>
        <v>101.22936047711491</v>
      </c>
      <c r="H461">
        <f t="shared" ca="1" si="478"/>
        <v>101.20144089309315</v>
      </c>
      <c r="I461">
        <f t="shared" ca="1" si="478"/>
        <v>111.61859989790007</v>
      </c>
      <c r="J461">
        <f t="shared" ca="1" si="478"/>
        <v>116.96799676767633</v>
      </c>
      <c r="K461">
        <f t="shared" ref="K461:P461" ca="1" si="488">J461*EXP(($C$4-0.5*$C$5^2)*$C$10+$C$5*SQRT($C$10)*NORMINV(RAND(),0,1))</f>
        <v>111.40568833116147</v>
      </c>
      <c r="L461">
        <f t="shared" ca="1" si="488"/>
        <v>113.66778375444534</v>
      </c>
      <c r="M461">
        <f t="shared" ca="1" si="488"/>
        <v>117.93589530543696</v>
      </c>
      <c r="N461">
        <f t="shared" ca="1" si="488"/>
        <v>117.24230965786224</v>
      </c>
      <c r="O461">
        <f t="shared" ca="1" si="488"/>
        <v>120.71364081689717</v>
      </c>
      <c r="P461">
        <f t="shared" ca="1" si="488"/>
        <v>133.93825766641868</v>
      </c>
      <c r="Q461">
        <f t="shared" ca="1" si="480"/>
        <v>113.26554305163694</v>
      </c>
      <c r="R461">
        <f t="shared" ca="1" si="481"/>
        <v>13.265543051636939</v>
      </c>
      <c r="S461">
        <f t="shared" ca="1" si="482"/>
        <v>13.002867699908172</v>
      </c>
    </row>
    <row r="462" spans="5:19" x14ac:dyDescent="0.75">
      <c r="E462">
        <v>457</v>
      </c>
      <c r="F462">
        <v>100</v>
      </c>
      <c r="G462">
        <f t="shared" ca="1" si="478"/>
        <v>106.8624477387702</v>
      </c>
      <c r="H462">
        <f t="shared" ca="1" si="478"/>
        <v>117.81937856946952</v>
      </c>
      <c r="I462">
        <f t="shared" ca="1" si="478"/>
        <v>117.76104510325456</v>
      </c>
      <c r="J462">
        <f t="shared" ca="1" si="478"/>
        <v>126.8762263273759</v>
      </c>
      <c r="K462">
        <f t="shared" ref="K462:P462" ca="1" si="489">J462*EXP(($C$4-0.5*$C$5^2)*$C$10+$C$5*SQRT($C$10)*NORMINV(RAND(),0,1))</f>
        <v>132.52629211358098</v>
      </c>
      <c r="L462">
        <f t="shared" ca="1" si="489"/>
        <v>142.42546709747106</v>
      </c>
      <c r="M462">
        <f t="shared" ca="1" si="489"/>
        <v>134.75748056355033</v>
      </c>
      <c r="N462">
        <f t="shared" ca="1" si="489"/>
        <v>118.46009202267467</v>
      </c>
      <c r="O462">
        <f t="shared" ca="1" si="489"/>
        <v>109.01460448932121</v>
      </c>
      <c r="P462">
        <f t="shared" ca="1" si="489"/>
        <v>115.41860352810021</v>
      </c>
      <c r="Q462">
        <f t="shared" ca="1" si="480"/>
        <v>120.1746943230517</v>
      </c>
      <c r="R462">
        <f t="shared" ca="1" si="481"/>
        <v>20.174694323051696</v>
      </c>
      <c r="S462">
        <f t="shared" ca="1" si="482"/>
        <v>19.775208609824599</v>
      </c>
    </row>
    <row r="463" spans="5:19" x14ac:dyDescent="0.75">
      <c r="E463">
        <v>458</v>
      </c>
      <c r="F463">
        <v>100</v>
      </c>
      <c r="G463">
        <f t="shared" ca="1" si="478"/>
        <v>103.17476936460841</v>
      </c>
      <c r="H463">
        <f t="shared" ca="1" si="478"/>
        <v>100.9269684539057</v>
      </c>
      <c r="I463">
        <f t="shared" ca="1" si="478"/>
        <v>100.93089152677894</v>
      </c>
      <c r="J463">
        <f t="shared" ca="1" si="478"/>
        <v>90.753305393330237</v>
      </c>
      <c r="K463">
        <f t="shared" ref="K463:P463" ca="1" si="490">J463*EXP(($C$4-0.5*$C$5^2)*$C$10+$C$5*SQRT($C$10)*NORMINV(RAND(),0,1))</f>
        <v>92.557037142798293</v>
      </c>
      <c r="L463">
        <f t="shared" ca="1" si="490"/>
        <v>97.781130352913394</v>
      </c>
      <c r="M463">
        <f t="shared" ca="1" si="490"/>
        <v>88.081684315021775</v>
      </c>
      <c r="N463">
        <f t="shared" ca="1" si="490"/>
        <v>99.466755079740111</v>
      </c>
      <c r="O463">
        <f t="shared" ca="1" si="490"/>
        <v>96.749482060676996</v>
      </c>
      <c r="P463">
        <f t="shared" ca="1" si="490"/>
        <v>95.848980352685444</v>
      </c>
      <c r="Q463">
        <f t="shared" ca="1" si="480"/>
        <v>96.933727640223566</v>
      </c>
      <c r="R463">
        <f t="shared" ca="1" si="481"/>
        <v>0</v>
      </c>
      <c r="S463">
        <f t="shared" ca="1" si="482"/>
        <v>0</v>
      </c>
    </row>
    <row r="464" spans="5:19" x14ac:dyDescent="0.75">
      <c r="E464">
        <v>459</v>
      </c>
      <c r="F464">
        <v>100</v>
      </c>
      <c r="G464">
        <f t="shared" ca="1" si="478"/>
        <v>90.368726700190038</v>
      </c>
      <c r="H464">
        <f t="shared" ca="1" si="478"/>
        <v>86.029012418044744</v>
      </c>
      <c r="I464">
        <f t="shared" ca="1" si="478"/>
        <v>88.053911888820807</v>
      </c>
      <c r="J464">
        <f t="shared" ca="1" si="478"/>
        <v>86.79869894660996</v>
      </c>
      <c r="K464">
        <f t="shared" ref="K464:P464" ca="1" si="491">J464*EXP(($C$4-0.5*$C$5^2)*$C$10+$C$5*SQRT($C$10)*NORMINV(RAND(),0,1))</f>
        <v>92.693487426333832</v>
      </c>
      <c r="L464">
        <f t="shared" ca="1" si="491"/>
        <v>103.0799758896257</v>
      </c>
      <c r="M464">
        <f t="shared" ca="1" si="491"/>
        <v>107.93844538233907</v>
      </c>
      <c r="N464">
        <f t="shared" ca="1" si="491"/>
        <v>102.0718396768747</v>
      </c>
      <c r="O464">
        <f t="shared" ca="1" si="491"/>
        <v>115.51305089090904</v>
      </c>
      <c r="P464">
        <f t="shared" ca="1" si="491"/>
        <v>109.0784757607756</v>
      </c>
      <c r="Q464">
        <f t="shared" ca="1" si="480"/>
        <v>98.329602270956684</v>
      </c>
      <c r="R464">
        <f t="shared" ca="1" si="481"/>
        <v>0</v>
      </c>
      <c r="S464">
        <f t="shared" ca="1" si="482"/>
        <v>0</v>
      </c>
    </row>
    <row r="465" spans="5:19" x14ac:dyDescent="0.75">
      <c r="E465">
        <v>460</v>
      </c>
      <c r="F465">
        <v>100</v>
      </c>
      <c r="G465">
        <f t="shared" ca="1" si="478"/>
        <v>98.607230614180878</v>
      </c>
      <c r="H465">
        <f t="shared" ca="1" si="478"/>
        <v>103.17984033906914</v>
      </c>
      <c r="I465">
        <f t="shared" ca="1" si="478"/>
        <v>107.35816394780018</v>
      </c>
      <c r="J465">
        <f t="shared" ca="1" si="478"/>
        <v>107.50426745514018</v>
      </c>
      <c r="K465">
        <f t="shared" ref="K465:P465" ca="1" si="492">J465*EXP(($C$4-0.5*$C$5^2)*$C$10+$C$5*SQRT($C$10)*NORMINV(RAND(),0,1))</f>
        <v>99.73584814320958</v>
      </c>
      <c r="L465">
        <f t="shared" ca="1" si="492"/>
        <v>95.253801368000779</v>
      </c>
      <c r="M465">
        <f t="shared" ca="1" si="492"/>
        <v>105.20404364415589</v>
      </c>
      <c r="N465">
        <f t="shared" ca="1" si="492"/>
        <v>96.304596744859836</v>
      </c>
      <c r="O465">
        <f t="shared" ca="1" si="492"/>
        <v>93.711050613063051</v>
      </c>
      <c r="P465">
        <f t="shared" ca="1" si="492"/>
        <v>90.150967802634099</v>
      </c>
      <c r="Q465">
        <f t="shared" ca="1" si="480"/>
        <v>99.728164606555779</v>
      </c>
      <c r="R465">
        <f t="shared" ca="1" si="481"/>
        <v>0</v>
      </c>
      <c r="S465">
        <f t="shared" ca="1" si="482"/>
        <v>0</v>
      </c>
    </row>
    <row r="466" spans="5:19" x14ac:dyDescent="0.75">
      <c r="E466">
        <v>461</v>
      </c>
      <c r="F466">
        <v>100</v>
      </c>
      <c r="G466">
        <f t="shared" ca="1" si="478"/>
        <v>109.16576539202003</v>
      </c>
      <c r="H466">
        <f t="shared" ca="1" si="478"/>
        <v>106.55151205287652</v>
      </c>
      <c r="I466">
        <f t="shared" ca="1" si="478"/>
        <v>112.94978259509458</v>
      </c>
      <c r="J466">
        <f t="shared" ca="1" si="478"/>
        <v>114.17713150820082</v>
      </c>
      <c r="K466">
        <f t="shared" ref="K466:P466" ca="1" si="493">J466*EXP(($C$4-0.5*$C$5^2)*$C$10+$C$5*SQRT($C$10)*NORMINV(RAND(),0,1))</f>
        <v>121.51469193826897</v>
      </c>
      <c r="L466">
        <f t="shared" ca="1" si="493"/>
        <v>116.72875239998179</v>
      </c>
      <c r="M466">
        <f t="shared" ca="1" si="493"/>
        <v>126.09439351808427</v>
      </c>
      <c r="N466">
        <f t="shared" ca="1" si="493"/>
        <v>110.71431541618689</v>
      </c>
      <c r="O466">
        <f t="shared" ca="1" si="493"/>
        <v>111.30888474180148</v>
      </c>
      <c r="P466">
        <f t="shared" ca="1" si="493"/>
        <v>106.8147790895909</v>
      </c>
      <c r="Q466">
        <f t="shared" ca="1" si="480"/>
        <v>112.36545533200966</v>
      </c>
      <c r="R466">
        <f t="shared" ca="1" si="481"/>
        <v>12.36545533200966</v>
      </c>
      <c r="S466">
        <f t="shared" ca="1" si="482"/>
        <v>12.120602911269811</v>
      </c>
    </row>
    <row r="467" spans="5:19" x14ac:dyDescent="0.75">
      <c r="E467">
        <v>462</v>
      </c>
      <c r="F467">
        <v>100</v>
      </c>
      <c r="G467">
        <f t="shared" ca="1" si="478"/>
        <v>97.834040830489187</v>
      </c>
      <c r="H467">
        <f t="shared" ca="1" si="478"/>
        <v>99.426419569507573</v>
      </c>
      <c r="I467">
        <f t="shared" ca="1" si="478"/>
        <v>92.746462273981308</v>
      </c>
      <c r="J467">
        <f t="shared" ca="1" si="478"/>
        <v>90.544514276528417</v>
      </c>
      <c r="K467">
        <f t="shared" ref="K467:P467" ca="1" si="494">J467*EXP(($C$4-0.5*$C$5^2)*$C$10+$C$5*SQRT($C$10)*NORMINV(RAND(),0,1))</f>
        <v>93.761181102673405</v>
      </c>
      <c r="L467">
        <f t="shared" ca="1" si="494"/>
        <v>89.477534713268128</v>
      </c>
      <c r="M467">
        <f t="shared" ca="1" si="494"/>
        <v>90.447639020848442</v>
      </c>
      <c r="N467">
        <f t="shared" ca="1" si="494"/>
        <v>92.687007290712174</v>
      </c>
      <c r="O467">
        <f t="shared" ca="1" si="494"/>
        <v>97.312900876726488</v>
      </c>
      <c r="P467">
        <f t="shared" ca="1" si="494"/>
        <v>97.527277314503721</v>
      </c>
      <c r="Q467">
        <f t="shared" ca="1" si="480"/>
        <v>94.705907024476261</v>
      </c>
      <c r="R467">
        <f t="shared" ca="1" si="481"/>
        <v>0</v>
      </c>
      <c r="S467">
        <f t="shared" ca="1" si="482"/>
        <v>0</v>
      </c>
    </row>
    <row r="468" spans="5:19" x14ac:dyDescent="0.75">
      <c r="E468">
        <v>463</v>
      </c>
      <c r="F468">
        <v>100</v>
      </c>
      <c r="G468">
        <f t="shared" ca="1" si="478"/>
        <v>95.447559074256446</v>
      </c>
      <c r="H468">
        <f t="shared" ca="1" si="478"/>
        <v>95.436171148372509</v>
      </c>
      <c r="I468">
        <f t="shared" ca="1" si="478"/>
        <v>105.70349527933503</v>
      </c>
      <c r="J468">
        <f t="shared" ca="1" si="478"/>
        <v>106.08357407271971</v>
      </c>
      <c r="K468">
        <f t="shared" ref="K468:P468" ca="1" si="495">J468*EXP(($C$4-0.5*$C$5^2)*$C$10+$C$5*SQRT($C$10)*NORMINV(RAND(),0,1))</f>
        <v>108.97863796811505</v>
      </c>
      <c r="L468">
        <f t="shared" ca="1" si="495"/>
        <v>105.09565111783343</v>
      </c>
      <c r="M468">
        <f t="shared" ca="1" si="495"/>
        <v>95.467917939812338</v>
      </c>
      <c r="N468">
        <f t="shared" ca="1" si="495"/>
        <v>89.215201782955617</v>
      </c>
      <c r="O468">
        <f t="shared" ca="1" si="495"/>
        <v>82.49285368889818</v>
      </c>
      <c r="P468">
        <f t="shared" ca="1" si="495"/>
        <v>85.703456744207998</v>
      </c>
      <c r="Q468">
        <f t="shared" ca="1" si="480"/>
        <v>97.238592619682407</v>
      </c>
      <c r="R468">
        <f t="shared" ca="1" si="481"/>
        <v>0</v>
      </c>
      <c r="S468">
        <f t="shared" ca="1" si="482"/>
        <v>0</v>
      </c>
    </row>
    <row r="469" spans="5:19" x14ac:dyDescent="0.75">
      <c r="E469">
        <v>464</v>
      </c>
      <c r="F469">
        <v>100</v>
      </c>
      <c r="G469">
        <f t="shared" ca="1" si="478"/>
        <v>89.321291238053035</v>
      </c>
      <c r="H469">
        <f t="shared" ca="1" si="478"/>
        <v>83.982952541035374</v>
      </c>
      <c r="I469">
        <f t="shared" ca="1" si="478"/>
        <v>80.805905049674109</v>
      </c>
      <c r="J469">
        <f t="shared" ca="1" si="478"/>
        <v>81.805216533971816</v>
      </c>
      <c r="K469">
        <f t="shared" ref="K469:P469" ca="1" si="496">J469*EXP(($C$4-0.5*$C$5^2)*$C$10+$C$5*SQRT($C$10)*NORMINV(RAND(),0,1))</f>
        <v>82.567655860433092</v>
      </c>
      <c r="L469">
        <f t="shared" ca="1" si="496"/>
        <v>85.521191860954161</v>
      </c>
      <c r="M469">
        <f t="shared" ca="1" si="496"/>
        <v>83.868439740621383</v>
      </c>
      <c r="N469">
        <f t="shared" ca="1" si="496"/>
        <v>77.596149581841232</v>
      </c>
      <c r="O469">
        <f t="shared" ca="1" si="496"/>
        <v>76.308640611893182</v>
      </c>
      <c r="P469">
        <f t="shared" ca="1" si="496"/>
        <v>83.811268240525919</v>
      </c>
      <c r="Q469">
        <f t="shared" ca="1" si="480"/>
        <v>84.144428296273034</v>
      </c>
      <c r="R469">
        <f t="shared" ca="1" si="481"/>
        <v>0</v>
      </c>
      <c r="S469">
        <f t="shared" ca="1" si="482"/>
        <v>0</v>
      </c>
    </row>
    <row r="470" spans="5:19" x14ac:dyDescent="0.75">
      <c r="E470">
        <v>465</v>
      </c>
      <c r="F470">
        <v>100</v>
      </c>
      <c r="G470">
        <f t="shared" ca="1" si="478"/>
        <v>94.078965273131786</v>
      </c>
      <c r="H470">
        <f t="shared" ca="1" si="478"/>
        <v>93.49477360162561</v>
      </c>
      <c r="I470">
        <f t="shared" ca="1" si="478"/>
        <v>91.378041598241524</v>
      </c>
      <c r="J470">
        <f t="shared" ca="1" si="478"/>
        <v>85.37805050833461</v>
      </c>
      <c r="K470">
        <f t="shared" ref="K470:P470" ca="1" si="497">J470*EXP(($C$4-0.5*$C$5^2)*$C$10+$C$5*SQRT($C$10)*NORMINV(RAND(),0,1))</f>
        <v>87.363726063226565</v>
      </c>
      <c r="L470">
        <f t="shared" ca="1" si="497"/>
        <v>79.530058115932022</v>
      </c>
      <c r="M470">
        <f t="shared" ca="1" si="497"/>
        <v>77.366817699793074</v>
      </c>
      <c r="N470">
        <f t="shared" ca="1" si="497"/>
        <v>77.271018919615983</v>
      </c>
      <c r="O470">
        <f t="shared" ca="1" si="497"/>
        <v>88.773971897256089</v>
      </c>
      <c r="P470">
        <f t="shared" ca="1" si="497"/>
        <v>92.338280047263652</v>
      </c>
      <c r="Q470">
        <f t="shared" ca="1" si="480"/>
        <v>87.906700338583704</v>
      </c>
      <c r="R470">
        <f t="shared" ca="1" si="481"/>
        <v>0</v>
      </c>
      <c r="S470">
        <f t="shared" ca="1" si="482"/>
        <v>0</v>
      </c>
    </row>
    <row r="471" spans="5:19" x14ac:dyDescent="0.75">
      <c r="E471">
        <v>466</v>
      </c>
      <c r="F471">
        <v>100</v>
      </c>
      <c r="G471">
        <f t="shared" ca="1" si="478"/>
        <v>104.55292466971653</v>
      </c>
      <c r="H471">
        <f t="shared" ca="1" si="478"/>
        <v>105.2543210897274</v>
      </c>
      <c r="I471">
        <f t="shared" ca="1" si="478"/>
        <v>102.58717505913212</v>
      </c>
      <c r="J471">
        <f t="shared" ca="1" si="478"/>
        <v>113.13906027091389</v>
      </c>
      <c r="K471">
        <f t="shared" ref="K471:P471" ca="1" si="498">J471*EXP(($C$4-0.5*$C$5^2)*$C$10+$C$5*SQRT($C$10)*NORMINV(RAND(),0,1))</f>
        <v>106.51880723639756</v>
      </c>
      <c r="L471">
        <f t="shared" ca="1" si="498"/>
        <v>105.89407289843149</v>
      </c>
      <c r="M471">
        <f t="shared" ca="1" si="498"/>
        <v>106.62475982415118</v>
      </c>
      <c r="N471">
        <f t="shared" ca="1" si="498"/>
        <v>115.28452273470091</v>
      </c>
      <c r="O471">
        <f t="shared" ca="1" si="498"/>
        <v>112.38910250637906</v>
      </c>
      <c r="P471">
        <f t="shared" ca="1" si="498"/>
        <v>107.57817979136381</v>
      </c>
      <c r="Q471">
        <f t="shared" ca="1" si="480"/>
        <v>107.25662964371942</v>
      </c>
      <c r="R471">
        <f t="shared" ca="1" si="481"/>
        <v>7.2566296437194211</v>
      </c>
      <c r="S471">
        <f t="shared" ca="1" si="482"/>
        <v>7.1129387494522485</v>
      </c>
    </row>
    <row r="472" spans="5:19" x14ac:dyDescent="0.75">
      <c r="E472">
        <v>467</v>
      </c>
      <c r="F472">
        <v>100</v>
      </c>
      <c r="G472">
        <f t="shared" ca="1" si="478"/>
        <v>87.366786636576563</v>
      </c>
      <c r="H472">
        <f t="shared" ca="1" si="478"/>
        <v>102.7744651801148</v>
      </c>
      <c r="I472">
        <f t="shared" ca="1" si="478"/>
        <v>109.26709516024425</v>
      </c>
      <c r="J472">
        <f t="shared" ca="1" si="478"/>
        <v>123.38316824590004</v>
      </c>
      <c r="K472">
        <f t="shared" ref="K472:P472" ca="1" si="499">J472*EXP(($C$4-0.5*$C$5^2)*$C$10+$C$5*SQRT($C$10)*NORMINV(RAND(),0,1))</f>
        <v>124.21291784957913</v>
      </c>
      <c r="L472">
        <f t="shared" ca="1" si="499"/>
        <v>133.3562430560969</v>
      </c>
      <c r="M472">
        <f t="shared" ca="1" si="499"/>
        <v>135.99019123121124</v>
      </c>
      <c r="N472">
        <f t="shared" ca="1" si="499"/>
        <v>120.19798913600825</v>
      </c>
      <c r="O472">
        <f t="shared" ca="1" si="499"/>
        <v>124.34110087723974</v>
      </c>
      <c r="P472">
        <f t="shared" ca="1" si="499"/>
        <v>118.74181984384219</v>
      </c>
      <c r="Q472">
        <f t="shared" ca="1" si="480"/>
        <v>116.33016156516483</v>
      </c>
      <c r="R472">
        <f t="shared" ca="1" si="481"/>
        <v>16.330161565164829</v>
      </c>
      <c r="S472">
        <f t="shared" ca="1" si="482"/>
        <v>16.006802701059531</v>
      </c>
    </row>
    <row r="473" spans="5:19" x14ac:dyDescent="0.75">
      <c r="E473">
        <v>468</v>
      </c>
      <c r="F473">
        <v>100</v>
      </c>
      <c r="G473">
        <f t="shared" ca="1" si="478"/>
        <v>104.51359717961101</v>
      </c>
      <c r="H473">
        <f t="shared" ca="1" si="478"/>
        <v>103.91985364235558</v>
      </c>
      <c r="I473">
        <f t="shared" ca="1" si="478"/>
        <v>108.65211540723766</v>
      </c>
      <c r="J473">
        <f t="shared" ca="1" si="478"/>
        <v>102.82604922319155</v>
      </c>
      <c r="K473">
        <f t="shared" ref="K473:P473" ca="1" si="500">J473*EXP(($C$4-0.5*$C$5^2)*$C$10+$C$5*SQRT($C$10)*NORMINV(RAND(),0,1))</f>
        <v>101.89266378875722</v>
      </c>
      <c r="L473">
        <f t="shared" ca="1" si="500"/>
        <v>101.75411283991097</v>
      </c>
      <c r="M473">
        <f t="shared" ca="1" si="500"/>
        <v>97.328171318790979</v>
      </c>
      <c r="N473">
        <f t="shared" ca="1" si="500"/>
        <v>89.495445414887797</v>
      </c>
      <c r="O473">
        <f t="shared" ca="1" si="500"/>
        <v>83.547252959299755</v>
      </c>
      <c r="P473">
        <f t="shared" ca="1" si="500"/>
        <v>80.202775468978714</v>
      </c>
      <c r="Q473">
        <f t="shared" ca="1" si="480"/>
        <v>97.648367022092827</v>
      </c>
      <c r="R473">
        <f t="shared" ca="1" si="481"/>
        <v>0</v>
      </c>
      <c r="S473">
        <f t="shared" ca="1" si="482"/>
        <v>0</v>
      </c>
    </row>
    <row r="474" spans="5:19" x14ac:dyDescent="0.75">
      <c r="E474">
        <v>469</v>
      </c>
      <c r="F474">
        <v>100</v>
      </c>
      <c r="G474">
        <f t="shared" ca="1" si="478"/>
        <v>110.242852601612</v>
      </c>
      <c r="H474">
        <f t="shared" ca="1" si="478"/>
        <v>101.60823346375807</v>
      </c>
      <c r="I474">
        <f t="shared" ca="1" si="478"/>
        <v>99.767755552178357</v>
      </c>
      <c r="J474">
        <f t="shared" ca="1" si="478"/>
        <v>94.494699459245396</v>
      </c>
      <c r="K474">
        <f t="shared" ref="K474:P474" ca="1" si="501">J474*EXP(($C$4-0.5*$C$5^2)*$C$10+$C$5*SQRT($C$10)*NORMINV(RAND(),0,1))</f>
        <v>93.45446236261472</v>
      </c>
      <c r="L474">
        <f t="shared" ca="1" si="501"/>
        <v>84.487050743851412</v>
      </c>
      <c r="M474">
        <f t="shared" ca="1" si="501"/>
        <v>83.455593878133783</v>
      </c>
      <c r="N474">
        <f t="shared" ca="1" si="501"/>
        <v>70.885735585166387</v>
      </c>
      <c r="O474">
        <f t="shared" ca="1" si="501"/>
        <v>66.352343793687254</v>
      </c>
      <c r="P474">
        <f t="shared" ca="1" si="501"/>
        <v>71.308868114128259</v>
      </c>
      <c r="Q474">
        <f t="shared" ca="1" si="480"/>
        <v>88.73250868676142</v>
      </c>
      <c r="R474">
        <f t="shared" ca="1" si="481"/>
        <v>0</v>
      </c>
      <c r="S474">
        <f t="shared" ca="1" si="482"/>
        <v>0</v>
      </c>
    </row>
    <row r="475" spans="5:19" x14ac:dyDescent="0.75">
      <c r="E475">
        <v>470</v>
      </c>
      <c r="F475">
        <v>100</v>
      </c>
      <c r="G475">
        <f t="shared" ca="1" si="478"/>
        <v>104.72286388185299</v>
      </c>
      <c r="H475">
        <f t="shared" ca="1" si="478"/>
        <v>96.782513325291774</v>
      </c>
      <c r="I475">
        <f t="shared" ca="1" si="478"/>
        <v>107.64127505234458</v>
      </c>
      <c r="J475">
        <f t="shared" ca="1" si="478"/>
        <v>122.13830360803655</v>
      </c>
      <c r="K475">
        <f t="shared" ref="K475:P475" ca="1" si="502">J475*EXP(($C$4-0.5*$C$5^2)*$C$10+$C$5*SQRT($C$10)*NORMINV(RAND(),0,1))</f>
        <v>134.19822880822628</v>
      </c>
      <c r="L475">
        <f t="shared" ca="1" si="502"/>
        <v>145.56832179903822</v>
      </c>
      <c r="M475">
        <f t="shared" ca="1" si="502"/>
        <v>147.94814380429531</v>
      </c>
      <c r="N475">
        <f t="shared" ca="1" si="502"/>
        <v>131.73045166831164</v>
      </c>
      <c r="O475">
        <f t="shared" ca="1" si="502"/>
        <v>138.31945538821461</v>
      </c>
      <c r="P475">
        <f t="shared" ca="1" si="502"/>
        <v>141.00814050033341</v>
      </c>
      <c r="Q475">
        <f t="shared" ca="1" si="480"/>
        <v>124.55069980326779</v>
      </c>
      <c r="R475">
        <f t="shared" ca="1" si="481"/>
        <v>24.55069980326779</v>
      </c>
      <c r="S475">
        <f t="shared" ca="1" si="482"/>
        <v>24.064563375915505</v>
      </c>
    </row>
    <row r="476" spans="5:19" x14ac:dyDescent="0.75">
      <c r="E476">
        <v>471</v>
      </c>
      <c r="F476">
        <v>100</v>
      </c>
      <c r="G476">
        <f t="shared" ca="1" si="478"/>
        <v>97.827663683374936</v>
      </c>
      <c r="H476">
        <f t="shared" ca="1" si="478"/>
        <v>82.427750604882959</v>
      </c>
      <c r="I476">
        <f t="shared" ca="1" si="478"/>
        <v>84.793131552258501</v>
      </c>
      <c r="J476">
        <f t="shared" ca="1" si="478"/>
        <v>92.629820058370882</v>
      </c>
      <c r="K476">
        <f t="shared" ref="K476:P476" ca="1" si="503">J476*EXP(($C$4-0.5*$C$5^2)*$C$10+$C$5*SQRT($C$10)*NORMINV(RAND(),0,1))</f>
        <v>89.350184836168538</v>
      </c>
      <c r="L476">
        <f t="shared" ca="1" si="503"/>
        <v>86.36410941352112</v>
      </c>
      <c r="M476">
        <f t="shared" ca="1" si="503"/>
        <v>84.232031141034113</v>
      </c>
      <c r="N476">
        <f t="shared" ca="1" si="503"/>
        <v>83.581021151192729</v>
      </c>
      <c r="O476">
        <f t="shared" ca="1" si="503"/>
        <v>72.382900857251158</v>
      </c>
      <c r="P476">
        <f t="shared" ca="1" si="503"/>
        <v>72.766106076246274</v>
      </c>
      <c r="Q476">
        <f t="shared" ca="1" si="480"/>
        <v>86.032247215845558</v>
      </c>
      <c r="R476">
        <f t="shared" ca="1" si="481"/>
        <v>0</v>
      </c>
      <c r="S476">
        <f t="shared" ca="1" si="482"/>
        <v>0</v>
      </c>
    </row>
    <row r="477" spans="5:19" x14ac:dyDescent="0.75">
      <c r="E477">
        <v>472</v>
      </c>
      <c r="F477">
        <v>100</v>
      </c>
      <c r="G477">
        <f t="shared" ca="1" si="478"/>
        <v>105.96550818114305</v>
      </c>
      <c r="H477">
        <f t="shared" ca="1" si="478"/>
        <v>104.33372875370077</v>
      </c>
      <c r="I477">
        <f t="shared" ca="1" si="478"/>
        <v>97.110354421209564</v>
      </c>
      <c r="J477">
        <f t="shared" ca="1" si="478"/>
        <v>103.15695153464461</v>
      </c>
      <c r="K477">
        <f t="shared" ref="K477:P477" ca="1" si="504">J477*EXP(($C$4-0.5*$C$5^2)*$C$10+$C$5*SQRT($C$10)*NORMINV(RAND(),0,1))</f>
        <v>105.9618087287016</v>
      </c>
      <c r="L477">
        <f t="shared" ca="1" si="504"/>
        <v>98.717951740392181</v>
      </c>
      <c r="M477">
        <f t="shared" ca="1" si="504"/>
        <v>98.527681757277477</v>
      </c>
      <c r="N477">
        <f t="shared" ca="1" si="504"/>
        <v>99.343036109050601</v>
      </c>
      <c r="O477">
        <f t="shared" ca="1" si="504"/>
        <v>100.56818596509434</v>
      </c>
      <c r="P477">
        <f t="shared" ca="1" si="504"/>
        <v>103.04102429888331</v>
      </c>
      <c r="Q477">
        <f t="shared" ca="1" si="480"/>
        <v>101.52056649909977</v>
      </c>
      <c r="R477">
        <f t="shared" ca="1" si="481"/>
        <v>1.5205664990997718</v>
      </c>
      <c r="S477">
        <f t="shared" ca="1" si="482"/>
        <v>1.4904572650922938</v>
      </c>
    </row>
    <row r="478" spans="5:19" x14ac:dyDescent="0.75">
      <c r="E478">
        <v>473</v>
      </c>
      <c r="F478">
        <v>100</v>
      </c>
      <c r="G478">
        <f t="shared" ca="1" si="478"/>
        <v>100.55725769961951</v>
      </c>
      <c r="H478">
        <f t="shared" ca="1" si="478"/>
        <v>96.986671304184327</v>
      </c>
      <c r="I478">
        <f t="shared" ca="1" si="478"/>
        <v>99.771266221508654</v>
      </c>
      <c r="J478">
        <f t="shared" ca="1" si="478"/>
        <v>113.76612707141274</v>
      </c>
      <c r="K478">
        <f t="shared" ref="K478:P478" ca="1" si="505">J478*EXP(($C$4-0.5*$C$5^2)*$C$10+$C$5*SQRT($C$10)*NORMINV(RAND(),0,1))</f>
        <v>108.24717080659518</v>
      </c>
      <c r="L478">
        <f t="shared" ca="1" si="505"/>
        <v>109.55096721943856</v>
      </c>
      <c r="M478">
        <f t="shared" ca="1" si="505"/>
        <v>107.47209098195178</v>
      </c>
      <c r="N478">
        <f t="shared" ca="1" si="505"/>
        <v>108.46000220083613</v>
      </c>
      <c r="O478">
        <f t="shared" ca="1" si="505"/>
        <v>119.07881913892025</v>
      </c>
      <c r="P478">
        <f t="shared" ca="1" si="505"/>
        <v>125.66517023961994</v>
      </c>
      <c r="Q478">
        <f t="shared" ca="1" si="480"/>
        <v>108.14141298946247</v>
      </c>
      <c r="R478">
        <f t="shared" ca="1" si="481"/>
        <v>8.1414129894624665</v>
      </c>
      <c r="S478">
        <f t="shared" ca="1" si="482"/>
        <v>7.980202211113494</v>
      </c>
    </row>
    <row r="479" spans="5:19" x14ac:dyDescent="0.75">
      <c r="E479">
        <v>474</v>
      </c>
      <c r="F479">
        <v>100</v>
      </c>
      <c r="G479">
        <f t="shared" ca="1" si="478"/>
        <v>98.714132012234217</v>
      </c>
      <c r="H479">
        <f t="shared" ca="1" si="478"/>
        <v>102.34905344797244</v>
      </c>
      <c r="I479">
        <f t="shared" ca="1" si="478"/>
        <v>111.41580579561388</v>
      </c>
      <c r="J479">
        <f t="shared" ca="1" si="478"/>
        <v>121.18208175623222</v>
      </c>
      <c r="K479">
        <f t="shared" ref="K479:P479" ca="1" si="506">J479*EXP(($C$4-0.5*$C$5^2)*$C$10+$C$5*SQRT($C$10)*NORMINV(RAND(),0,1))</f>
        <v>111.91071500007277</v>
      </c>
      <c r="L479">
        <f t="shared" ca="1" si="506"/>
        <v>105.37758589565388</v>
      </c>
      <c r="M479">
        <f t="shared" ca="1" si="506"/>
        <v>98.52839450610027</v>
      </c>
      <c r="N479">
        <f t="shared" ca="1" si="506"/>
        <v>102.51372111648867</v>
      </c>
      <c r="O479">
        <f t="shared" ca="1" si="506"/>
        <v>97.289132048559267</v>
      </c>
      <c r="P479">
        <f t="shared" ca="1" si="506"/>
        <v>100.48872266062082</v>
      </c>
      <c r="Q479">
        <f t="shared" ca="1" si="480"/>
        <v>104.52448583995896</v>
      </c>
      <c r="R479">
        <f t="shared" ca="1" si="481"/>
        <v>4.524485839958956</v>
      </c>
      <c r="S479">
        <f t="shared" ca="1" si="482"/>
        <v>4.4348950177229689</v>
      </c>
    </row>
    <row r="480" spans="5:19" x14ac:dyDescent="0.75">
      <c r="E480">
        <v>475</v>
      </c>
      <c r="F480">
        <v>100</v>
      </c>
      <c r="G480">
        <f t="shared" ca="1" si="478"/>
        <v>91.677478780174226</v>
      </c>
      <c r="H480">
        <f t="shared" ca="1" si="478"/>
        <v>84.933805541959941</v>
      </c>
      <c r="I480">
        <f t="shared" ca="1" si="478"/>
        <v>80.833776856592635</v>
      </c>
      <c r="J480">
        <f t="shared" ca="1" si="478"/>
        <v>80.238552369150923</v>
      </c>
      <c r="K480">
        <f t="shared" ref="K480:P480" ca="1" si="507">J480*EXP(($C$4-0.5*$C$5^2)*$C$10+$C$5*SQRT($C$10)*NORMINV(RAND(),0,1))</f>
        <v>85.84663194748083</v>
      </c>
      <c r="L480">
        <f t="shared" ca="1" si="507"/>
        <v>79.258205308968826</v>
      </c>
      <c r="M480">
        <f t="shared" ca="1" si="507"/>
        <v>75.548132282208883</v>
      </c>
      <c r="N480">
        <f t="shared" ca="1" si="507"/>
        <v>79.084754364045466</v>
      </c>
      <c r="O480">
        <f t="shared" ca="1" si="507"/>
        <v>77.908687716817141</v>
      </c>
      <c r="P480">
        <f t="shared" ca="1" si="507"/>
        <v>82.742351504179425</v>
      </c>
      <c r="Q480">
        <f t="shared" ca="1" si="480"/>
        <v>83.461125151961653</v>
      </c>
      <c r="R480">
        <f t="shared" ca="1" si="481"/>
        <v>0</v>
      </c>
      <c r="S480">
        <f t="shared" ca="1" si="482"/>
        <v>0</v>
      </c>
    </row>
    <row r="481" spans="5:19" x14ac:dyDescent="0.75">
      <c r="E481">
        <v>476</v>
      </c>
      <c r="F481">
        <v>100</v>
      </c>
      <c r="G481">
        <f t="shared" ca="1" si="478"/>
        <v>110.93347644208487</v>
      </c>
      <c r="H481">
        <f t="shared" ca="1" si="478"/>
        <v>116.23554638543753</v>
      </c>
      <c r="I481">
        <f t="shared" ca="1" si="478"/>
        <v>115.0360175519628</v>
      </c>
      <c r="J481">
        <f t="shared" ca="1" si="478"/>
        <v>118.00935545935467</v>
      </c>
      <c r="K481">
        <f t="shared" ref="K481:P481" ca="1" si="508">J481*EXP(($C$4-0.5*$C$5^2)*$C$10+$C$5*SQRT($C$10)*NORMINV(RAND(),0,1))</f>
        <v>102.21773685404023</v>
      </c>
      <c r="L481">
        <f t="shared" ca="1" si="508"/>
        <v>106.26962727867426</v>
      </c>
      <c r="M481">
        <f t="shared" ca="1" si="508"/>
        <v>103.93107329182378</v>
      </c>
      <c r="N481">
        <f t="shared" ca="1" si="508"/>
        <v>110.30214973073883</v>
      </c>
      <c r="O481">
        <f t="shared" ca="1" si="508"/>
        <v>114.39567298967356</v>
      </c>
      <c r="P481">
        <f t="shared" ca="1" si="508"/>
        <v>113.13065195690531</v>
      </c>
      <c r="Q481">
        <f t="shared" ca="1" si="480"/>
        <v>110.0419370855178</v>
      </c>
      <c r="R481">
        <f t="shared" ca="1" si="481"/>
        <v>10.041937085517802</v>
      </c>
      <c r="S481">
        <f t="shared" ca="1" si="482"/>
        <v>9.8430934086544539</v>
      </c>
    </row>
    <row r="482" spans="5:19" x14ac:dyDescent="0.75">
      <c r="E482">
        <v>477</v>
      </c>
      <c r="F482">
        <v>100</v>
      </c>
      <c r="G482">
        <f t="shared" ca="1" si="478"/>
        <v>105.76088753955291</v>
      </c>
      <c r="H482">
        <f t="shared" ca="1" si="478"/>
        <v>115.78641880768535</v>
      </c>
      <c r="I482">
        <f t="shared" ca="1" si="478"/>
        <v>109.22524640316749</v>
      </c>
      <c r="J482">
        <f t="shared" ca="1" si="478"/>
        <v>116.48233330409374</v>
      </c>
      <c r="K482">
        <f t="shared" ref="K482:P482" ca="1" si="509">J482*EXP(($C$4-0.5*$C$5^2)*$C$10+$C$5*SQRT($C$10)*NORMINV(RAND(),0,1))</f>
        <v>127.65980378971392</v>
      </c>
      <c r="L482">
        <f t="shared" ca="1" si="509"/>
        <v>116.64971219206167</v>
      </c>
      <c r="M482">
        <f t="shared" ca="1" si="509"/>
        <v>111.09695344273702</v>
      </c>
      <c r="N482">
        <f t="shared" ca="1" si="509"/>
        <v>116.01161604387784</v>
      </c>
      <c r="O482">
        <f t="shared" ca="1" si="509"/>
        <v>108.85582000167074</v>
      </c>
      <c r="P482">
        <f t="shared" ca="1" si="509"/>
        <v>112.35081990859061</v>
      </c>
      <c r="Q482">
        <f t="shared" ca="1" si="480"/>
        <v>112.71632831210468</v>
      </c>
      <c r="R482">
        <f t="shared" ca="1" si="481"/>
        <v>12.716328312104679</v>
      </c>
      <c r="S482">
        <f t="shared" ca="1" si="482"/>
        <v>12.464528140858137</v>
      </c>
    </row>
    <row r="483" spans="5:19" x14ac:dyDescent="0.75">
      <c r="E483">
        <v>478</v>
      </c>
      <c r="F483">
        <v>100</v>
      </c>
      <c r="G483">
        <f t="shared" ca="1" si="478"/>
        <v>98.283377177287051</v>
      </c>
      <c r="H483">
        <f t="shared" ca="1" si="478"/>
        <v>97.366636306146745</v>
      </c>
      <c r="I483">
        <f t="shared" ca="1" si="478"/>
        <v>106.09629155427257</v>
      </c>
      <c r="J483">
        <f t="shared" ca="1" si="478"/>
        <v>98.775481743999762</v>
      </c>
      <c r="K483">
        <f t="shared" ref="K483:P483" ca="1" si="510">J483*EXP(($C$4-0.5*$C$5^2)*$C$10+$C$5*SQRT($C$10)*NORMINV(RAND(),0,1))</f>
        <v>112.82974702399636</v>
      </c>
      <c r="L483">
        <f t="shared" ca="1" si="510"/>
        <v>115.0755621913971</v>
      </c>
      <c r="M483">
        <f t="shared" ca="1" si="510"/>
        <v>129.50579222455323</v>
      </c>
      <c r="N483">
        <f t="shared" ca="1" si="510"/>
        <v>125.25699511052107</v>
      </c>
      <c r="O483">
        <f t="shared" ca="1" si="510"/>
        <v>124.86877672401131</v>
      </c>
      <c r="P483">
        <f t="shared" ca="1" si="510"/>
        <v>131.98397985170297</v>
      </c>
      <c r="Q483">
        <f t="shared" ca="1" si="480"/>
        <v>112.7311490825353</v>
      </c>
      <c r="R483">
        <f t="shared" ca="1" si="481"/>
        <v>12.731149082535296</v>
      </c>
      <c r="S483">
        <f t="shared" ca="1" si="482"/>
        <v>12.479055440371612</v>
      </c>
    </row>
    <row r="484" spans="5:19" x14ac:dyDescent="0.75">
      <c r="E484">
        <v>479</v>
      </c>
      <c r="F484">
        <v>100</v>
      </c>
      <c r="G484">
        <f t="shared" ca="1" si="478"/>
        <v>106.27744105013281</v>
      </c>
      <c r="H484">
        <f t="shared" ca="1" si="478"/>
        <v>107.27637633238881</v>
      </c>
      <c r="I484">
        <f t="shared" ca="1" si="478"/>
        <v>100.86015153275994</v>
      </c>
      <c r="J484">
        <f t="shared" ca="1" si="478"/>
        <v>110.50554307110885</v>
      </c>
      <c r="K484">
        <f t="shared" ref="K484:P484" ca="1" si="511">J484*EXP(($C$4-0.5*$C$5^2)*$C$10+$C$5*SQRT($C$10)*NORMINV(RAND(),0,1))</f>
        <v>103.73516393344428</v>
      </c>
      <c r="L484">
        <f t="shared" ca="1" si="511"/>
        <v>103.54035014438352</v>
      </c>
      <c r="M484">
        <f t="shared" ca="1" si="511"/>
        <v>98.921208633349366</v>
      </c>
      <c r="N484">
        <f t="shared" ca="1" si="511"/>
        <v>95.190458165894583</v>
      </c>
      <c r="O484">
        <f t="shared" ca="1" si="511"/>
        <v>95.527236028496404</v>
      </c>
      <c r="P484">
        <f t="shared" ca="1" si="511"/>
        <v>95.69341989234664</v>
      </c>
      <c r="Q484">
        <f t="shared" ca="1" si="480"/>
        <v>101.59339534402774</v>
      </c>
      <c r="R484">
        <f t="shared" ca="1" si="481"/>
        <v>1.5933953440277406</v>
      </c>
      <c r="S484">
        <f t="shared" ca="1" si="482"/>
        <v>1.5618440022691522</v>
      </c>
    </row>
    <row r="485" spans="5:19" x14ac:dyDescent="0.75">
      <c r="E485">
        <v>480</v>
      </c>
      <c r="F485">
        <v>100</v>
      </c>
      <c r="G485">
        <f t="shared" ca="1" si="478"/>
        <v>98.108995400011366</v>
      </c>
      <c r="H485">
        <f t="shared" ca="1" si="478"/>
        <v>112.2821872150308</v>
      </c>
      <c r="I485">
        <f t="shared" ca="1" si="478"/>
        <v>117.425996683541</v>
      </c>
      <c r="J485">
        <f t="shared" ca="1" si="478"/>
        <v>109.87194448363736</v>
      </c>
      <c r="K485">
        <f t="shared" ref="K485:P485" ca="1" si="512">J485*EXP(($C$4-0.5*$C$5^2)*$C$10+$C$5*SQRT($C$10)*NORMINV(RAND(),0,1))</f>
        <v>101.91972838665482</v>
      </c>
      <c r="L485">
        <f t="shared" ca="1" si="512"/>
        <v>102.03274173494208</v>
      </c>
      <c r="M485">
        <f t="shared" ca="1" si="512"/>
        <v>92.498223371100863</v>
      </c>
      <c r="N485">
        <f t="shared" ca="1" si="512"/>
        <v>90.154021147204006</v>
      </c>
      <c r="O485">
        <f t="shared" ca="1" si="512"/>
        <v>86.908948064064674</v>
      </c>
      <c r="P485">
        <f t="shared" ca="1" si="512"/>
        <v>87.316917691356281</v>
      </c>
      <c r="Q485">
        <f t="shared" ca="1" si="480"/>
        <v>99.865427652503925</v>
      </c>
      <c r="R485">
        <f t="shared" ca="1" si="481"/>
        <v>0</v>
      </c>
      <c r="S485">
        <f t="shared" ca="1" si="482"/>
        <v>0</v>
      </c>
    </row>
    <row r="486" spans="5:19" x14ac:dyDescent="0.75">
      <c r="E486">
        <v>481</v>
      </c>
      <c r="F486">
        <v>100</v>
      </c>
      <c r="G486">
        <f t="shared" ca="1" si="478"/>
        <v>95.096540839106751</v>
      </c>
      <c r="H486">
        <f t="shared" ca="1" si="478"/>
        <v>97.239822860952913</v>
      </c>
      <c r="I486">
        <f t="shared" ca="1" si="478"/>
        <v>93.214702491589065</v>
      </c>
      <c r="J486">
        <f t="shared" ca="1" si="478"/>
        <v>95.470566162802413</v>
      </c>
      <c r="K486">
        <f t="shared" ref="K486:P486" ca="1" si="513">J486*EXP(($C$4-0.5*$C$5^2)*$C$10+$C$5*SQRT($C$10)*NORMINV(RAND(),0,1))</f>
        <v>88.160988861681787</v>
      </c>
      <c r="L486">
        <f t="shared" ca="1" si="513"/>
        <v>86.393046080902394</v>
      </c>
      <c r="M486">
        <f t="shared" ca="1" si="513"/>
        <v>92.283686873788895</v>
      </c>
      <c r="N486">
        <f t="shared" ca="1" si="513"/>
        <v>88.506284935208825</v>
      </c>
      <c r="O486">
        <f t="shared" ca="1" si="513"/>
        <v>85.494062659896585</v>
      </c>
      <c r="P486">
        <f t="shared" ca="1" si="513"/>
        <v>86.762825410912825</v>
      </c>
      <c r="Q486">
        <f t="shared" ca="1" si="480"/>
        <v>91.692957016076576</v>
      </c>
      <c r="R486">
        <f t="shared" ca="1" si="481"/>
        <v>0</v>
      </c>
      <c r="S486">
        <f t="shared" ca="1" si="482"/>
        <v>0</v>
      </c>
    </row>
    <row r="487" spans="5:19" x14ac:dyDescent="0.75">
      <c r="E487">
        <v>482</v>
      </c>
      <c r="F487">
        <v>100</v>
      </c>
      <c r="G487">
        <f t="shared" ca="1" si="478"/>
        <v>84.459660640916226</v>
      </c>
      <c r="H487">
        <f t="shared" ca="1" si="478"/>
        <v>85.916182185963478</v>
      </c>
      <c r="I487">
        <f t="shared" ca="1" si="478"/>
        <v>81.646655811600411</v>
      </c>
      <c r="J487">
        <f t="shared" ca="1" si="478"/>
        <v>67.818817454231649</v>
      </c>
      <c r="K487">
        <f t="shared" ref="K487:P487" ca="1" si="514">J487*EXP(($C$4-0.5*$C$5^2)*$C$10+$C$5*SQRT($C$10)*NORMINV(RAND(),0,1))</f>
        <v>65.767047576622105</v>
      </c>
      <c r="L487">
        <f t="shared" ca="1" si="514"/>
        <v>72.691938681257994</v>
      </c>
      <c r="M487">
        <f t="shared" ca="1" si="514"/>
        <v>68.939719424080536</v>
      </c>
      <c r="N487">
        <f t="shared" ca="1" si="514"/>
        <v>72.757805734845789</v>
      </c>
      <c r="O487">
        <f t="shared" ca="1" si="514"/>
        <v>77.400186837041005</v>
      </c>
      <c r="P487">
        <f t="shared" ca="1" si="514"/>
        <v>73.915041077169974</v>
      </c>
      <c r="Q487">
        <f t="shared" ca="1" si="480"/>
        <v>77.392095947611736</v>
      </c>
      <c r="R487">
        <f t="shared" ca="1" si="481"/>
        <v>0</v>
      </c>
      <c r="S487">
        <f t="shared" ca="1" si="482"/>
        <v>0</v>
      </c>
    </row>
    <row r="488" spans="5:19" x14ac:dyDescent="0.75">
      <c r="E488">
        <v>483</v>
      </c>
      <c r="F488">
        <v>100</v>
      </c>
      <c r="G488">
        <f t="shared" ca="1" si="478"/>
        <v>90.133498907517932</v>
      </c>
      <c r="H488">
        <f t="shared" ca="1" si="478"/>
        <v>90.318362765803599</v>
      </c>
      <c r="I488">
        <f t="shared" ca="1" si="478"/>
        <v>86.914363351313597</v>
      </c>
      <c r="J488">
        <f t="shared" ca="1" si="478"/>
        <v>83.982558838933883</v>
      </c>
      <c r="K488">
        <f t="shared" ref="K488:P488" ca="1" si="515">J488*EXP(($C$4-0.5*$C$5^2)*$C$10+$C$5*SQRT($C$10)*NORMINV(RAND(),0,1))</f>
        <v>78.600002094866554</v>
      </c>
      <c r="L488">
        <f t="shared" ca="1" si="515"/>
        <v>77.61103331245998</v>
      </c>
      <c r="M488">
        <f t="shared" ca="1" si="515"/>
        <v>77.599971395129231</v>
      </c>
      <c r="N488">
        <f t="shared" ca="1" si="515"/>
        <v>75.223409069785518</v>
      </c>
      <c r="O488">
        <f t="shared" ca="1" si="515"/>
        <v>67.279935710782468</v>
      </c>
      <c r="P488">
        <f t="shared" ca="1" si="515"/>
        <v>69.806033854662957</v>
      </c>
      <c r="Q488">
        <f t="shared" ca="1" si="480"/>
        <v>81.588106300114163</v>
      </c>
      <c r="R488">
        <f t="shared" ca="1" si="481"/>
        <v>0</v>
      </c>
      <c r="S488">
        <f t="shared" ca="1" si="482"/>
        <v>0</v>
      </c>
    </row>
    <row r="489" spans="5:19" x14ac:dyDescent="0.75">
      <c r="E489">
        <v>484</v>
      </c>
      <c r="F489">
        <v>100</v>
      </c>
      <c r="G489">
        <f t="shared" ca="1" si="478"/>
        <v>104.24591667821193</v>
      </c>
      <c r="H489">
        <f t="shared" ca="1" si="478"/>
        <v>108.76179087447876</v>
      </c>
      <c r="I489">
        <f t="shared" ca="1" si="478"/>
        <v>101.63978217245213</v>
      </c>
      <c r="J489">
        <f t="shared" ca="1" si="478"/>
        <v>97.679804848454367</v>
      </c>
      <c r="K489">
        <f t="shared" ref="K489:P489" ca="1" si="516">J489*EXP(($C$4-0.5*$C$5^2)*$C$10+$C$5*SQRT($C$10)*NORMINV(RAND(),0,1))</f>
        <v>100.29140105112116</v>
      </c>
      <c r="L489">
        <f t="shared" ca="1" si="516"/>
        <v>101.20113230579344</v>
      </c>
      <c r="M489">
        <f t="shared" ca="1" si="516"/>
        <v>101.82297092066861</v>
      </c>
      <c r="N489">
        <f t="shared" ca="1" si="516"/>
        <v>103.88234028215815</v>
      </c>
      <c r="O489">
        <f t="shared" ca="1" si="516"/>
        <v>104.77108046719619</v>
      </c>
      <c r="P489">
        <f t="shared" ca="1" si="516"/>
        <v>110.00399292254367</v>
      </c>
      <c r="Q489">
        <f t="shared" ca="1" si="480"/>
        <v>103.11820113846166</v>
      </c>
      <c r="R489">
        <f t="shared" ca="1" si="481"/>
        <v>3.1182011384616573</v>
      </c>
      <c r="S489">
        <f t="shared" ca="1" si="482"/>
        <v>3.0564566190237303</v>
      </c>
    </row>
    <row r="490" spans="5:19" x14ac:dyDescent="0.75">
      <c r="E490">
        <v>485</v>
      </c>
      <c r="F490">
        <v>100</v>
      </c>
      <c r="G490">
        <f t="shared" ca="1" si="478"/>
        <v>97.212767707594239</v>
      </c>
      <c r="H490">
        <f t="shared" ca="1" si="478"/>
        <v>88.870165264000761</v>
      </c>
      <c r="I490">
        <f t="shared" ca="1" si="478"/>
        <v>94.223143960666761</v>
      </c>
      <c r="J490">
        <f t="shared" ca="1" si="478"/>
        <v>98.151512301077545</v>
      </c>
      <c r="K490">
        <f t="shared" ref="K490:P490" ca="1" si="517">J490*EXP(($C$4-0.5*$C$5^2)*$C$10+$C$5*SQRT($C$10)*NORMINV(RAND(),0,1))</f>
        <v>90.048439304997828</v>
      </c>
      <c r="L490">
        <f t="shared" ca="1" si="517"/>
        <v>95.154498857344365</v>
      </c>
      <c r="M490">
        <f t="shared" ca="1" si="517"/>
        <v>96.516259824943916</v>
      </c>
      <c r="N490">
        <f t="shared" ca="1" si="517"/>
        <v>94.501959567205034</v>
      </c>
      <c r="O490">
        <f t="shared" ca="1" si="517"/>
        <v>90.671811789885709</v>
      </c>
      <c r="P490">
        <f t="shared" ca="1" si="517"/>
        <v>89.948017715526433</v>
      </c>
      <c r="Q490">
        <f t="shared" ca="1" si="480"/>
        <v>94.118052390294807</v>
      </c>
      <c r="R490">
        <f t="shared" ca="1" si="481"/>
        <v>0</v>
      </c>
      <c r="S490">
        <f t="shared" ca="1" si="482"/>
        <v>0</v>
      </c>
    </row>
    <row r="491" spans="5:19" x14ac:dyDescent="0.75">
      <c r="E491">
        <v>486</v>
      </c>
      <c r="F491">
        <v>100</v>
      </c>
      <c r="G491">
        <f t="shared" ca="1" si="478"/>
        <v>102.58960978419367</v>
      </c>
      <c r="H491">
        <f t="shared" ca="1" si="478"/>
        <v>101.07536760626634</v>
      </c>
      <c r="I491">
        <f t="shared" ca="1" si="478"/>
        <v>97.051770937855338</v>
      </c>
      <c r="J491">
        <f t="shared" ca="1" si="478"/>
        <v>99.119824626065963</v>
      </c>
      <c r="K491">
        <f t="shared" ref="K491:P491" ca="1" si="518">J491*EXP(($C$4-0.5*$C$5^2)*$C$10+$C$5*SQRT($C$10)*NORMINV(RAND(),0,1))</f>
        <v>104.56584464408883</v>
      </c>
      <c r="L491">
        <f t="shared" ca="1" si="518"/>
        <v>110.50081178988057</v>
      </c>
      <c r="M491">
        <f t="shared" ca="1" si="518"/>
        <v>116.77780198062564</v>
      </c>
      <c r="N491">
        <f t="shared" ca="1" si="518"/>
        <v>111.21599098310577</v>
      </c>
      <c r="O491">
        <f t="shared" ca="1" si="518"/>
        <v>107.51819464396328</v>
      </c>
      <c r="P491">
        <f t="shared" ca="1" si="518"/>
        <v>109.84403071915446</v>
      </c>
      <c r="Q491">
        <f t="shared" ca="1" si="480"/>
        <v>105.47811342865452</v>
      </c>
      <c r="R491">
        <f t="shared" ca="1" si="481"/>
        <v>5.4781134286545239</v>
      </c>
      <c r="S491">
        <f t="shared" ca="1" si="482"/>
        <v>5.3696395149910847</v>
      </c>
    </row>
    <row r="492" spans="5:19" x14ac:dyDescent="0.75">
      <c r="E492">
        <v>487</v>
      </c>
      <c r="F492">
        <v>100</v>
      </c>
      <c r="G492">
        <f t="shared" ca="1" si="478"/>
        <v>91.111751403389704</v>
      </c>
      <c r="H492">
        <f t="shared" ca="1" si="478"/>
        <v>99.345907194139187</v>
      </c>
      <c r="I492">
        <f t="shared" ca="1" si="478"/>
        <v>104.85662837255587</v>
      </c>
      <c r="J492">
        <f t="shared" ca="1" si="478"/>
        <v>103.48851186102551</v>
      </c>
      <c r="K492">
        <f t="shared" ref="K492:P492" ca="1" si="519">J492*EXP(($C$4-0.5*$C$5^2)*$C$10+$C$5*SQRT($C$10)*NORMINV(RAND(),0,1))</f>
        <v>109.1541381304406</v>
      </c>
      <c r="L492">
        <f t="shared" ca="1" si="519"/>
        <v>118.50330470257438</v>
      </c>
      <c r="M492">
        <f t="shared" ca="1" si="519"/>
        <v>113.46703369988488</v>
      </c>
      <c r="N492">
        <f t="shared" ca="1" si="519"/>
        <v>100.15048830231989</v>
      </c>
      <c r="O492">
        <f t="shared" ca="1" si="519"/>
        <v>96.588300826936788</v>
      </c>
      <c r="P492">
        <f t="shared" ca="1" si="519"/>
        <v>92.844191497908511</v>
      </c>
      <c r="Q492">
        <f t="shared" ca="1" si="480"/>
        <v>102.68275054465229</v>
      </c>
      <c r="R492">
        <f t="shared" ca="1" si="481"/>
        <v>2.6827505446522935</v>
      </c>
      <c r="S492">
        <f t="shared" ca="1" si="482"/>
        <v>2.629628524681153</v>
      </c>
    </row>
    <row r="493" spans="5:19" x14ac:dyDescent="0.75">
      <c r="E493">
        <v>488</v>
      </c>
      <c r="F493">
        <v>100</v>
      </c>
      <c r="G493">
        <f t="shared" ca="1" si="478"/>
        <v>107.44043095895999</v>
      </c>
      <c r="H493">
        <f t="shared" ca="1" si="478"/>
        <v>104.29652562455335</v>
      </c>
      <c r="I493">
        <f t="shared" ca="1" si="478"/>
        <v>102.47840285502913</v>
      </c>
      <c r="J493">
        <f t="shared" ca="1" si="478"/>
        <v>92.009449140451309</v>
      </c>
      <c r="K493">
        <f t="shared" ref="K493:P493" ca="1" si="520">J493*EXP(($C$4-0.5*$C$5^2)*$C$10+$C$5*SQRT($C$10)*NORMINV(RAND(),0,1))</f>
        <v>95.308145900853958</v>
      </c>
      <c r="L493">
        <f t="shared" ca="1" si="520"/>
        <v>99.803548126328607</v>
      </c>
      <c r="M493">
        <f t="shared" ca="1" si="520"/>
        <v>101.11877329017663</v>
      </c>
      <c r="N493">
        <f t="shared" ca="1" si="520"/>
        <v>98.675364006648437</v>
      </c>
      <c r="O493">
        <f t="shared" ca="1" si="520"/>
        <v>96.421838696609584</v>
      </c>
      <c r="P493">
        <f t="shared" ca="1" si="520"/>
        <v>88.25766960162143</v>
      </c>
      <c r="Q493">
        <f t="shared" ca="1" si="480"/>
        <v>98.710013472839307</v>
      </c>
      <c r="R493">
        <f t="shared" ca="1" si="481"/>
        <v>0</v>
      </c>
      <c r="S493">
        <f t="shared" ca="1" si="482"/>
        <v>0</v>
      </c>
    </row>
    <row r="494" spans="5:19" x14ac:dyDescent="0.75">
      <c r="E494">
        <v>489</v>
      </c>
      <c r="F494">
        <v>100</v>
      </c>
      <c r="G494">
        <f t="shared" ca="1" si="478"/>
        <v>102.90560283278924</v>
      </c>
      <c r="H494">
        <f t="shared" ca="1" si="478"/>
        <v>110.05150566840989</v>
      </c>
      <c r="I494">
        <f t="shared" ca="1" si="478"/>
        <v>106.85987320078061</v>
      </c>
      <c r="J494">
        <f t="shared" ca="1" si="478"/>
        <v>116.46955280617566</v>
      </c>
      <c r="K494">
        <f t="shared" ref="K494:P494" ca="1" si="521">J494*EXP(($C$4-0.5*$C$5^2)*$C$10+$C$5*SQRT($C$10)*NORMINV(RAND(),0,1))</f>
        <v>115.13792218021348</v>
      </c>
      <c r="L494">
        <f t="shared" ca="1" si="521"/>
        <v>123.88091287709142</v>
      </c>
      <c r="M494">
        <f t="shared" ca="1" si="521"/>
        <v>130.14694001060684</v>
      </c>
      <c r="N494">
        <f t="shared" ca="1" si="521"/>
        <v>121.69559816761809</v>
      </c>
      <c r="O494">
        <f t="shared" ca="1" si="521"/>
        <v>116.90820882029799</v>
      </c>
      <c r="P494">
        <f t="shared" ca="1" si="521"/>
        <v>110.43746987520622</v>
      </c>
      <c r="Q494">
        <f t="shared" ca="1" si="480"/>
        <v>114.04487149447176</v>
      </c>
      <c r="R494">
        <f t="shared" ca="1" si="481"/>
        <v>14.044871494471764</v>
      </c>
      <c r="S494">
        <f t="shared" ca="1" si="482"/>
        <v>13.766764405645088</v>
      </c>
    </row>
    <row r="495" spans="5:19" x14ac:dyDescent="0.75">
      <c r="E495">
        <v>490</v>
      </c>
      <c r="F495">
        <v>100</v>
      </c>
      <c r="G495">
        <f t="shared" ca="1" si="478"/>
        <v>109.61750543544488</v>
      </c>
      <c r="H495">
        <f t="shared" ca="1" si="478"/>
        <v>115.78868808098942</v>
      </c>
      <c r="I495">
        <f t="shared" ca="1" si="478"/>
        <v>113.85101450369507</v>
      </c>
      <c r="J495">
        <f t="shared" ca="1" si="478"/>
        <v>111.88333022027321</v>
      </c>
      <c r="K495">
        <f t="shared" ref="K495:P495" ca="1" si="522">J495*EXP(($C$4-0.5*$C$5^2)*$C$10+$C$5*SQRT($C$10)*NORMINV(RAND(),0,1))</f>
        <v>104.25558327276497</v>
      </c>
      <c r="L495">
        <f t="shared" ca="1" si="522"/>
        <v>102.93620887387358</v>
      </c>
      <c r="M495">
        <f t="shared" ca="1" si="522"/>
        <v>108.41781274550574</v>
      </c>
      <c r="N495">
        <f t="shared" ca="1" si="522"/>
        <v>110.41824807711214</v>
      </c>
      <c r="O495">
        <f t="shared" ca="1" si="522"/>
        <v>114.19377918878941</v>
      </c>
      <c r="P495">
        <f t="shared" ca="1" si="522"/>
        <v>120.22554535870398</v>
      </c>
      <c r="Q495">
        <f t="shared" ca="1" si="480"/>
        <v>110.14433779610478</v>
      </c>
      <c r="R495">
        <f t="shared" ca="1" si="481"/>
        <v>10.144337796104779</v>
      </c>
      <c r="S495">
        <f t="shared" ca="1" si="482"/>
        <v>9.9434664493174783</v>
      </c>
    </row>
    <row r="496" spans="5:19" x14ac:dyDescent="0.75">
      <c r="E496">
        <v>491</v>
      </c>
      <c r="F496">
        <v>100</v>
      </c>
      <c r="G496">
        <f t="shared" ca="1" si="478"/>
        <v>101.37928871170733</v>
      </c>
      <c r="H496">
        <f t="shared" ca="1" si="478"/>
        <v>109.99764186982783</v>
      </c>
      <c r="I496">
        <f t="shared" ca="1" si="478"/>
        <v>105.25222445905197</v>
      </c>
      <c r="J496">
        <f t="shared" ca="1" si="478"/>
        <v>101.70706109485894</v>
      </c>
      <c r="K496">
        <f t="shared" ref="K496:P496" ca="1" si="523">J496*EXP(($C$4-0.5*$C$5^2)*$C$10+$C$5*SQRT($C$10)*NORMINV(RAND(),0,1))</f>
        <v>109.49071373998071</v>
      </c>
      <c r="L496">
        <f t="shared" ca="1" si="523"/>
        <v>102.84210131546513</v>
      </c>
      <c r="M496">
        <f t="shared" ca="1" si="523"/>
        <v>99.227712632613688</v>
      </c>
      <c r="N496">
        <f t="shared" ca="1" si="523"/>
        <v>102.35903536629944</v>
      </c>
      <c r="O496">
        <f t="shared" ca="1" si="523"/>
        <v>117.18085309816298</v>
      </c>
      <c r="P496">
        <f t="shared" ca="1" si="523"/>
        <v>106.55297561993758</v>
      </c>
      <c r="Q496">
        <f t="shared" ca="1" si="480"/>
        <v>105.08996435526414</v>
      </c>
      <c r="R496">
        <f t="shared" ca="1" si="481"/>
        <v>5.0899643552641436</v>
      </c>
      <c r="S496">
        <f t="shared" ca="1" si="482"/>
        <v>4.9891763082085872</v>
      </c>
    </row>
    <row r="497" spans="5:19" x14ac:dyDescent="0.75">
      <c r="E497">
        <v>492</v>
      </c>
      <c r="F497">
        <v>100</v>
      </c>
      <c r="G497">
        <f t="shared" ca="1" si="478"/>
        <v>103.89180072085421</v>
      </c>
      <c r="H497">
        <f t="shared" ca="1" si="478"/>
        <v>103.31133689505569</v>
      </c>
      <c r="I497">
        <f t="shared" ca="1" si="478"/>
        <v>101.61077661710019</v>
      </c>
      <c r="J497">
        <f t="shared" ca="1" si="478"/>
        <v>97.249668762758517</v>
      </c>
      <c r="K497">
        <f t="shared" ref="K497:P497" ca="1" si="524">J497*EXP(($C$4-0.5*$C$5^2)*$C$10+$C$5*SQRT($C$10)*NORMINV(RAND(),0,1))</f>
        <v>98.991315668700224</v>
      </c>
      <c r="L497">
        <f t="shared" ca="1" si="524"/>
        <v>93.893692072868149</v>
      </c>
      <c r="M497">
        <f t="shared" ca="1" si="524"/>
        <v>96.693696520433789</v>
      </c>
      <c r="N497">
        <f t="shared" ca="1" si="524"/>
        <v>109.38653284513897</v>
      </c>
      <c r="O497">
        <f t="shared" ca="1" si="524"/>
        <v>109.37676881744578</v>
      </c>
      <c r="P497">
        <f t="shared" ca="1" si="524"/>
        <v>118.37173739753156</v>
      </c>
      <c r="Q497">
        <f t="shared" ca="1" si="480"/>
        <v>102.97975693798975</v>
      </c>
      <c r="R497">
        <f t="shared" ca="1" si="481"/>
        <v>2.9797569379897482</v>
      </c>
      <c r="S497">
        <f t="shared" ca="1" si="482"/>
        <v>2.9207537973941506</v>
      </c>
    </row>
    <row r="498" spans="5:19" x14ac:dyDescent="0.75">
      <c r="E498">
        <v>493</v>
      </c>
      <c r="F498">
        <v>100</v>
      </c>
      <c r="G498">
        <f t="shared" ca="1" si="478"/>
        <v>86.109336341999054</v>
      </c>
      <c r="H498">
        <f t="shared" ca="1" si="478"/>
        <v>82.246744016254098</v>
      </c>
      <c r="I498">
        <f t="shared" ca="1" si="478"/>
        <v>80.952488503198225</v>
      </c>
      <c r="J498">
        <f t="shared" ca="1" si="478"/>
        <v>69.727899301530641</v>
      </c>
      <c r="K498">
        <f t="shared" ref="K498:P498" ca="1" si="525">J498*EXP(($C$4-0.5*$C$5^2)*$C$10+$C$5*SQRT($C$10)*NORMINV(RAND(),0,1))</f>
        <v>73.570808785024468</v>
      </c>
      <c r="L498">
        <f t="shared" ca="1" si="525"/>
        <v>67.352080492128181</v>
      </c>
      <c r="M498">
        <f t="shared" ca="1" si="525"/>
        <v>63.854661171192689</v>
      </c>
      <c r="N498">
        <f t="shared" ca="1" si="525"/>
        <v>57.765452439281347</v>
      </c>
      <c r="O498">
        <f t="shared" ca="1" si="525"/>
        <v>61.05397350158394</v>
      </c>
      <c r="P498">
        <f t="shared" ca="1" si="525"/>
        <v>62.537473885301289</v>
      </c>
      <c r="Q498">
        <f t="shared" ca="1" si="480"/>
        <v>73.197356221590368</v>
      </c>
      <c r="R498">
        <f t="shared" ca="1" si="481"/>
        <v>0</v>
      </c>
      <c r="S498">
        <f t="shared" ca="1" si="482"/>
        <v>0</v>
      </c>
    </row>
    <row r="499" spans="5:19" x14ac:dyDescent="0.75">
      <c r="E499">
        <v>494</v>
      </c>
      <c r="F499">
        <v>100</v>
      </c>
      <c r="G499">
        <f t="shared" ca="1" si="478"/>
        <v>93.098594188286285</v>
      </c>
      <c r="H499">
        <f t="shared" ca="1" si="478"/>
        <v>89.520273887957728</v>
      </c>
      <c r="I499">
        <f t="shared" ca="1" si="478"/>
        <v>99.414385293520141</v>
      </c>
      <c r="J499">
        <f t="shared" ca="1" si="478"/>
        <v>100.2299421423934</v>
      </c>
      <c r="K499">
        <f t="shared" ref="K499:P499" ca="1" si="526">J499*EXP(($C$4-0.5*$C$5^2)*$C$10+$C$5*SQRT($C$10)*NORMINV(RAND(),0,1))</f>
        <v>98.151132182914452</v>
      </c>
      <c r="L499">
        <f t="shared" ca="1" si="526"/>
        <v>93.599175039546708</v>
      </c>
      <c r="M499">
        <f t="shared" ca="1" si="526"/>
        <v>93.686956401522181</v>
      </c>
      <c r="N499">
        <f t="shared" ca="1" si="526"/>
        <v>86.147387806527419</v>
      </c>
      <c r="O499">
        <f t="shared" ca="1" si="526"/>
        <v>93.620189814048317</v>
      </c>
      <c r="P499">
        <f t="shared" ca="1" si="526"/>
        <v>99.411483382903768</v>
      </c>
      <c r="Q499">
        <f t="shared" ca="1" si="480"/>
        <v>95.170865467238215</v>
      </c>
      <c r="R499">
        <f t="shared" ca="1" si="481"/>
        <v>0</v>
      </c>
      <c r="S499">
        <f t="shared" ca="1" si="482"/>
        <v>0</v>
      </c>
    </row>
    <row r="500" spans="5:19" x14ac:dyDescent="0.75">
      <c r="E500">
        <v>495</v>
      </c>
      <c r="F500">
        <v>100</v>
      </c>
      <c r="G500">
        <f t="shared" ca="1" si="478"/>
        <v>97.091792682540955</v>
      </c>
      <c r="H500">
        <f t="shared" ca="1" si="478"/>
        <v>100.60063798227452</v>
      </c>
      <c r="I500">
        <f t="shared" ca="1" si="478"/>
        <v>93.640422752841843</v>
      </c>
      <c r="J500">
        <f t="shared" ca="1" si="478"/>
        <v>87.563530609085774</v>
      </c>
      <c r="K500">
        <f t="shared" ref="K500:P500" ca="1" si="527">J500*EXP(($C$4-0.5*$C$5^2)*$C$10+$C$5*SQRT($C$10)*NORMINV(RAND(),0,1))</f>
        <v>89.090616602781878</v>
      </c>
      <c r="L500">
        <f t="shared" ca="1" si="527"/>
        <v>79.836316391856499</v>
      </c>
      <c r="M500">
        <f t="shared" ca="1" si="527"/>
        <v>82.672606287071986</v>
      </c>
      <c r="N500">
        <f t="shared" ca="1" si="527"/>
        <v>86.39782790913776</v>
      </c>
      <c r="O500">
        <f t="shared" ca="1" si="527"/>
        <v>89.299375302763551</v>
      </c>
      <c r="P500">
        <f t="shared" ca="1" si="527"/>
        <v>81.63640928116051</v>
      </c>
      <c r="Q500">
        <f t="shared" ca="1" si="480"/>
        <v>89.802685072865017</v>
      </c>
      <c r="R500">
        <f t="shared" ca="1" si="481"/>
        <v>0</v>
      </c>
      <c r="S500">
        <f t="shared" ca="1" si="482"/>
        <v>0</v>
      </c>
    </row>
    <row r="501" spans="5:19" x14ac:dyDescent="0.75">
      <c r="E501">
        <v>496</v>
      </c>
      <c r="F501">
        <v>100</v>
      </c>
      <c r="G501">
        <f t="shared" ca="1" si="478"/>
        <v>100.72747307452789</v>
      </c>
      <c r="H501">
        <f t="shared" ca="1" si="478"/>
        <v>101.58659265532923</v>
      </c>
      <c r="I501">
        <f t="shared" ca="1" si="478"/>
        <v>102.40438368775798</v>
      </c>
      <c r="J501">
        <f t="shared" ca="1" si="478"/>
        <v>92.863324066797745</v>
      </c>
      <c r="K501">
        <f t="shared" ref="K501:P501" ca="1" si="528">J501*EXP(($C$4-0.5*$C$5^2)*$C$10+$C$5*SQRT($C$10)*NORMINV(RAND(),0,1))</f>
        <v>98.392384724623781</v>
      </c>
      <c r="L501">
        <f t="shared" ca="1" si="528"/>
        <v>103.63825070141488</v>
      </c>
      <c r="M501">
        <f t="shared" ca="1" si="528"/>
        <v>93.519095528595898</v>
      </c>
      <c r="N501">
        <f t="shared" ca="1" si="528"/>
        <v>83.214085284684984</v>
      </c>
      <c r="O501">
        <f t="shared" ca="1" si="528"/>
        <v>83.831263722342754</v>
      </c>
      <c r="P501">
        <f t="shared" ca="1" si="528"/>
        <v>76.573395109276262</v>
      </c>
      <c r="Q501">
        <f t="shared" ca="1" si="480"/>
        <v>94.250022595941061</v>
      </c>
      <c r="R501">
        <f t="shared" ca="1" si="481"/>
        <v>0</v>
      </c>
      <c r="S501">
        <f t="shared" ca="1" si="482"/>
        <v>0</v>
      </c>
    </row>
    <row r="502" spans="5:19" x14ac:dyDescent="0.75">
      <c r="E502">
        <v>497</v>
      </c>
      <c r="F502">
        <v>100</v>
      </c>
      <c r="G502">
        <f t="shared" ca="1" si="478"/>
        <v>95.514521117559184</v>
      </c>
      <c r="H502">
        <f t="shared" ca="1" si="478"/>
        <v>97.835298149472592</v>
      </c>
      <c r="I502">
        <f t="shared" ca="1" si="478"/>
        <v>89.797868781293445</v>
      </c>
      <c r="J502">
        <f t="shared" ca="1" si="478"/>
        <v>87.805155735662581</v>
      </c>
      <c r="K502">
        <f t="shared" ref="K502:P502" ca="1" si="529">J502*EXP(($C$4-0.5*$C$5^2)*$C$10+$C$5*SQRT($C$10)*NORMINV(RAND(),0,1))</f>
        <v>92.550796112250083</v>
      </c>
      <c r="L502">
        <f t="shared" ca="1" si="529"/>
        <v>89.920950233675299</v>
      </c>
      <c r="M502">
        <f t="shared" ca="1" si="529"/>
        <v>91.345534669780605</v>
      </c>
      <c r="N502">
        <f t="shared" ca="1" si="529"/>
        <v>90.032289838410293</v>
      </c>
      <c r="O502">
        <f t="shared" ca="1" si="529"/>
        <v>88.905344405341125</v>
      </c>
      <c r="P502">
        <f t="shared" ca="1" si="529"/>
        <v>91.177008351836974</v>
      </c>
      <c r="Q502">
        <f t="shared" ca="1" si="480"/>
        <v>92.262251581389293</v>
      </c>
      <c r="R502">
        <f t="shared" ca="1" si="481"/>
        <v>0</v>
      </c>
      <c r="S502">
        <f t="shared" ca="1" si="482"/>
        <v>0</v>
      </c>
    </row>
    <row r="503" spans="5:19" x14ac:dyDescent="0.75">
      <c r="E503">
        <v>498</v>
      </c>
      <c r="F503">
        <v>100</v>
      </c>
      <c r="G503">
        <f t="shared" ca="1" si="478"/>
        <v>101.01922920357092</v>
      </c>
      <c r="H503">
        <f t="shared" ca="1" si="478"/>
        <v>100.32065256241168</v>
      </c>
      <c r="I503">
        <f t="shared" ca="1" si="478"/>
        <v>102.49365771215832</v>
      </c>
      <c r="J503">
        <f t="shared" ca="1" si="478"/>
        <v>98.327077495902586</v>
      </c>
      <c r="K503">
        <f t="shared" ref="K503:P503" ca="1" si="530">J503*EXP(($C$4-0.5*$C$5^2)*$C$10+$C$5*SQRT($C$10)*NORMINV(RAND(),0,1))</f>
        <v>95.609525161897153</v>
      </c>
      <c r="L503">
        <f t="shared" ca="1" si="530"/>
        <v>91.090983743116652</v>
      </c>
      <c r="M503">
        <f t="shared" ca="1" si="530"/>
        <v>86.389112363148058</v>
      </c>
      <c r="N503">
        <f t="shared" ca="1" si="530"/>
        <v>83.909658676386812</v>
      </c>
      <c r="O503">
        <f t="shared" ca="1" si="530"/>
        <v>73.996573323950685</v>
      </c>
      <c r="P503">
        <f t="shared" ca="1" si="530"/>
        <v>74.796986963247406</v>
      </c>
      <c r="Q503">
        <f t="shared" ca="1" si="480"/>
        <v>91.632132473253648</v>
      </c>
      <c r="R503">
        <f t="shared" ca="1" si="481"/>
        <v>0</v>
      </c>
      <c r="S503">
        <f t="shared" ca="1" si="482"/>
        <v>0</v>
      </c>
    </row>
    <row r="504" spans="5:19" x14ac:dyDescent="0.75">
      <c r="E504">
        <v>499</v>
      </c>
      <c r="F504">
        <v>100</v>
      </c>
      <c r="G504">
        <f t="shared" ca="1" si="478"/>
        <v>106.38664851995668</v>
      </c>
      <c r="H504">
        <f t="shared" ca="1" si="478"/>
        <v>108.28552564640648</v>
      </c>
      <c r="I504">
        <f t="shared" ca="1" si="478"/>
        <v>107.44314914874646</v>
      </c>
      <c r="J504">
        <f t="shared" ca="1" si="478"/>
        <v>103.93013785295967</v>
      </c>
      <c r="K504">
        <f t="shared" ref="K504:P504" ca="1" si="531">J504*EXP(($C$4-0.5*$C$5^2)*$C$10+$C$5*SQRT($C$10)*NORMINV(RAND(),0,1))</f>
        <v>110.60376436547182</v>
      </c>
      <c r="L504">
        <f t="shared" ca="1" si="531"/>
        <v>107.65690466120883</v>
      </c>
      <c r="M504">
        <f t="shared" ca="1" si="531"/>
        <v>115.00530491083991</v>
      </c>
      <c r="N504">
        <f t="shared" ca="1" si="531"/>
        <v>108.72368455251478</v>
      </c>
      <c r="O504">
        <f t="shared" ca="1" si="531"/>
        <v>107.84392857652625</v>
      </c>
      <c r="P504">
        <f t="shared" ca="1" si="531"/>
        <v>102.17144462545096</v>
      </c>
      <c r="Q504">
        <f t="shared" ca="1" si="480"/>
        <v>107.09549935091651</v>
      </c>
      <c r="R504">
        <f t="shared" ca="1" si="481"/>
        <v>7.0954993509165121</v>
      </c>
      <c r="S504">
        <f t="shared" ca="1" si="482"/>
        <v>6.9549990502173085</v>
      </c>
    </row>
    <row r="505" spans="5:19" x14ac:dyDescent="0.75">
      <c r="E505">
        <v>500</v>
      </c>
      <c r="F505">
        <v>100</v>
      </c>
      <c r="G505">
        <f t="shared" ca="1" si="478"/>
        <v>93.498353782236762</v>
      </c>
      <c r="H505">
        <f t="shared" ca="1" si="478"/>
        <v>99.011660552362798</v>
      </c>
      <c r="I505">
        <f t="shared" ca="1" si="478"/>
        <v>102.99805989980486</v>
      </c>
      <c r="J505">
        <f t="shared" ca="1" si="478"/>
        <v>108.93901433911577</v>
      </c>
      <c r="K505">
        <f t="shared" ref="K505:P505" ca="1" si="532">J505*EXP(($C$4-0.5*$C$5^2)*$C$10+$C$5*SQRT($C$10)*NORMINV(RAND(),0,1))</f>
        <v>103.58849589298201</v>
      </c>
      <c r="L505">
        <f t="shared" ca="1" si="532"/>
        <v>103.74349404089251</v>
      </c>
      <c r="M505">
        <f t="shared" ca="1" si="532"/>
        <v>100.29956918903153</v>
      </c>
      <c r="N505">
        <f t="shared" ca="1" si="532"/>
        <v>97.031371838677885</v>
      </c>
      <c r="O505">
        <f t="shared" ca="1" si="532"/>
        <v>94.38127083852477</v>
      </c>
      <c r="P505">
        <f t="shared" ca="1" si="532"/>
        <v>93.163100217695998</v>
      </c>
      <c r="Q505">
        <f t="shared" ca="1" si="480"/>
        <v>99.695853690120444</v>
      </c>
      <c r="R505">
        <f t="shared" ca="1" si="481"/>
        <v>0</v>
      </c>
      <c r="S505">
        <f t="shared" ca="1" si="482"/>
        <v>0</v>
      </c>
    </row>
    <row r="506" spans="5:19" x14ac:dyDescent="0.75">
      <c r="E506">
        <v>501</v>
      </c>
      <c r="F506">
        <v>100</v>
      </c>
      <c r="G506">
        <f t="shared" ca="1" si="478"/>
        <v>96.082673628239462</v>
      </c>
      <c r="H506">
        <f t="shared" ca="1" si="478"/>
        <v>101.41739865449517</v>
      </c>
      <c r="I506">
        <f t="shared" ca="1" si="478"/>
        <v>102.5543284208842</v>
      </c>
      <c r="J506">
        <f t="shared" ca="1" si="478"/>
        <v>106.8030316676096</v>
      </c>
      <c r="K506">
        <f t="shared" ref="K506:P506" ca="1" si="533">J506*EXP(($C$4-0.5*$C$5^2)*$C$10+$C$5*SQRT($C$10)*NORMINV(RAND(),0,1))</f>
        <v>112.39284721922925</v>
      </c>
      <c r="L506">
        <f t="shared" ca="1" si="533"/>
        <v>121.59322528056941</v>
      </c>
      <c r="M506">
        <f t="shared" ca="1" si="533"/>
        <v>111.46362293555713</v>
      </c>
      <c r="N506">
        <f t="shared" ca="1" si="533"/>
        <v>124.88797416428393</v>
      </c>
      <c r="O506">
        <f t="shared" ca="1" si="533"/>
        <v>122.15673911783163</v>
      </c>
      <c r="P506">
        <f t="shared" ca="1" si="533"/>
        <v>115.18129813121102</v>
      </c>
      <c r="Q506">
        <f t="shared" ca="1" si="480"/>
        <v>110.41210356544643</v>
      </c>
      <c r="R506">
        <f t="shared" ca="1" si="481"/>
        <v>10.412103565446429</v>
      </c>
      <c r="S506">
        <f t="shared" ca="1" si="482"/>
        <v>10.205930101183126</v>
      </c>
    </row>
    <row r="507" spans="5:19" x14ac:dyDescent="0.75">
      <c r="E507">
        <v>502</v>
      </c>
      <c r="F507">
        <v>100</v>
      </c>
      <c r="G507">
        <f t="shared" ca="1" si="478"/>
        <v>101.45437331293203</v>
      </c>
      <c r="H507">
        <f t="shared" ca="1" si="478"/>
        <v>110.44576850830427</v>
      </c>
      <c r="I507">
        <f t="shared" ca="1" si="478"/>
        <v>121.67404520565591</v>
      </c>
      <c r="J507">
        <f t="shared" ca="1" si="478"/>
        <v>116.39399344526765</v>
      </c>
      <c r="K507">
        <f t="shared" ref="K507:P507" ca="1" si="534">J507*EXP(($C$4-0.5*$C$5^2)*$C$10+$C$5*SQRT($C$10)*NORMINV(RAND(),0,1))</f>
        <v>107.72432137919671</v>
      </c>
      <c r="L507">
        <f t="shared" ca="1" si="534"/>
        <v>101.15057976222072</v>
      </c>
      <c r="M507">
        <f t="shared" ca="1" si="534"/>
        <v>99.686850150223378</v>
      </c>
      <c r="N507">
        <f t="shared" ca="1" si="534"/>
        <v>100.40451716248707</v>
      </c>
      <c r="O507">
        <f t="shared" ca="1" si="534"/>
        <v>101.77146585064591</v>
      </c>
      <c r="P507">
        <f t="shared" ca="1" si="534"/>
        <v>101.07877642572981</v>
      </c>
      <c r="Q507">
        <f t="shared" ca="1" si="480"/>
        <v>105.61679010933304</v>
      </c>
      <c r="R507">
        <f t="shared" ca="1" si="481"/>
        <v>5.6167901093330386</v>
      </c>
      <c r="S507">
        <f t="shared" ca="1" si="482"/>
        <v>5.5055702134107491</v>
      </c>
    </row>
    <row r="508" spans="5:19" x14ac:dyDescent="0.75">
      <c r="E508">
        <v>503</v>
      </c>
      <c r="F508">
        <v>100</v>
      </c>
      <c r="G508">
        <f t="shared" ca="1" si="478"/>
        <v>96.908003290686025</v>
      </c>
      <c r="H508">
        <f t="shared" ca="1" si="478"/>
        <v>98.403547433026944</v>
      </c>
      <c r="I508">
        <f t="shared" ca="1" si="478"/>
        <v>95.292853320585365</v>
      </c>
      <c r="J508">
        <f t="shared" ca="1" si="478"/>
        <v>97.240038789623512</v>
      </c>
      <c r="K508">
        <f t="shared" ref="K508:P508" ca="1" si="535">J508*EXP(($C$4-0.5*$C$5^2)*$C$10+$C$5*SQRT($C$10)*NORMINV(RAND(),0,1))</f>
        <v>101.22654684570436</v>
      </c>
      <c r="L508">
        <f t="shared" ca="1" si="535"/>
        <v>97.615034690940675</v>
      </c>
      <c r="M508">
        <f t="shared" ca="1" si="535"/>
        <v>117.47164704126435</v>
      </c>
      <c r="N508">
        <f t="shared" ca="1" si="535"/>
        <v>112.47861775145998</v>
      </c>
      <c r="O508">
        <f t="shared" ca="1" si="535"/>
        <v>106.70930947315469</v>
      </c>
      <c r="P508">
        <f t="shared" ca="1" si="535"/>
        <v>103.34869402692023</v>
      </c>
      <c r="Q508">
        <f t="shared" ca="1" si="480"/>
        <v>102.42675387848782</v>
      </c>
      <c r="R508">
        <f t="shared" ca="1" si="481"/>
        <v>2.4267538784878155</v>
      </c>
      <c r="S508">
        <f t="shared" ca="1" si="482"/>
        <v>2.3787009321357795</v>
      </c>
    </row>
    <row r="509" spans="5:19" x14ac:dyDescent="0.75">
      <c r="E509">
        <v>504</v>
      </c>
      <c r="F509">
        <v>100</v>
      </c>
      <c r="G509">
        <f t="shared" ca="1" si="478"/>
        <v>91.724221527124428</v>
      </c>
      <c r="H509">
        <f t="shared" ca="1" si="478"/>
        <v>100.85659229107502</v>
      </c>
      <c r="I509">
        <f t="shared" ca="1" si="478"/>
        <v>103.82033380338761</v>
      </c>
      <c r="J509">
        <f t="shared" ca="1" si="478"/>
        <v>113.72551742715395</v>
      </c>
      <c r="K509">
        <f t="shared" ref="K509:P509" ca="1" si="536">J509*EXP(($C$4-0.5*$C$5^2)*$C$10+$C$5*SQRT($C$10)*NORMINV(RAND(),0,1))</f>
        <v>121.06409714731186</v>
      </c>
      <c r="L509">
        <f t="shared" ca="1" si="536"/>
        <v>117.98045944210836</v>
      </c>
      <c r="M509">
        <f t="shared" ca="1" si="536"/>
        <v>120.12181370480729</v>
      </c>
      <c r="N509">
        <f t="shared" ca="1" si="536"/>
        <v>136.95398194546118</v>
      </c>
      <c r="O509">
        <f t="shared" ca="1" si="536"/>
        <v>114.38139288155477</v>
      </c>
      <c r="P509">
        <f t="shared" ca="1" si="536"/>
        <v>98.263844197706618</v>
      </c>
      <c r="Q509">
        <f t="shared" ca="1" si="480"/>
        <v>110.80838676069919</v>
      </c>
      <c r="R509">
        <f t="shared" ca="1" si="481"/>
        <v>10.808386760699193</v>
      </c>
      <c r="S509">
        <f t="shared" ca="1" si="482"/>
        <v>10.594366363423648</v>
      </c>
    </row>
    <row r="510" spans="5:19" x14ac:dyDescent="0.75">
      <c r="E510">
        <v>505</v>
      </c>
      <c r="F510">
        <v>100</v>
      </c>
      <c r="G510">
        <f t="shared" ca="1" si="478"/>
        <v>107.25514385338015</v>
      </c>
      <c r="H510">
        <f t="shared" ca="1" si="478"/>
        <v>106.33369731596909</v>
      </c>
      <c r="I510">
        <f t="shared" ca="1" si="478"/>
        <v>99.235422711340036</v>
      </c>
      <c r="J510">
        <f t="shared" ca="1" si="478"/>
        <v>102.60363583861675</v>
      </c>
      <c r="K510">
        <f t="shared" ref="K510:P510" ca="1" si="537">J510*EXP(($C$4-0.5*$C$5^2)*$C$10+$C$5*SQRT($C$10)*NORMINV(RAND(),0,1))</f>
        <v>113.4993899740933</v>
      </c>
      <c r="L510">
        <f t="shared" ca="1" si="537"/>
        <v>121.51989561453448</v>
      </c>
      <c r="M510">
        <f t="shared" ca="1" si="537"/>
        <v>120.71168735962971</v>
      </c>
      <c r="N510">
        <f t="shared" ca="1" si="537"/>
        <v>138.05998393448147</v>
      </c>
      <c r="O510">
        <f t="shared" ca="1" si="537"/>
        <v>133.03599756662106</v>
      </c>
      <c r="P510">
        <f t="shared" ca="1" si="537"/>
        <v>141.28863911806823</v>
      </c>
      <c r="Q510">
        <f t="shared" ca="1" si="480"/>
        <v>116.68577211697584</v>
      </c>
      <c r="R510">
        <f t="shared" ca="1" si="481"/>
        <v>16.685772116975841</v>
      </c>
      <c r="S510">
        <f t="shared" ca="1" si="482"/>
        <v>16.355371692158567</v>
      </c>
    </row>
    <row r="511" spans="5:19" x14ac:dyDescent="0.75">
      <c r="E511">
        <v>506</v>
      </c>
      <c r="F511">
        <v>100</v>
      </c>
      <c r="G511">
        <f t="shared" ca="1" si="478"/>
        <v>100.22738144297524</v>
      </c>
      <c r="H511">
        <f t="shared" ca="1" si="478"/>
        <v>97.247040160736958</v>
      </c>
      <c r="I511">
        <f t="shared" ca="1" si="478"/>
        <v>93.562644810674755</v>
      </c>
      <c r="J511">
        <f t="shared" ca="1" si="478"/>
        <v>93.590850376283626</v>
      </c>
      <c r="K511">
        <f t="shared" ref="K511:P511" ca="1" si="538">J511*EXP(($C$4-0.5*$C$5^2)*$C$10+$C$5*SQRT($C$10)*NORMINV(RAND(),0,1))</f>
        <v>105.17368435865305</v>
      </c>
      <c r="L511">
        <f t="shared" ca="1" si="538"/>
        <v>94.083771325924218</v>
      </c>
      <c r="M511">
        <f t="shared" ca="1" si="538"/>
        <v>98.569216189602002</v>
      </c>
      <c r="N511">
        <f t="shared" ca="1" si="538"/>
        <v>100.91366641350936</v>
      </c>
      <c r="O511">
        <f t="shared" ca="1" si="538"/>
        <v>113.6359030751468</v>
      </c>
      <c r="P511">
        <f t="shared" ca="1" si="538"/>
        <v>121.76764075478434</v>
      </c>
      <c r="Q511">
        <f t="shared" ca="1" si="480"/>
        <v>101.70652717348094</v>
      </c>
      <c r="R511">
        <f t="shared" ca="1" si="481"/>
        <v>1.7065271734809357</v>
      </c>
      <c r="S511">
        <f t="shared" ca="1" si="482"/>
        <v>1.6727356714079402</v>
      </c>
    </row>
    <row r="512" spans="5:19" x14ac:dyDescent="0.75">
      <c r="E512">
        <v>507</v>
      </c>
      <c r="F512">
        <v>100</v>
      </c>
      <c r="G512">
        <f t="shared" ca="1" si="478"/>
        <v>99.036632712711778</v>
      </c>
      <c r="H512">
        <f t="shared" ca="1" si="478"/>
        <v>99.120933054098757</v>
      </c>
      <c r="I512">
        <f t="shared" ca="1" si="478"/>
        <v>101.67642868503981</v>
      </c>
      <c r="J512">
        <f t="shared" ca="1" si="478"/>
        <v>97.967274525413103</v>
      </c>
      <c r="K512">
        <f t="shared" ref="K512:P512" ca="1" si="539">J512*EXP(($C$4-0.5*$C$5^2)*$C$10+$C$5*SQRT($C$10)*NORMINV(RAND(),0,1))</f>
        <v>91.049304289995646</v>
      </c>
      <c r="L512">
        <f t="shared" ca="1" si="539"/>
        <v>89.712091555116018</v>
      </c>
      <c r="M512">
        <f t="shared" ca="1" si="539"/>
        <v>84.579776098487145</v>
      </c>
      <c r="N512">
        <f t="shared" ca="1" si="539"/>
        <v>76.263020588932719</v>
      </c>
      <c r="O512">
        <f t="shared" ca="1" si="539"/>
        <v>77.581374811250072</v>
      </c>
      <c r="P512">
        <f t="shared" ca="1" si="539"/>
        <v>74.67255555402852</v>
      </c>
      <c r="Q512">
        <f t="shared" ca="1" si="480"/>
        <v>90.150853806824884</v>
      </c>
      <c r="R512">
        <f t="shared" ca="1" si="481"/>
        <v>0</v>
      </c>
      <c r="S512">
        <f t="shared" ca="1" si="482"/>
        <v>0</v>
      </c>
    </row>
    <row r="513" spans="5:19" x14ac:dyDescent="0.75">
      <c r="E513">
        <v>508</v>
      </c>
      <c r="F513">
        <v>100</v>
      </c>
      <c r="G513">
        <f t="shared" ca="1" si="478"/>
        <v>96.731491891012112</v>
      </c>
      <c r="H513">
        <f t="shared" ca="1" si="478"/>
        <v>94.319057441992882</v>
      </c>
      <c r="I513">
        <f t="shared" ca="1" si="478"/>
        <v>96.21637894048402</v>
      </c>
      <c r="J513">
        <f t="shared" ca="1" si="478"/>
        <v>90.228411092534927</v>
      </c>
      <c r="K513">
        <f t="shared" ref="K513:P513" ca="1" si="540">J513*EXP(($C$4-0.5*$C$5^2)*$C$10+$C$5*SQRT($C$10)*NORMINV(RAND(),0,1))</f>
        <v>83.159871524691653</v>
      </c>
      <c r="L513">
        <f t="shared" ca="1" si="540"/>
        <v>81.662099641778454</v>
      </c>
      <c r="M513">
        <f t="shared" ca="1" si="540"/>
        <v>80.150626264573617</v>
      </c>
      <c r="N513">
        <f t="shared" ca="1" si="540"/>
        <v>78.710162312306693</v>
      </c>
      <c r="O513">
        <f t="shared" ca="1" si="540"/>
        <v>72.913822059772997</v>
      </c>
      <c r="P513">
        <f t="shared" ca="1" si="540"/>
        <v>69.511000531911577</v>
      </c>
      <c r="Q513">
        <f t="shared" ca="1" si="480"/>
        <v>85.782083791005348</v>
      </c>
      <c r="R513">
        <f t="shared" ca="1" si="481"/>
        <v>0</v>
      </c>
      <c r="S513">
        <f t="shared" ca="1" si="482"/>
        <v>0</v>
      </c>
    </row>
    <row r="514" spans="5:19" x14ac:dyDescent="0.75">
      <c r="E514">
        <v>509</v>
      </c>
      <c r="F514">
        <v>100</v>
      </c>
      <c r="G514">
        <f t="shared" ca="1" si="478"/>
        <v>88.067136609837476</v>
      </c>
      <c r="H514">
        <f t="shared" ca="1" si="478"/>
        <v>84.760136129740587</v>
      </c>
      <c r="I514">
        <f t="shared" ca="1" si="478"/>
        <v>89.438429831580635</v>
      </c>
      <c r="J514">
        <f t="shared" ca="1" si="478"/>
        <v>99.20426494652969</v>
      </c>
      <c r="K514">
        <f t="shared" ref="K514:P514" ca="1" si="541">J514*EXP(($C$4-0.5*$C$5^2)*$C$10+$C$5*SQRT($C$10)*NORMINV(RAND(),0,1))</f>
        <v>99.423049962982091</v>
      </c>
      <c r="L514">
        <f t="shared" ca="1" si="541"/>
        <v>86.540037557275639</v>
      </c>
      <c r="M514">
        <f t="shared" ca="1" si="541"/>
        <v>87.949601865630967</v>
      </c>
      <c r="N514">
        <f t="shared" ca="1" si="541"/>
        <v>82.597800751023712</v>
      </c>
      <c r="O514">
        <f t="shared" ca="1" si="541"/>
        <v>87.238879234581844</v>
      </c>
      <c r="P514">
        <f t="shared" ca="1" si="541"/>
        <v>82.577022536478708</v>
      </c>
      <c r="Q514">
        <f t="shared" ca="1" si="480"/>
        <v>89.799669038696479</v>
      </c>
      <c r="R514">
        <f t="shared" ca="1" si="481"/>
        <v>0</v>
      </c>
      <c r="S514">
        <f t="shared" ca="1" si="482"/>
        <v>0</v>
      </c>
    </row>
    <row r="515" spans="5:19" x14ac:dyDescent="0.75">
      <c r="E515">
        <v>510</v>
      </c>
      <c r="F515">
        <v>100</v>
      </c>
      <c r="G515">
        <f t="shared" ca="1" si="478"/>
        <v>112.99364172167401</v>
      </c>
      <c r="H515">
        <f t="shared" ca="1" si="478"/>
        <v>127.12163684543167</v>
      </c>
      <c r="I515">
        <f t="shared" ca="1" si="478"/>
        <v>126.02002133392136</v>
      </c>
      <c r="J515">
        <f t="shared" ca="1" si="478"/>
        <v>124.97801674757177</v>
      </c>
      <c r="K515">
        <f t="shared" ref="K515:P515" ca="1" si="542">J515*EXP(($C$4-0.5*$C$5^2)*$C$10+$C$5*SQRT($C$10)*NORMINV(RAND(),0,1))</f>
        <v>139.77851672903404</v>
      </c>
      <c r="L515">
        <f t="shared" ca="1" si="542"/>
        <v>140.26655674186748</v>
      </c>
      <c r="M515">
        <f t="shared" ca="1" si="542"/>
        <v>131.83170528388814</v>
      </c>
      <c r="N515">
        <f t="shared" ca="1" si="542"/>
        <v>123.77283472223719</v>
      </c>
      <c r="O515">
        <f t="shared" ca="1" si="542"/>
        <v>122.61035787233187</v>
      </c>
      <c r="P515">
        <f t="shared" ca="1" si="542"/>
        <v>127.41733743036811</v>
      </c>
      <c r="Q515">
        <f t="shared" ca="1" si="480"/>
        <v>125.16278412984779</v>
      </c>
      <c r="R515">
        <f t="shared" ca="1" si="481"/>
        <v>25.162784129847793</v>
      </c>
      <c r="S515">
        <f t="shared" ca="1" si="482"/>
        <v>24.664527620781083</v>
      </c>
    </row>
    <row r="516" spans="5:19" x14ac:dyDescent="0.75">
      <c r="E516">
        <v>511</v>
      </c>
      <c r="F516">
        <v>100</v>
      </c>
      <c r="G516">
        <f t="shared" ca="1" si="478"/>
        <v>97.181943362762297</v>
      </c>
      <c r="H516">
        <f t="shared" ca="1" si="478"/>
        <v>94.197422786943079</v>
      </c>
      <c r="I516">
        <f t="shared" ca="1" si="478"/>
        <v>91.301859677160593</v>
      </c>
      <c r="J516">
        <f t="shared" ca="1" si="478"/>
        <v>85.544866478962305</v>
      </c>
      <c r="K516">
        <f t="shared" ref="K516:P516" ca="1" si="543">J516*EXP(($C$4-0.5*$C$5^2)*$C$10+$C$5*SQRT($C$10)*NORMINV(RAND(),0,1))</f>
        <v>88.445725142108387</v>
      </c>
      <c r="L516">
        <f t="shared" ca="1" si="543"/>
        <v>89.75849239651356</v>
      </c>
      <c r="M516">
        <f t="shared" ca="1" si="543"/>
        <v>89.097670952962673</v>
      </c>
      <c r="N516">
        <f t="shared" ca="1" si="543"/>
        <v>101.43761199838866</v>
      </c>
      <c r="O516">
        <f t="shared" ca="1" si="543"/>
        <v>100.97139552445761</v>
      </c>
      <c r="P516">
        <f t="shared" ca="1" si="543"/>
        <v>106.51292308880303</v>
      </c>
      <c r="Q516">
        <f t="shared" ca="1" si="480"/>
        <v>94.949991946278388</v>
      </c>
      <c r="R516">
        <f t="shared" ca="1" si="481"/>
        <v>0</v>
      </c>
      <c r="S516">
        <f t="shared" ca="1" si="482"/>
        <v>0</v>
      </c>
    </row>
    <row r="517" spans="5:19" x14ac:dyDescent="0.75">
      <c r="E517">
        <v>512</v>
      </c>
      <c r="F517">
        <v>100</v>
      </c>
      <c r="G517">
        <f t="shared" ca="1" si="478"/>
        <v>93.162485197498441</v>
      </c>
      <c r="H517">
        <f t="shared" ca="1" si="478"/>
        <v>89.799931484572426</v>
      </c>
      <c r="I517">
        <f t="shared" ca="1" si="478"/>
        <v>89.649765686755615</v>
      </c>
      <c r="J517">
        <f t="shared" ca="1" si="478"/>
        <v>91.563301453142586</v>
      </c>
      <c r="K517">
        <f t="shared" ref="K517:P517" ca="1" si="544">J517*EXP(($C$4-0.5*$C$5^2)*$C$10+$C$5*SQRT($C$10)*NORMINV(RAND(),0,1))</f>
        <v>96.824371181328928</v>
      </c>
      <c r="L517">
        <f t="shared" ca="1" si="544"/>
        <v>95.729641718206764</v>
      </c>
      <c r="M517">
        <f t="shared" ca="1" si="544"/>
        <v>84.267470980884752</v>
      </c>
      <c r="N517">
        <f t="shared" ca="1" si="544"/>
        <v>88.122345669916825</v>
      </c>
      <c r="O517">
        <f t="shared" ca="1" si="544"/>
        <v>92.403522545324904</v>
      </c>
      <c r="P517">
        <f t="shared" ca="1" si="544"/>
        <v>86.60161491317163</v>
      </c>
      <c r="Q517">
        <f t="shared" ca="1" si="480"/>
        <v>91.647677348254788</v>
      </c>
      <c r="R517">
        <f t="shared" ca="1" si="481"/>
        <v>0</v>
      </c>
      <c r="S517">
        <f t="shared" ca="1" si="482"/>
        <v>0</v>
      </c>
    </row>
    <row r="518" spans="5:19" x14ac:dyDescent="0.75">
      <c r="E518">
        <v>513</v>
      </c>
      <c r="F518">
        <v>100</v>
      </c>
      <c r="G518">
        <f t="shared" ca="1" si="478"/>
        <v>95.025968605469245</v>
      </c>
      <c r="H518">
        <f t="shared" ca="1" si="478"/>
        <v>93.923635664190925</v>
      </c>
      <c r="I518">
        <f t="shared" ca="1" si="478"/>
        <v>97.531801311550922</v>
      </c>
      <c r="J518">
        <f t="shared" ref="J518:P518" ca="1" si="545">I518*EXP(($C$4-0.5*$C$5^2)*$C$10+$C$5*SQRT($C$10)*NORMINV(RAND(),0,1))</f>
        <v>104.43425794774291</v>
      </c>
      <c r="K518">
        <f t="shared" ca="1" si="545"/>
        <v>107.09212715413292</v>
      </c>
      <c r="L518">
        <f t="shared" ca="1" si="545"/>
        <v>100.99597035985568</v>
      </c>
      <c r="M518">
        <f t="shared" ca="1" si="545"/>
        <v>105.74300730146904</v>
      </c>
      <c r="N518">
        <f t="shared" ca="1" si="545"/>
        <v>114.74185224596187</v>
      </c>
      <c r="O518">
        <f t="shared" ca="1" si="545"/>
        <v>118.78244569543791</v>
      </c>
      <c r="P518">
        <f t="shared" ca="1" si="545"/>
        <v>117.78891749613875</v>
      </c>
      <c r="Q518">
        <f t="shared" ca="1" si="480"/>
        <v>105.09636216199547</v>
      </c>
      <c r="R518">
        <f t="shared" ca="1" si="481"/>
        <v>5.0963621619954722</v>
      </c>
      <c r="S518">
        <f t="shared" ca="1" si="482"/>
        <v>4.995447429878709</v>
      </c>
    </row>
    <row r="519" spans="5:19" x14ac:dyDescent="0.75">
      <c r="E519">
        <v>514</v>
      </c>
      <c r="F519">
        <v>100</v>
      </c>
      <c r="G519">
        <f t="shared" ref="G519:J582" ca="1" si="546">F519*EXP(($C$4-0.5*$C$5^2)*$C$10+$C$5*SQRT($C$10)*NORMINV(RAND(),0,1))</f>
        <v>92.565180624367983</v>
      </c>
      <c r="H519">
        <f t="shared" ca="1" si="546"/>
        <v>84.818536612676311</v>
      </c>
      <c r="I519">
        <f t="shared" ca="1" si="546"/>
        <v>82.515323201812535</v>
      </c>
      <c r="J519">
        <f t="shared" ca="1" si="546"/>
        <v>72.334693659329631</v>
      </c>
      <c r="K519">
        <f t="shared" ref="K519:P519" ca="1" si="547">J519*EXP(($C$4-0.5*$C$5^2)*$C$10+$C$5*SQRT($C$10)*NORMINV(RAND(),0,1))</f>
        <v>65.199814836452916</v>
      </c>
      <c r="L519">
        <f t="shared" ca="1" si="547"/>
        <v>70.520334403616133</v>
      </c>
      <c r="M519">
        <f t="shared" ca="1" si="547"/>
        <v>76.869596896034295</v>
      </c>
      <c r="N519">
        <f t="shared" ca="1" si="547"/>
        <v>81.276156182828586</v>
      </c>
      <c r="O519">
        <f t="shared" ca="1" si="547"/>
        <v>86.045032296319448</v>
      </c>
      <c r="P519">
        <f t="shared" ca="1" si="547"/>
        <v>83.232045384934779</v>
      </c>
      <c r="Q519">
        <f t="shared" ref="Q519:Q582" ca="1" si="548">AVERAGE(F519:P519)</f>
        <v>81.397883099852052</v>
      </c>
      <c r="R519">
        <f t="shared" ref="R519:R582" ca="1" si="549">MAX(Q519-$C$7,0)</f>
        <v>0</v>
      </c>
      <c r="S519">
        <f t="shared" ref="S519:S582" ca="1" si="550">EXP(-$C$4*$C$6)*R519</f>
        <v>0</v>
      </c>
    </row>
    <row r="520" spans="5:19" x14ac:dyDescent="0.75">
      <c r="E520">
        <v>515</v>
      </c>
      <c r="F520">
        <v>100</v>
      </c>
      <c r="G520">
        <f t="shared" ca="1" si="546"/>
        <v>91.460997377635778</v>
      </c>
      <c r="H520">
        <f t="shared" ca="1" si="546"/>
        <v>95.389466523701714</v>
      </c>
      <c r="I520">
        <f t="shared" ca="1" si="546"/>
        <v>100.04712164554805</v>
      </c>
      <c r="J520">
        <f t="shared" ca="1" si="546"/>
        <v>96.176616880880104</v>
      </c>
      <c r="K520">
        <f t="shared" ref="K520:P520" ca="1" si="551">J520*EXP(($C$4-0.5*$C$5^2)*$C$10+$C$5*SQRT($C$10)*NORMINV(RAND(),0,1))</f>
        <v>91.834998650857756</v>
      </c>
      <c r="L520">
        <f t="shared" ca="1" si="551"/>
        <v>88.98993772988652</v>
      </c>
      <c r="M520">
        <f t="shared" ca="1" si="551"/>
        <v>91.562739942781462</v>
      </c>
      <c r="N520">
        <f t="shared" ca="1" si="551"/>
        <v>100.48913615357309</v>
      </c>
      <c r="O520">
        <f t="shared" ca="1" si="551"/>
        <v>119.28670447410445</v>
      </c>
      <c r="P520">
        <f t="shared" ca="1" si="551"/>
        <v>116.13109795297595</v>
      </c>
      <c r="Q520">
        <f t="shared" ca="1" si="548"/>
        <v>99.215347030176815</v>
      </c>
      <c r="R520">
        <f t="shared" ca="1" si="549"/>
        <v>0</v>
      </c>
      <c r="S520">
        <f t="shared" ca="1" si="550"/>
        <v>0</v>
      </c>
    </row>
    <row r="521" spans="5:19" x14ac:dyDescent="0.75">
      <c r="E521">
        <v>516</v>
      </c>
      <c r="F521">
        <v>100</v>
      </c>
      <c r="G521">
        <f t="shared" ca="1" si="546"/>
        <v>104.70942093334918</v>
      </c>
      <c r="H521">
        <f t="shared" ca="1" si="546"/>
        <v>95.681031448404781</v>
      </c>
      <c r="I521">
        <f t="shared" ca="1" si="546"/>
        <v>95.629533770029482</v>
      </c>
      <c r="J521">
        <f t="shared" ca="1" si="546"/>
        <v>86.129416670033535</v>
      </c>
      <c r="K521">
        <f t="shared" ref="K521:P521" ca="1" si="552">J521*EXP(($C$4-0.5*$C$5^2)*$C$10+$C$5*SQRT($C$10)*NORMINV(RAND(),0,1))</f>
        <v>84.926264291413574</v>
      </c>
      <c r="L521">
        <f t="shared" ca="1" si="552"/>
        <v>100.86448513689653</v>
      </c>
      <c r="M521">
        <f t="shared" ca="1" si="552"/>
        <v>96.998611697639561</v>
      </c>
      <c r="N521">
        <f t="shared" ca="1" si="552"/>
        <v>96.067705891163428</v>
      </c>
      <c r="O521">
        <f t="shared" ca="1" si="552"/>
        <v>96.855268792597926</v>
      </c>
      <c r="P521">
        <f t="shared" ca="1" si="552"/>
        <v>92.860955695358641</v>
      </c>
      <c r="Q521">
        <f t="shared" ca="1" si="548"/>
        <v>95.520244938807892</v>
      </c>
      <c r="R521">
        <f t="shared" ca="1" si="549"/>
        <v>0</v>
      </c>
      <c r="S521">
        <f t="shared" ca="1" si="550"/>
        <v>0</v>
      </c>
    </row>
    <row r="522" spans="5:19" x14ac:dyDescent="0.75">
      <c r="E522">
        <v>517</v>
      </c>
      <c r="F522">
        <v>100</v>
      </c>
      <c r="G522">
        <f t="shared" ca="1" si="546"/>
        <v>91.911023038654974</v>
      </c>
      <c r="H522">
        <f t="shared" ca="1" si="546"/>
        <v>99.805322988840288</v>
      </c>
      <c r="I522">
        <f t="shared" ca="1" si="546"/>
        <v>91.744787497808147</v>
      </c>
      <c r="J522">
        <f t="shared" ca="1" si="546"/>
        <v>79.437961112108795</v>
      </c>
      <c r="K522">
        <f t="shared" ref="K522:P522" ca="1" si="553">J522*EXP(($C$4-0.5*$C$5^2)*$C$10+$C$5*SQRT($C$10)*NORMINV(RAND(),0,1))</f>
        <v>82.088510758372252</v>
      </c>
      <c r="L522">
        <f t="shared" ca="1" si="553"/>
        <v>74.837924247135675</v>
      </c>
      <c r="M522">
        <f t="shared" ca="1" si="553"/>
        <v>69.83898536779455</v>
      </c>
      <c r="N522">
        <f t="shared" ca="1" si="553"/>
        <v>63.804244909755923</v>
      </c>
      <c r="O522">
        <f t="shared" ca="1" si="553"/>
        <v>68.073903558589762</v>
      </c>
      <c r="P522">
        <f t="shared" ca="1" si="553"/>
        <v>62.13144497513462</v>
      </c>
      <c r="Q522">
        <f t="shared" ca="1" si="548"/>
        <v>80.33400985947226</v>
      </c>
      <c r="R522">
        <f t="shared" ca="1" si="549"/>
        <v>0</v>
      </c>
      <c r="S522">
        <f t="shared" ca="1" si="550"/>
        <v>0</v>
      </c>
    </row>
    <row r="523" spans="5:19" x14ac:dyDescent="0.75">
      <c r="E523">
        <v>518</v>
      </c>
      <c r="F523">
        <v>100</v>
      </c>
      <c r="G523">
        <f t="shared" ca="1" si="546"/>
        <v>97.066202448435135</v>
      </c>
      <c r="H523">
        <f t="shared" ca="1" si="546"/>
        <v>91.715634618608917</v>
      </c>
      <c r="I523">
        <f t="shared" ca="1" si="546"/>
        <v>85.948109733196048</v>
      </c>
      <c r="J523">
        <f t="shared" ca="1" si="546"/>
        <v>87.804135463918442</v>
      </c>
      <c r="K523">
        <f t="shared" ref="K523:P523" ca="1" si="554">J523*EXP(($C$4-0.5*$C$5^2)*$C$10+$C$5*SQRT($C$10)*NORMINV(RAND(),0,1))</f>
        <v>81.86867451769271</v>
      </c>
      <c r="L523">
        <f t="shared" ca="1" si="554"/>
        <v>78.557675408692333</v>
      </c>
      <c r="M523">
        <f t="shared" ca="1" si="554"/>
        <v>70.290017670881355</v>
      </c>
      <c r="N523">
        <f t="shared" ca="1" si="554"/>
        <v>69.829528304428663</v>
      </c>
      <c r="O523">
        <f t="shared" ca="1" si="554"/>
        <v>75.534401712972027</v>
      </c>
      <c r="P523">
        <f t="shared" ca="1" si="554"/>
        <v>68.749420958090312</v>
      </c>
      <c r="Q523">
        <f t="shared" ca="1" si="548"/>
        <v>82.48761825790146</v>
      </c>
      <c r="R523">
        <f t="shared" ca="1" si="549"/>
        <v>0</v>
      </c>
      <c r="S523">
        <f t="shared" ca="1" si="550"/>
        <v>0</v>
      </c>
    </row>
    <row r="524" spans="5:19" x14ac:dyDescent="0.75">
      <c r="E524">
        <v>519</v>
      </c>
      <c r="F524">
        <v>100</v>
      </c>
      <c r="G524">
        <f t="shared" ca="1" si="546"/>
        <v>97.898501602585213</v>
      </c>
      <c r="H524">
        <f t="shared" ca="1" si="546"/>
        <v>91.166408297411607</v>
      </c>
      <c r="I524">
        <f t="shared" ca="1" si="546"/>
        <v>82.679392483345239</v>
      </c>
      <c r="J524">
        <f t="shared" ca="1" si="546"/>
        <v>85.30614715567269</v>
      </c>
      <c r="K524">
        <f t="shared" ref="K524:P524" ca="1" si="555">J524*EXP(($C$4-0.5*$C$5^2)*$C$10+$C$5*SQRT($C$10)*NORMINV(RAND(),0,1))</f>
        <v>79.849636924683296</v>
      </c>
      <c r="L524">
        <f t="shared" ca="1" si="555"/>
        <v>79.037520562302888</v>
      </c>
      <c r="M524">
        <f t="shared" ca="1" si="555"/>
        <v>68.691055892425098</v>
      </c>
      <c r="N524">
        <f t="shared" ca="1" si="555"/>
        <v>67.716592206451963</v>
      </c>
      <c r="O524">
        <f t="shared" ca="1" si="555"/>
        <v>68.326290398097171</v>
      </c>
      <c r="P524">
        <f t="shared" ca="1" si="555"/>
        <v>62.922933351951365</v>
      </c>
      <c r="Q524">
        <f t="shared" ca="1" si="548"/>
        <v>80.326770806811496</v>
      </c>
      <c r="R524">
        <f t="shared" ca="1" si="549"/>
        <v>0</v>
      </c>
      <c r="S524">
        <f t="shared" ca="1" si="550"/>
        <v>0</v>
      </c>
    </row>
    <row r="525" spans="5:19" x14ac:dyDescent="0.75">
      <c r="E525">
        <v>520</v>
      </c>
      <c r="F525">
        <v>100</v>
      </c>
      <c r="G525">
        <f t="shared" ca="1" si="546"/>
        <v>103.32345984924913</v>
      </c>
      <c r="H525">
        <f t="shared" ca="1" si="546"/>
        <v>94.830199444063538</v>
      </c>
      <c r="I525">
        <f t="shared" ca="1" si="546"/>
        <v>93.809659506448526</v>
      </c>
      <c r="J525">
        <f t="shared" ca="1" si="546"/>
        <v>101.89049657558816</v>
      </c>
      <c r="K525">
        <f t="shared" ref="K525:P525" ca="1" si="556">J525*EXP(($C$4-0.5*$C$5^2)*$C$10+$C$5*SQRT($C$10)*NORMINV(RAND(),0,1))</f>
        <v>112.11232277883579</v>
      </c>
      <c r="L525">
        <f t="shared" ca="1" si="556"/>
        <v>126.16784613181366</v>
      </c>
      <c r="M525">
        <f t="shared" ca="1" si="556"/>
        <v>115.84406152721056</v>
      </c>
      <c r="N525">
        <f t="shared" ca="1" si="556"/>
        <v>111.38955721849918</v>
      </c>
      <c r="O525">
        <f t="shared" ca="1" si="556"/>
        <v>128.28820822917987</v>
      </c>
      <c r="P525">
        <f t="shared" ca="1" si="556"/>
        <v>122.35082425804505</v>
      </c>
      <c r="Q525">
        <f t="shared" ca="1" si="548"/>
        <v>110.00060322899394</v>
      </c>
      <c r="R525">
        <f t="shared" ca="1" si="549"/>
        <v>10.000603228993938</v>
      </c>
      <c r="S525">
        <f t="shared" ca="1" si="550"/>
        <v>9.8025780173271109</v>
      </c>
    </row>
    <row r="526" spans="5:19" x14ac:dyDescent="0.75">
      <c r="E526">
        <v>521</v>
      </c>
      <c r="F526">
        <v>100</v>
      </c>
      <c r="G526">
        <f t="shared" ca="1" si="546"/>
        <v>100.68074984367776</v>
      </c>
      <c r="H526">
        <f t="shared" ca="1" si="546"/>
        <v>97.82658080291219</v>
      </c>
      <c r="I526">
        <f t="shared" ca="1" si="546"/>
        <v>100.4371861582885</v>
      </c>
      <c r="J526">
        <f t="shared" ca="1" si="546"/>
        <v>106.71604655513738</v>
      </c>
      <c r="K526">
        <f t="shared" ref="K526:P526" ca="1" si="557">J526*EXP(($C$4-0.5*$C$5^2)*$C$10+$C$5*SQRT($C$10)*NORMINV(RAND(),0,1))</f>
        <v>112.80024616678212</v>
      </c>
      <c r="L526">
        <f t="shared" ca="1" si="557"/>
        <v>117.90219340515563</v>
      </c>
      <c r="M526">
        <f t="shared" ca="1" si="557"/>
        <v>110.99200589831864</v>
      </c>
      <c r="N526">
        <f t="shared" ca="1" si="557"/>
        <v>107.61302962645055</v>
      </c>
      <c r="O526">
        <f t="shared" ca="1" si="557"/>
        <v>111.44308728422308</v>
      </c>
      <c r="P526">
        <f t="shared" ca="1" si="557"/>
        <v>114.19875991313583</v>
      </c>
      <c r="Q526">
        <f t="shared" ca="1" si="548"/>
        <v>107.32817142309833</v>
      </c>
      <c r="R526">
        <f t="shared" ca="1" si="549"/>
        <v>7.3281714230983255</v>
      </c>
      <c r="S526">
        <f t="shared" ca="1" si="550"/>
        <v>7.1830639066854554</v>
      </c>
    </row>
    <row r="527" spans="5:19" x14ac:dyDescent="0.75">
      <c r="E527">
        <v>522</v>
      </c>
      <c r="F527">
        <v>100</v>
      </c>
      <c r="G527">
        <f t="shared" ca="1" si="546"/>
        <v>90.442134345963211</v>
      </c>
      <c r="H527">
        <f t="shared" ca="1" si="546"/>
        <v>102.06440255248161</v>
      </c>
      <c r="I527">
        <f t="shared" ca="1" si="546"/>
        <v>96.687915247097109</v>
      </c>
      <c r="J527">
        <f t="shared" ca="1" si="546"/>
        <v>106.58881072079383</v>
      </c>
      <c r="K527">
        <f t="shared" ref="K527:P527" ca="1" si="558">J527*EXP(($C$4-0.5*$C$5^2)*$C$10+$C$5*SQRT($C$10)*NORMINV(RAND(),0,1))</f>
        <v>115.88014846182412</v>
      </c>
      <c r="L527">
        <f t="shared" ca="1" si="558"/>
        <v>110.76712187257419</v>
      </c>
      <c r="M527">
        <f t="shared" ca="1" si="558"/>
        <v>109.47644208807894</v>
      </c>
      <c r="N527">
        <f t="shared" ca="1" si="558"/>
        <v>104.28573149035255</v>
      </c>
      <c r="O527">
        <f t="shared" ca="1" si="558"/>
        <v>91.090231535195571</v>
      </c>
      <c r="P527">
        <f t="shared" ca="1" si="558"/>
        <v>79.140870283735254</v>
      </c>
      <c r="Q527">
        <f t="shared" ca="1" si="548"/>
        <v>100.58398259982692</v>
      </c>
      <c r="R527">
        <f t="shared" ca="1" si="549"/>
        <v>0.5839825998269248</v>
      </c>
      <c r="S527">
        <f t="shared" ca="1" si="550"/>
        <v>0.57241896958458149</v>
      </c>
    </row>
    <row r="528" spans="5:19" x14ac:dyDescent="0.75">
      <c r="E528">
        <v>523</v>
      </c>
      <c r="F528">
        <v>100</v>
      </c>
      <c r="G528">
        <f t="shared" ca="1" si="546"/>
        <v>105.54874615253513</v>
      </c>
      <c r="H528">
        <f t="shared" ca="1" si="546"/>
        <v>104.93291719362847</v>
      </c>
      <c r="I528">
        <f t="shared" ca="1" si="546"/>
        <v>101.37738086124764</v>
      </c>
      <c r="J528">
        <f t="shared" ca="1" si="546"/>
        <v>105.88683498422506</v>
      </c>
      <c r="K528">
        <f t="shared" ref="K528:P528" ca="1" si="559">J528*EXP(($C$4-0.5*$C$5^2)*$C$10+$C$5*SQRT($C$10)*NORMINV(RAND(),0,1))</f>
        <v>111.94847551020942</v>
      </c>
      <c r="L528">
        <f t="shared" ca="1" si="559"/>
        <v>112.69111198389503</v>
      </c>
      <c r="M528">
        <f t="shared" ca="1" si="559"/>
        <v>108.0165066850972</v>
      </c>
      <c r="N528">
        <f t="shared" ca="1" si="559"/>
        <v>113.74453536008728</v>
      </c>
      <c r="O528">
        <f t="shared" ca="1" si="559"/>
        <v>106.59178997595919</v>
      </c>
      <c r="P528">
        <f t="shared" ca="1" si="559"/>
        <v>98.170579592776278</v>
      </c>
      <c r="Q528">
        <f t="shared" ca="1" si="548"/>
        <v>106.26444348178732</v>
      </c>
      <c r="R528">
        <f t="shared" ca="1" si="549"/>
        <v>6.2644434817873247</v>
      </c>
      <c r="S528">
        <f t="shared" ca="1" si="550"/>
        <v>6.1403991898530865</v>
      </c>
    </row>
    <row r="529" spans="5:19" x14ac:dyDescent="0.75">
      <c r="E529">
        <v>524</v>
      </c>
      <c r="F529">
        <v>100</v>
      </c>
      <c r="G529">
        <f t="shared" ca="1" si="546"/>
        <v>111.04731743839773</v>
      </c>
      <c r="H529">
        <f t="shared" ca="1" si="546"/>
        <v>119.34516010142978</v>
      </c>
      <c r="I529">
        <f t="shared" ca="1" si="546"/>
        <v>120.49369533454721</v>
      </c>
      <c r="J529">
        <f t="shared" ca="1" si="546"/>
        <v>125.87467097562254</v>
      </c>
      <c r="K529">
        <f t="shared" ref="K529:P529" ca="1" si="560">J529*EXP(($C$4-0.5*$C$5^2)*$C$10+$C$5*SQRT($C$10)*NORMINV(RAND(),0,1))</f>
        <v>115.52880328684907</v>
      </c>
      <c r="L529">
        <f t="shared" ca="1" si="560"/>
        <v>116.07983607957739</v>
      </c>
      <c r="M529">
        <f t="shared" ca="1" si="560"/>
        <v>116.02209493181459</v>
      </c>
      <c r="N529">
        <f t="shared" ca="1" si="560"/>
        <v>122.3935855304555</v>
      </c>
      <c r="O529">
        <f t="shared" ca="1" si="560"/>
        <v>130.15336077882995</v>
      </c>
      <c r="P529">
        <f t="shared" ca="1" si="560"/>
        <v>117.53195435750914</v>
      </c>
      <c r="Q529">
        <f t="shared" ca="1" si="548"/>
        <v>117.67913443773027</v>
      </c>
      <c r="R529">
        <f t="shared" ca="1" si="549"/>
        <v>17.679134437730269</v>
      </c>
      <c r="S529">
        <f t="shared" ca="1" si="550"/>
        <v>17.329064121074978</v>
      </c>
    </row>
    <row r="530" spans="5:19" x14ac:dyDescent="0.75">
      <c r="E530">
        <v>525</v>
      </c>
      <c r="F530">
        <v>100</v>
      </c>
      <c r="G530">
        <f t="shared" ca="1" si="546"/>
        <v>103.17281895827533</v>
      </c>
      <c r="H530">
        <f t="shared" ca="1" si="546"/>
        <v>110.65512613074677</v>
      </c>
      <c r="I530">
        <f t="shared" ca="1" si="546"/>
        <v>110.77315403317502</v>
      </c>
      <c r="J530">
        <f t="shared" ca="1" si="546"/>
        <v>99.84143477389182</v>
      </c>
      <c r="K530">
        <f t="shared" ref="K530:P530" ca="1" si="561">J530*EXP(($C$4-0.5*$C$5^2)*$C$10+$C$5*SQRT($C$10)*NORMINV(RAND(),0,1))</f>
        <v>96.849985817630767</v>
      </c>
      <c r="L530">
        <f t="shared" ca="1" si="561"/>
        <v>91.730648332883106</v>
      </c>
      <c r="M530">
        <f t="shared" ca="1" si="561"/>
        <v>92.22883312546827</v>
      </c>
      <c r="N530">
        <f t="shared" ca="1" si="561"/>
        <v>99.127182286523265</v>
      </c>
      <c r="O530">
        <f t="shared" ca="1" si="561"/>
        <v>107.85753103670928</v>
      </c>
      <c r="P530">
        <f t="shared" ca="1" si="561"/>
        <v>109.33300650296975</v>
      </c>
      <c r="Q530">
        <f t="shared" ca="1" si="548"/>
        <v>101.96088372711579</v>
      </c>
      <c r="R530">
        <f t="shared" ca="1" si="549"/>
        <v>1.9608837271157853</v>
      </c>
      <c r="S530">
        <f t="shared" ca="1" si="550"/>
        <v>1.9220556278276983</v>
      </c>
    </row>
    <row r="531" spans="5:19" x14ac:dyDescent="0.75">
      <c r="E531">
        <v>526</v>
      </c>
      <c r="F531">
        <v>100</v>
      </c>
      <c r="G531">
        <f t="shared" ca="1" si="546"/>
        <v>111.02166905312333</v>
      </c>
      <c r="H531">
        <f t="shared" ca="1" si="546"/>
        <v>108.14369922576124</v>
      </c>
      <c r="I531">
        <f t="shared" ca="1" si="546"/>
        <v>124.46256922519379</v>
      </c>
      <c r="J531">
        <f t="shared" ca="1" si="546"/>
        <v>130.3235460252034</v>
      </c>
      <c r="K531">
        <f t="shared" ref="K531:P531" ca="1" si="562">J531*EXP(($C$4-0.5*$C$5^2)*$C$10+$C$5*SQRT($C$10)*NORMINV(RAND(),0,1))</f>
        <v>135.04753508825871</v>
      </c>
      <c r="L531">
        <f t="shared" ca="1" si="562"/>
        <v>137.89715988133062</v>
      </c>
      <c r="M531">
        <f t="shared" ca="1" si="562"/>
        <v>119.862279526527</v>
      </c>
      <c r="N531">
        <f t="shared" ca="1" si="562"/>
        <v>116.68296190262748</v>
      </c>
      <c r="O531">
        <f t="shared" ca="1" si="562"/>
        <v>112.74123946832671</v>
      </c>
      <c r="P531">
        <f t="shared" ca="1" si="562"/>
        <v>108.97548197445855</v>
      </c>
      <c r="Q531">
        <f t="shared" ca="1" si="548"/>
        <v>118.65074012461918</v>
      </c>
      <c r="R531">
        <f t="shared" ca="1" si="549"/>
        <v>18.650740124619176</v>
      </c>
      <c r="S531">
        <f t="shared" ca="1" si="550"/>
        <v>18.281430726340783</v>
      </c>
    </row>
    <row r="532" spans="5:19" x14ac:dyDescent="0.75">
      <c r="E532">
        <v>527</v>
      </c>
      <c r="F532">
        <v>100</v>
      </c>
      <c r="G532">
        <f t="shared" ca="1" si="546"/>
        <v>94.342543836114729</v>
      </c>
      <c r="H532">
        <f t="shared" ca="1" si="546"/>
        <v>91.710179280104171</v>
      </c>
      <c r="I532">
        <f t="shared" ca="1" si="546"/>
        <v>88.750885482205106</v>
      </c>
      <c r="J532">
        <f t="shared" ca="1" si="546"/>
        <v>94.504339563606891</v>
      </c>
      <c r="K532">
        <f t="shared" ref="K532:P532" ca="1" si="563">J532*EXP(($C$4-0.5*$C$5^2)*$C$10+$C$5*SQRT($C$10)*NORMINV(RAND(),0,1))</f>
        <v>90.003960515124817</v>
      </c>
      <c r="L532">
        <f t="shared" ca="1" si="563"/>
        <v>94.279124008683723</v>
      </c>
      <c r="M532">
        <f t="shared" ca="1" si="563"/>
        <v>94.780750878776104</v>
      </c>
      <c r="N532">
        <f t="shared" ca="1" si="563"/>
        <v>98.914254904760966</v>
      </c>
      <c r="O532">
        <f t="shared" ca="1" si="563"/>
        <v>100.87189002415494</v>
      </c>
      <c r="P532">
        <f t="shared" ca="1" si="563"/>
        <v>100.96854788587859</v>
      </c>
      <c r="Q532">
        <f t="shared" ca="1" si="548"/>
        <v>95.375134216310002</v>
      </c>
      <c r="R532">
        <f t="shared" ca="1" si="549"/>
        <v>0</v>
      </c>
      <c r="S532">
        <f t="shared" ca="1" si="550"/>
        <v>0</v>
      </c>
    </row>
    <row r="533" spans="5:19" x14ac:dyDescent="0.75">
      <c r="E533">
        <v>528</v>
      </c>
      <c r="F533">
        <v>100</v>
      </c>
      <c r="G533">
        <f t="shared" ca="1" si="546"/>
        <v>106.91635568249905</v>
      </c>
      <c r="H533">
        <f t="shared" ca="1" si="546"/>
        <v>116.80032081268122</v>
      </c>
      <c r="I533">
        <f t="shared" ca="1" si="546"/>
        <v>117.09933534544908</v>
      </c>
      <c r="J533">
        <f t="shared" ca="1" si="546"/>
        <v>132.05076477760053</v>
      </c>
      <c r="K533">
        <f t="shared" ref="K533:P533" ca="1" si="564">J533*EXP(($C$4-0.5*$C$5^2)*$C$10+$C$5*SQRT($C$10)*NORMINV(RAND(),0,1))</f>
        <v>130.7080518679511</v>
      </c>
      <c r="L533">
        <f t="shared" ca="1" si="564"/>
        <v>123.30615320378975</v>
      </c>
      <c r="M533">
        <f t="shared" ca="1" si="564"/>
        <v>120.14872598697785</v>
      </c>
      <c r="N533">
        <f t="shared" ca="1" si="564"/>
        <v>128.77217418475794</v>
      </c>
      <c r="O533">
        <f t="shared" ca="1" si="564"/>
        <v>128.28928488815112</v>
      </c>
      <c r="P533">
        <f t="shared" ca="1" si="564"/>
        <v>144.95465021393636</v>
      </c>
      <c r="Q533">
        <f t="shared" ca="1" si="548"/>
        <v>122.64052881489037</v>
      </c>
      <c r="R533">
        <f t="shared" ca="1" si="549"/>
        <v>22.640528814890374</v>
      </c>
      <c r="S533">
        <f t="shared" ca="1" si="550"/>
        <v>22.192216307318908</v>
      </c>
    </row>
    <row r="534" spans="5:19" x14ac:dyDescent="0.75">
      <c r="E534">
        <v>529</v>
      </c>
      <c r="F534">
        <v>100</v>
      </c>
      <c r="G534">
        <f t="shared" ca="1" si="546"/>
        <v>108.85591905195452</v>
      </c>
      <c r="H534">
        <f t="shared" ca="1" si="546"/>
        <v>106.24700567532423</v>
      </c>
      <c r="I534">
        <f t="shared" ca="1" si="546"/>
        <v>113.92544774152101</v>
      </c>
      <c r="J534">
        <f t="shared" ca="1" si="546"/>
        <v>129.05425546593241</v>
      </c>
      <c r="K534">
        <f t="shared" ref="K534:P534" ca="1" si="565">J534*EXP(($C$4-0.5*$C$5^2)*$C$10+$C$5*SQRT($C$10)*NORMINV(RAND(),0,1))</f>
        <v>130.48711734475393</v>
      </c>
      <c r="L534">
        <f t="shared" ca="1" si="565"/>
        <v>138.35141116659511</v>
      </c>
      <c r="M534">
        <f t="shared" ca="1" si="565"/>
        <v>138.62833000234474</v>
      </c>
      <c r="N534">
        <f t="shared" ca="1" si="565"/>
        <v>131.30773365876649</v>
      </c>
      <c r="O534">
        <f t="shared" ca="1" si="565"/>
        <v>128.46139465585853</v>
      </c>
      <c r="P534">
        <f t="shared" ca="1" si="565"/>
        <v>120.8645054490358</v>
      </c>
      <c r="Q534">
        <f t="shared" ca="1" si="548"/>
        <v>122.38028365564425</v>
      </c>
      <c r="R534">
        <f t="shared" ca="1" si="549"/>
        <v>22.380283655644249</v>
      </c>
      <c r="S534">
        <f t="shared" ca="1" si="550"/>
        <v>21.937124347491352</v>
      </c>
    </row>
    <row r="535" spans="5:19" x14ac:dyDescent="0.75">
      <c r="E535">
        <v>530</v>
      </c>
      <c r="F535">
        <v>100</v>
      </c>
      <c r="G535">
        <f t="shared" ca="1" si="546"/>
        <v>90.788676615004036</v>
      </c>
      <c r="H535">
        <f t="shared" ca="1" si="546"/>
        <v>90.02899711236914</v>
      </c>
      <c r="I535">
        <f t="shared" ca="1" si="546"/>
        <v>84.080932150129044</v>
      </c>
      <c r="J535">
        <f t="shared" ca="1" si="546"/>
        <v>84.978158672689787</v>
      </c>
      <c r="K535">
        <f t="shared" ref="K535:P535" ca="1" si="566">J535*EXP(($C$4-0.5*$C$5^2)*$C$10+$C$5*SQRT($C$10)*NORMINV(RAND(),0,1))</f>
        <v>82.869017868623487</v>
      </c>
      <c r="L535">
        <f t="shared" ca="1" si="566"/>
        <v>90.135635044092126</v>
      </c>
      <c r="M535">
        <f t="shared" ca="1" si="566"/>
        <v>90.13797580761829</v>
      </c>
      <c r="N535">
        <f t="shared" ca="1" si="566"/>
        <v>95.473548135974369</v>
      </c>
      <c r="O535">
        <f t="shared" ca="1" si="566"/>
        <v>110.59379087683828</v>
      </c>
      <c r="P535">
        <f t="shared" ca="1" si="566"/>
        <v>110.00460406394785</v>
      </c>
      <c r="Q535">
        <f t="shared" ca="1" si="548"/>
        <v>93.553757849753325</v>
      </c>
      <c r="R535">
        <f t="shared" ca="1" si="549"/>
        <v>0</v>
      </c>
      <c r="S535">
        <f t="shared" ca="1" si="550"/>
        <v>0</v>
      </c>
    </row>
    <row r="536" spans="5:19" x14ac:dyDescent="0.75">
      <c r="E536">
        <v>531</v>
      </c>
      <c r="F536">
        <v>100</v>
      </c>
      <c r="G536">
        <f t="shared" ca="1" si="546"/>
        <v>93.552204038043939</v>
      </c>
      <c r="H536">
        <f t="shared" ca="1" si="546"/>
        <v>101.96678001101745</v>
      </c>
      <c r="I536">
        <f t="shared" ca="1" si="546"/>
        <v>106.19022472279478</v>
      </c>
      <c r="J536">
        <f t="shared" ca="1" si="546"/>
        <v>106.05675160069472</v>
      </c>
      <c r="K536">
        <f t="shared" ref="K536:P536" ca="1" si="567">J536*EXP(($C$4-0.5*$C$5^2)*$C$10+$C$5*SQRT($C$10)*NORMINV(RAND(),0,1))</f>
        <v>102.66775405382455</v>
      </c>
      <c r="L536">
        <f t="shared" ca="1" si="567"/>
        <v>106.17176168192181</v>
      </c>
      <c r="M536">
        <f t="shared" ca="1" si="567"/>
        <v>109.81122474736743</v>
      </c>
      <c r="N536">
        <f t="shared" ca="1" si="567"/>
        <v>108.50109228798436</v>
      </c>
      <c r="O536">
        <f t="shared" ca="1" si="567"/>
        <v>110.82216419344965</v>
      </c>
      <c r="P536">
        <f t="shared" ca="1" si="567"/>
        <v>120.50881317276422</v>
      </c>
      <c r="Q536">
        <f t="shared" ca="1" si="548"/>
        <v>106.02261550089662</v>
      </c>
      <c r="R536">
        <f t="shared" ca="1" si="549"/>
        <v>6.0226155008966202</v>
      </c>
      <c r="S536">
        <f t="shared" ca="1" si="550"/>
        <v>5.9033597238155666</v>
      </c>
    </row>
    <row r="537" spans="5:19" x14ac:dyDescent="0.75">
      <c r="E537">
        <v>532</v>
      </c>
      <c r="F537">
        <v>100</v>
      </c>
      <c r="G537">
        <f t="shared" ca="1" si="546"/>
        <v>96.656357184478352</v>
      </c>
      <c r="H537">
        <f t="shared" ca="1" si="546"/>
        <v>96.035168477662836</v>
      </c>
      <c r="I537">
        <f t="shared" ca="1" si="546"/>
        <v>100.82610676571572</v>
      </c>
      <c r="J537">
        <f t="shared" ca="1" si="546"/>
        <v>93.969254090100208</v>
      </c>
      <c r="K537">
        <f t="shared" ref="K537:P537" ca="1" si="568">J537*EXP(($C$4-0.5*$C$5^2)*$C$10+$C$5*SQRT($C$10)*NORMINV(RAND(),0,1))</f>
        <v>95.318934766259872</v>
      </c>
      <c r="L537">
        <f t="shared" ca="1" si="568"/>
        <v>91.385725986784919</v>
      </c>
      <c r="M537">
        <f t="shared" ca="1" si="568"/>
        <v>86.721757531628867</v>
      </c>
      <c r="N537">
        <f t="shared" ca="1" si="568"/>
        <v>94.915941448960254</v>
      </c>
      <c r="O537">
        <f t="shared" ca="1" si="568"/>
        <v>102.00400776750418</v>
      </c>
      <c r="P537">
        <f t="shared" ca="1" si="568"/>
        <v>99.37139646941641</v>
      </c>
      <c r="Q537">
        <f t="shared" ca="1" si="548"/>
        <v>96.109513680773773</v>
      </c>
      <c r="R537">
        <f t="shared" ca="1" si="549"/>
        <v>0</v>
      </c>
      <c r="S537">
        <f t="shared" ca="1" si="550"/>
        <v>0</v>
      </c>
    </row>
    <row r="538" spans="5:19" x14ac:dyDescent="0.75">
      <c r="E538">
        <v>533</v>
      </c>
      <c r="F538">
        <v>100</v>
      </c>
      <c r="G538">
        <f t="shared" ca="1" si="546"/>
        <v>89.696303397195763</v>
      </c>
      <c r="H538">
        <f t="shared" ca="1" si="546"/>
        <v>93.791633590787484</v>
      </c>
      <c r="I538">
        <f t="shared" ca="1" si="546"/>
        <v>99.054307049591685</v>
      </c>
      <c r="J538">
        <f t="shared" ca="1" si="546"/>
        <v>89.654109200471794</v>
      </c>
      <c r="K538">
        <f t="shared" ref="K538:P538" ca="1" si="569">J538*EXP(($C$4-0.5*$C$5^2)*$C$10+$C$5*SQRT($C$10)*NORMINV(RAND(),0,1))</f>
        <v>93.212479718692393</v>
      </c>
      <c r="L538">
        <f t="shared" ca="1" si="569"/>
        <v>89.247915710693832</v>
      </c>
      <c r="M538">
        <f t="shared" ca="1" si="569"/>
        <v>87.484441902585573</v>
      </c>
      <c r="N538">
        <f t="shared" ca="1" si="569"/>
        <v>80.214441361198297</v>
      </c>
      <c r="O538">
        <f t="shared" ca="1" si="569"/>
        <v>83.061148362651551</v>
      </c>
      <c r="P538">
        <f t="shared" ca="1" si="569"/>
        <v>83.727781826284442</v>
      </c>
      <c r="Q538">
        <f t="shared" ca="1" si="548"/>
        <v>89.922232920013897</v>
      </c>
      <c r="R538">
        <f t="shared" ca="1" si="549"/>
        <v>0</v>
      </c>
      <c r="S538">
        <f t="shared" ca="1" si="550"/>
        <v>0</v>
      </c>
    </row>
    <row r="539" spans="5:19" x14ac:dyDescent="0.75">
      <c r="E539">
        <v>534</v>
      </c>
      <c r="F539">
        <v>100</v>
      </c>
      <c r="G539">
        <f t="shared" ca="1" si="546"/>
        <v>93.674847395318352</v>
      </c>
      <c r="H539">
        <f t="shared" ca="1" si="546"/>
        <v>97.677129713185849</v>
      </c>
      <c r="I539">
        <f t="shared" ca="1" si="546"/>
        <v>93.255245989798595</v>
      </c>
      <c r="J539">
        <f t="shared" ca="1" si="546"/>
        <v>90.97393986228154</v>
      </c>
      <c r="K539">
        <f t="shared" ref="K539:P539" ca="1" si="570">J539*EXP(($C$4-0.5*$C$5^2)*$C$10+$C$5*SQRT($C$10)*NORMINV(RAND(),0,1))</f>
        <v>88.991801789561038</v>
      </c>
      <c r="L539">
        <f t="shared" ca="1" si="570"/>
        <v>86.014294767960877</v>
      </c>
      <c r="M539">
        <f t="shared" ca="1" si="570"/>
        <v>88.029605733489518</v>
      </c>
      <c r="N539">
        <f t="shared" ca="1" si="570"/>
        <v>82.859433016125763</v>
      </c>
      <c r="O539">
        <f t="shared" ca="1" si="570"/>
        <v>86.690087123056358</v>
      </c>
      <c r="P539">
        <f t="shared" ca="1" si="570"/>
        <v>91.969403357858894</v>
      </c>
      <c r="Q539">
        <f t="shared" ca="1" si="548"/>
        <v>90.921435340785166</v>
      </c>
      <c r="R539">
        <f t="shared" ca="1" si="549"/>
        <v>0</v>
      </c>
      <c r="S539">
        <f t="shared" ca="1" si="550"/>
        <v>0</v>
      </c>
    </row>
    <row r="540" spans="5:19" x14ac:dyDescent="0.75">
      <c r="E540">
        <v>535</v>
      </c>
      <c r="F540">
        <v>100</v>
      </c>
      <c r="G540">
        <f t="shared" ca="1" si="546"/>
        <v>101.69127257461543</v>
      </c>
      <c r="H540">
        <f t="shared" ca="1" si="546"/>
        <v>106.46070424477077</v>
      </c>
      <c r="I540">
        <f t="shared" ca="1" si="546"/>
        <v>110.97850638044365</v>
      </c>
      <c r="J540">
        <f t="shared" ca="1" si="546"/>
        <v>118.73214409715241</v>
      </c>
      <c r="K540">
        <f t="shared" ref="K540:P540" ca="1" si="571">J540*EXP(($C$4-0.5*$C$5^2)*$C$10+$C$5*SQRT($C$10)*NORMINV(RAND(),0,1))</f>
        <v>116.72266271201723</v>
      </c>
      <c r="L540">
        <f t="shared" ca="1" si="571"/>
        <v>122.11247871656583</v>
      </c>
      <c r="M540">
        <f t="shared" ca="1" si="571"/>
        <v>123.89911349702379</v>
      </c>
      <c r="N540">
        <f t="shared" ca="1" si="571"/>
        <v>123.19377746961729</v>
      </c>
      <c r="O540">
        <f t="shared" ca="1" si="571"/>
        <v>122.01485294556517</v>
      </c>
      <c r="P540">
        <f t="shared" ca="1" si="571"/>
        <v>124.59991181030129</v>
      </c>
      <c r="Q540">
        <f t="shared" ca="1" si="548"/>
        <v>115.4914022225521</v>
      </c>
      <c r="R540">
        <f t="shared" ca="1" si="549"/>
        <v>15.491402222552097</v>
      </c>
      <c r="S540">
        <f t="shared" ca="1" si="550"/>
        <v>15.184651906206884</v>
      </c>
    </row>
    <row r="541" spans="5:19" x14ac:dyDescent="0.75">
      <c r="E541">
        <v>536</v>
      </c>
      <c r="F541">
        <v>100</v>
      </c>
      <c r="G541">
        <f t="shared" ca="1" si="546"/>
        <v>102.37432575296353</v>
      </c>
      <c r="H541">
        <f t="shared" ca="1" si="546"/>
        <v>96.144839115849152</v>
      </c>
      <c r="I541">
        <f t="shared" ca="1" si="546"/>
        <v>95.442345962305183</v>
      </c>
      <c r="J541">
        <f t="shared" ca="1" si="546"/>
        <v>85.149311434879493</v>
      </c>
      <c r="K541">
        <f t="shared" ref="K541:P541" ca="1" si="572">J541*EXP(($C$4-0.5*$C$5^2)*$C$10+$C$5*SQRT($C$10)*NORMINV(RAND(),0,1))</f>
        <v>87.699294308065006</v>
      </c>
      <c r="L541">
        <f t="shared" ca="1" si="572"/>
        <v>90.440818867847597</v>
      </c>
      <c r="M541">
        <f t="shared" ca="1" si="572"/>
        <v>95.988015849437616</v>
      </c>
      <c r="N541">
        <f t="shared" ca="1" si="572"/>
        <v>97.83491900029918</v>
      </c>
      <c r="O541">
        <f t="shared" ca="1" si="572"/>
        <v>96.013528555393549</v>
      </c>
      <c r="P541">
        <f t="shared" ca="1" si="572"/>
        <v>102.18678499036824</v>
      </c>
      <c r="Q541">
        <f t="shared" ca="1" si="548"/>
        <v>95.388562167037151</v>
      </c>
      <c r="R541">
        <f t="shared" ca="1" si="549"/>
        <v>0</v>
      </c>
      <c r="S541">
        <f t="shared" ca="1" si="550"/>
        <v>0</v>
      </c>
    </row>
    <row r="542" spans="5:19" x14ac:dyDescent="0.75">
      <c r="E542">
        <v>537</v>
      </c>
      <c r="F542">
        <v>100</v>
      </c>
      <c r="G542">
        <f t="shared" ca="1" si="546"/>
        <v>103.39705267234885</v>
      </c>
      <c r="H542">
        <f t="shared" ca="1" si="546"/>
        <v>101.53185015654549</v>
      </c>
      <c r="I542">
        <f t="shared" ca="1" si="546"/>
        <v>98.745323412913592</v>
      </c>
      <c r="J542">
        <f t="shared" ca="1" si="546"/>
        <v>100.58853147830111</v>
      </c>
      <c r="K542">
        <f t="shared" ref="K542:P542" ca="1" si="573">J542*EXP(($C$4-0.5*$C$5^2)*$C$10+$C$5*SQRT($C$10)*NORMINV(RAND(),0,1))</f>
        <v>85.565420511639587</v>
      </c>
      <c r="L542">
        <f t="shared" ca="1" si="573"/>
        <v>84.376055878613613</v>
      </c>
      <c r="M542">
        <f t="shared" ca="1" si="573"/>
        <v>92.308746394727393</v>
      </c>
      <c r="N542">
        <f t="shared" ca="1" si="573"/>
        <v>93.910949572734467</v>
      </c>
      <c r="O542">
        <f t="shared" ca="1" si="573"/>
        <v>107.36058589364795</v>
      </c>
      <c r="P542">
        <f t="shared" ca="1" si="573"/>
        <v>103.05382761434348</v>
      </c>
      <c r="Q542">
        <f t="shared" ca="1" si="548"/>
        <v>97.348940325983222</v>
      </c>
      <c r="R542">
        <f t="shared" ca="1" si="549"/>
        <v>0</v>
      </c>
      <c r="S542">
        <f t="shared" ca="1" si="550"/>
        <v>0</v>
      </c>
    </row>
    <row r="543" spans="5:19" x14ac:dyDescent="0.75">
      <c r="E543">
        <v>538</v>
      </c>
      <c r="F543">
        <v>100</v>
      </c>
      <c r="G543">
        <f t="shared" ca="1" si="546"/>
        <v>109.90276279691618</v>
      </c>
      <c r="H543">
        <f t="shared" ca="1" si="546"/>
        <v>103.42285026427528</v>
      </c>
      <c r="I543">
        <f t="shared" ca="1" si="546"/>
        <v>104.7410620370586</v>
      </c>
      <c r="J543">
        <f t="shared" ca="1" si="546"/>
        <v>90.122371307384739</v>
      </c>
      <c r="K543">
        <f t="shared" ref="K543:P543" ca="1" si="574">J543*EXP(($C$4-0.5*$C$5^2)*$C$10+$C$5*SQRT($C$10)*NORMINV(RAND(),0,1))</f>
        <v>97.940769912009486</v>
      </c>
      <c r="L543">
        <f t="shared" ca="1" si="574"/>
        <v>86.662344043137324</v>
      </c>
      <c r="M543">
        <f t="shared" ca="1" si="574"/>
        <v>84.402681160547331</v>
      </c>
      <c r="N543">
        <f t="shared" ca="1" si="574"/>
        <v>91.329119525351459</v>
      </c>
      <c r="O543">
        <f t="shared" ca="1" si="574"/>
        <v>95.928398861898927</v>
      </c>
      <c r="P543">
        <f t="shared" ca="1" si="574"/>
        <v>106.33723461341719</v>
      </c>
      <c r="Q543">
        <f t="shared" ca="1" si="548"/>
        <v>97.344508592908781</v>
      </c>
      <c r="R543">
        <f t="shared" ca="1" si="549"/>
        <v>0</v>
      </c>
      <c r="S543">
        <f t="shared" ca="1" si="550"/>
        <v>0</v>
      </c>
    </row>
    <row r="544" spans="5:19" x14ac:dyDescent="0.75">
      <c r="E544">
        <v>539</v>
      </c>
      <c r="F544">
        <v>100</v>
      </c>
      <c r="G544">
        <f t="shared" ca="1" si="546"/>
        <v>98.98593076776757</v>
      </c>
      <c r="H544">
        <f t="shared" ca="1" si="546"/>
        <v>105.23846337380387</v>
      </c>
      <c r="I544">
        <f t="shared" ca="1" si="546"/>
        <v>103.30269448117683</v>
      </c>
      <c r="J544">
        <f t="shared" ca="1" si="546"/>
        <v>107.73496779391985</v>
      </c>
      <c r="K544">
        <f t="shared" ref="K544:P544" ca="1" si="575">J544*EXP(($C$4-0.5*$C$5^2)*$C$10+$C$5*SQRT($C$10)*NORMINV(RAND(),0,1))</f>
        <v>112.01250009697901</v>
      </c>
      <c r="L544">
        <f t="shared" ca="1" si="575"/>
        <v>111.58047469458064</v>
      </c>
      <c r="M544">
        <f t="shared" ca="1" si="575"/>
        <v>107.03416669451988</v>
      </c>
      <c r="N544">
        <f t="shared" ca="1" si="575"/>
        <v>92.875399089608592</v>
      </c>
      <c r="O544">
        <f t="shared" ca="1" si="575"/>
        <v>88.169200906975007</v>
      </c>
      <c r="P544">
        <f t="shared" ca="1" si="575"/>
        <v>87.213354934290123</v>
      </c>
      <c r="Q544">
        <f t="shared" ca="1" si="548"/>
        <v>101.2861048030565</v>
      </c>
      <c r="R544">
        <f t="shared" ca="1" si="549"/>
        <v>1.286104803056503</v>
      </c>
      <c r="S544">
        <f t="shared" ca="1" si="550"/>
        <v>1.2606382216894301</v>
      </c>
    </row>
    <row r="545" spans="5:19" x14ac:dyDescent="0.75">
      <c r="E545">
        <v>540</v>
      </c>
      <c r="F545">
        <v>100</v>
      </c>
      <c r="G545">
        <f t="shared" ca="1" si="546"/>
        <v>105.57770305711425</v>
      </c>
      <c r="H545">
        <f t="shared" ca="1" si="546"/>
        <v>108.65625236507898</v>
      </c>
      <c r="I545">
        <f t="shared" ca="1" si="546"/>
        <v>102.72736768420867</v>
      </c>
      <c r="J545">
        <f t="shared" ca="1" si="546"/>
        <v>99.082265226537331</v>
      </c>
      <c r="K545">
        <f t="shared" ref="K545:P545" ca="1" si="576">J545*EXP(($C$4-0.5*$C$5^2)*$C$10+$C$5*SQRT($C$10)*NORMINV(RAND(),0,1))</f>
        <v>106.26354059446702</v>
      </c>
      <c r="L545">
        <f t="shared" ca="1" si="576"/>
        <v>103.46260857612363</v>
      </c>
      <c r="M545">
        <f t="shared" ca="1" si="576"/>
        <v>92.803409761722421</v>
      </c>
      <c r="N545">
        <f t="shared" ca="1" si="576"/>
        <v>89.085068995493842</v>
      </c>
      <c r="O545">
        <f t="shared" ca="1" si="576"/>
        <v>90.201474623707981</v>
      </c>
      <c r="P545">
        <f t="shared" ca="1" si="576"/>
        <v>82.220586312746633</v>
      </c>
      <c r="Q545">
        <f t="shared" ca="1" si="548"/>
        <v>98.189116108836458</v>
      </c>
      <c r="R545">
        <f t="shared" ca="1" si="549"/>
        <v>0</v>
      </c>
      <c r="S545">
        <f t="shared" ca="1" si="550"/>
        <v>0</v>
      </c>
    </row>
    <row r="546" spans="5:19" x14ac:dyDescent="0.75">
      <c r="E546">
        <v>541</v>
      </c>
      <c r="F546">
        <v>100</v>
      </c>
      <c r="G546">
        <f t="shared" ca="1" si="546"/>
        <v>100.20442621945014</v>
      </c>
      <c r="H546">
        <f t="shared" ca="1" si="546"/>
        <v>105.24733896074997</v>
      </c>
      <c r="I546">
        <f t="shared" ca="1" si="546"/>
        <v>97.227478079065321</v>
      </c>
      <c r="J546">
        <f t="shared" ca="1" si="546"/>
        <v>106.10104816405524</v>
      </c>
      <c r="K546">
        <f t="shared" ref="K546:P546" ca="1" si="577">J546*EXP(($C$4-0.5*$C$5^2)*$C$10+$C$5*SQRT($C$10)*NORMINV(RAND(),0,1))</f>
        <v>101.14469922958465</v>
      </c>
      <c r="L546">
        <f t="shared" ca="1" si="577"/>
        <v>93.353056121694806</v>
      </c>
      <c r="M546">
        <f t="shared" ca="1" si="577"/>
        <v>100.78269729138161</v>
      </c>
      <c r="N546">
        <f t="shared" ca="1" si="577"/>
        <v>101.74933812496521</v>
      </c>
      <c r="O546">
        <f t="shared" ca="1" si="577"/>
        <v>115.54946255413979</v>
      </c>
      <c r="P546">
        <f t="shared" ca="1" si="577"/>
        <v>114.57291088639566</v>
      </c>
      <c r="Q546">
        <f t="shared" ca="1" si="548"/>
        <v>103.26658687558933</v>
      </c>
      <c r="R546">
        <f t="shared" ca="1" si="549"/>
        <v>3.2665868755893257</v>
      </c>
      <c r="S546">
        <f t="shared" ca="1" si="550"/>
        <v>3.2019041216939157</v>
      </c>
    </row>
    <row r="547" spans="5:19" x14ac:dyDescent="0.75">
      <c r="E547">
        <v>542</v>
      </c>
      <c r="F547">
        <v>100</v>
      </c>
      <c r="G547">
        <f t="shared" ca="1" si="546"/>
        <v>99.407352357237741</v>
      </c>
      <c r="H547">
        <f t="shared" ca="1" si="546"/>
        <v>110.41826798639184</v>
      </c>
      <c r="I547">
        <f t="shared" ca="1" si="546"/>
        <v>104.29686474988294</v>
      </c>
      <c r="J547">
        <f t="shared" ca="1" si="546"/>
        <v>98.002960611324738</v>
      </c>
      <c r="K547">
        <f t="shared" ref="K547:P547" ca="1" si="578">J547*EXP(($C$4-0.5*$C$5^2)*$C$10+$C$5*SQRT($C$10)*NORMINV(RAND(),0,1))</f>
        <v>100.88884529815459</v>
      </c>
      <c r="L547">
        <f t="shared" ca="1" si="578"/>
        <v>109.55446700773541</v>
      </c>
      <c r="M547">
        <f t="shared" ca="1" si="578"/>
        <v>126.26749172587546</v>
      </c>
      <c r="N547">
        <f t="shared" ca="1" si="578"/>
        <v>129.72174766682053</v>
      </c>
      <c r="O547">
        <f t="shared" ca="1" si="578"/>
        <v>138.04770836975928</v>
      </c>
      <c r="P547">
        <f t="shared" ca="1" si="578"/>
        <v>138.03442779236147</v>
      </c>
      <c r="Q547">
        <f t="shared" ca="1" si="548"/>
        <v>114.058193960504</v>
      </c>
      <c r="R547">
        <f t="shared" ca="1" si="549"/>
        <v>14.058193960503999</v>
      </c>
      <c r="S547">
        <f t="shared" ca="1" si="550"/>
        <v>13.779823069175059</v>
      </c>
    </row>
    <row r="548" spans="5:19" x14ac:dyDescent="0.75">
      <c r="E548">
        <v>543</v>
      </c>
      <c r="F548">
        <v>100</v>
      </c>
      <c r="G548">
        <f t="shared" ca="1" si="546"/>
        <v>112.08032421472723</v>
      </c>
      <c r="H548">
        <f t="shared" ca="1" si="546"/>
        <v>111.87048347083227</v>
      </c>
      <c r="I548">
        <f t="shared" ca="1" si="546"/>
        <v>116.13359635564407</v>
      </c>
      <c r="J548">
        <f t="shared" ca="1" si="546"/>
        <v>118.8350964858148</v>
      </c>
      <c r="K548">
        <f t="shared" ref="K548:P548" ca="1" si="579">J548*EXP(($C$4-0.5*$C$5^2)*$C$10+$C$5*SQRT($C$10)*NORMINV(RAND(),0,1))</f>
        <v>129.32847689142946</v>
      </c>
      <c r="L548">
        <f t="shared" ca="1" si="579"/>
        <v>128.67674805103903</v>
      </c>
      <c r="M548">
        <f t="shared" ca="1" si="579"/>
        <v>117.61972393839203</v>
      </c>
      <c r="N548">
        <f t="shared" ca="1" si="579"/>
        <v>115.30368505470884</v>
      </c>
      <c r="O548">
        <f t="shared" ca="1" si="579"/>
        <v>110.56403716634448</v>
      </c>
      <c r="P548">
        <f t="shared" ca="1" si="579"/>
        <v>103.57085519370467</v>
      </c>
      <c r="Q548">
        <f t="shared" ca="1" si="548"/>
        <v>114.90754789296697</v>
      </c>
      <c r="R548">
        <f t="shared" ca="1" si="549"/>
        <v>14.907547892966974</v>
      </c>
      <c r="S548">
        <f t="shared" ca="1" si="550"/>
        <v>14.612358666943143</v>
      </c>
    </row>
    <row r="549" spans="5:19" x14ac:dyDescent="0.75">
      <c r="E549">
        <v>544</v>
      </c>
      <c r="F549">
        <v>100</v>
      </c>
      <c r="G549">
        <f t="shared" ca="1" si="546"/>
        <v>103.02523568752473</v>
      </c>
      <c r="H549">
        <f t="shared" ca="1" si="546"/>
        <v>107.36605670311378</v>
      </c>
      <c r="I549">
        <f t="shared" ca="1" si="546"/>
        <v>100.75504432244529</v>
      </c>
      <c r="J549">
        <f t="shared" ca="1" si="546"/>
        <v>105.28728691022104</v>
      </c>
      <c r="K549">
        <f t="shared" ref="K549:P549" ca="1" si="580">J549*EXP(($C$4-0.5*$C$5^2)*$C$10+$C$5*SQRT($C$10)*NORMINV(RAND(),0,1))</f>
        <v>98.75409661152041</v>
      </c>
      <c r="L549">
        <f t="shared" ca="1" si="580"/>
        <v>104.17208781715254</v>
      </c>
      <c r="M549">
        <f t="shared" ca="1" si="580"/>
        <v>99.802430608016778</v>
      </c>
      <c r="N549">
        <f t="shared" ca="1" si="580"/>
        <v>91.108511537084539</v>
      </c>
      <c r="O549">
        <f t="shared" ca="1" si="580"/>
        <v>98.665930316825907</v>
      </c>
      <c r="P549">
        <f t="shared" ca="1" si="580"/>
        <v>110.42695303774481</v>
      </c>
      <c r="Q549">
        <f t="shared" ca="1" si="548"/>
        <v>101.76033032287724</v>
      </c>
      <c r="R549">
        <f t="shared" ca="1" si="549"/>
        <v>1.7603303228772376</v>
      </c>
      <c r="S549">
        <f t="shared" ca="1" si="550"/>
        <v>1.7254734470659203</v>
      </c>
    </row>
    <row r="550" spans="5:19" x14ac:dyDescent="0.75">
      <c r="E550">
        <v>545</v>
      </c>
      <c r="F550">
        <v>100</v>
      </c>
      <c r="G550">
        <f t="shared" ca="1" si="546"/>
        <v>84.992052613359959</v>
      </c>
      <c r="H550">
        <f t="shared" ca="1" si="546"/>
        <v>80.078054470193194</v>
      </c>
      <c r="I550">
        <f t="shared" ca="1" si="546"/>
        <v>73.902969692918617</v>
      </c>
      <c r="J550">
        <f t="shared" ca="1" si="546"/>
        <v>70.861106416674204</v>
      </c>
      <c r="K550">
        <f t="shared" ref="K550:P550" ca="1" si="581">J550*EXP(($C$4-0.5*$C$5^2)*$C$10+$C$5*SQRT($C$10)*NORMINV(RAND(),0,1))</f>
        <v>80.3958269045077</v>
      </c>
      <c r="L550">
        <f t="shared" ca="1" si="581"/>
        <v>74.416008713131291</v>
      </c>
      <c r="M550">
        <f t="shared" ca="1" si="581"/>
        <v>67.50963408336797</v>
      </c>
      <c r="N550">
        <f t="shared" ca="1" si="581"/>
        <v>64.096714359037165</v>
      </c>
      <c r="O550">
        <f t="shared" ca="1" si="581"/>
        <v>67.925002107772357</v>
      </c>
      <c r="P550">
        <f t="shared" ca="1" si="581"/>
        <v>70.826628216048988</v>
      </c>
      <c r="Q550">
        <f t="shared" ca="1" si="548"/>
        <v>75.909454325182864</v>
      </c>
      <c r="R550">
        <f t="shared" ca="1" si="549"/>
        <v>0</v>
      </c>
      <c r="S550">
        <f t="shared" ca="1" si="550"/>
        <v>0</v>
      </c>
    </row>
    <row r="551" spans="5:19" x14ac:dyDescent="0.75">
      <c r="E551">
        <v>546</v>
      </c>
      <c r="F551">
        <v>100</v>
      </c>
      <c r="G551">
        <f t="shared" ca="1" si="546"/>
        <v>93.954096405668849</v>
      </c>
      <c r="H551">
        <f t="shared" ca="1" si="546"/>
        <v>101.36756238820162</v>
      </c>
      <c r="I551">
        <f t="shared" ca="1" si="546"/>
        <v>104.18561883941659</v>
      </c>
      <c r="J551">
        <f t="shared" ca="1" si="546"/>
        <v>95.566225285708924</v>
      </c>
      <c r="K551">
        <f t="shared" ref="K551:P551" ca="1" si="582">J551*EXP(($C$4-0.5*$C$5^2)*$C$10+$C$5*SQRT($C$10)*NORMINV(RAND(),0,1))</f>
        <v>90.510399736587573</v>
      </c>
      <c r="L551">
        <f t="shared" ca="1" si="582"/>
        <v>87.016626807070395</v>
      </c>
      <c r="M551">
        <f t="shared" ca="1" si="582"/>
        <v>88.293494694107807</v>
      </c>
      <c r="N551">
        <f t="shared" ca="1" si="582"/>
        <v>81.582787082921513</v>
      </c>
      <c r="O551">
        <f t="shared" ca="1" si="582"/>
        <v>84.653756480411445</v>
      </c>
      <c r="P551">
        <f t="shared" ca="1" si="582"/>
        <v>77.408094124342284</v>
      </c>
      <c r="Q551">
        <f t="shared" ca="1" si="548"/>
        <v>91.32169653131244</v>
      </c>
      <c r="R551">
        <f t="shared" ca="1" si="549"/>
        <v>0</v>
      </c>
      <c r="S551">
        <f t="shared" ca="1" si="550"/>
        <v>0</v>
      </c>
    </row>
    <row r="552" spans="5:19" x14ac:dyDescent="0.75">
      <c r="E552">
        <v>547</v>
      </c>
      <c r="F552">
        <v>100</v>
      </c>
      <c r="G552">
        <f t="shared" ca="1" si="546"/>
        <v>104.34481433519932</v>
      </c>
      <c r="H552">
        <f t="shared" ca="1" si="546"/>
        <v>118.98019223874579</v>
      </c>
      <c r="I552">
        <f t="shared" ca="1" si="546"/>
        <v>126.32688564285037</v>
      </c>
      <c r="J552">
        <f t="shared" ca="1" si="546"/>
        <v>129.46420752939542</v>
      </c>
      <c r="K552">
        <f t="shared" ref="K552:P552" ca="1" si="583">J552*EXP(($C$4-0.5*$C$5^2)*$C$10+$C$5*SQRT($C$10)*NORMINV(RAND(),0,1))</f>
        <v>122.04280042196191</v>
      </c>
      <c r="L552">
        <f t="shared" ca="1" si="583"/>
        <v>127.49126470387193</v>
      </c>
      <c r="M552">
        <f t="shared" ca="1" si="583"/>
        <v>132.86719317150411</v>
      </c>
      <c r="N552">
        <f t="shared" ca="1" si="583"/>
        <v>119.79543784561901</v>
      </c>
      <c r="O552">
        <f t="shared" ca="1" si="583"/>
        <v>129.51544573992302</v>
      </c>
      <c r="P552">
        <f t="shared" ca="1" si="583"/>
        <v>137.05163990288912</v>
      </c>
      <c r="Q552">
        <f t="shared" ca="1" si="548"/>
        <v>122.53453468472365</v>
      </c>
      <c r="R552">
        <f t="shared" ca="1" si="549"/>
        <v>22.534534684723653</v>
      </c>
      <c r="S552">
        <f t="shared" ca="1" si="550"/>
        <v>22.088321001551186</v>
      </c>
    </row>
    <row r="553" spans="5:19" x14ac:dyDescent="0.75">
      <c r="E553">
        <v>548</v>
      </c>
      <c r="F553">
        <v>100</v>
      </c>
      <c r="G553">
        <f t="shared" ca="1" si="546"/>
        <v>93.967253569535515</v>
      </c>
      <c r="H553">
        <f t="shared" ca="1" si="546"/>
        <v>94.308558470779843</v>
      </c>
      <c r="I553">
        <f t="shared" ca="1" si="546"/>
        <v>85.611692572708762</v>
      </c>
      <c r="J553">
        <f t="shared" ca="1" si="546"/>
        <v>92.453272953974277</v>
      </c>
      <c r="K553">
        <f t="shared" ref="K553:P553" ca="1" si="584">J553*EXP(($C$4-0.5*$C$5^2)*$C$10+$C$5*SQRT($C$10)*NORMINV(RAND(),0,1))</f>
        <v>99.069471317116353</v>
      </c>
      <c r="L553">
        <f t="shared" ca="1" si="584"/>
        <v>97.521330488535</v>
      </c>
      <c r="M553">
        <f t="shared" ca="1" si="584"/>
        <v>100.41476615770222</v>
      </c>
      <c r="N553">
        <f t="shared" ca="1" si="584"/>
        <v>98.75152319067692</v>
      </c>
      <c r="O553">
        <f t="shared" ca="1" si="584"/>
        <v>106.96652322000196</v>
      </c>
      <c r="P553">
        <f t="shared" ca="1" si="584"/>
        <v>120.34243384908008</v>
      </c>
      <c r="Q553">
        <f t="shared" ca="1" si="548"/>
        <v>99.036984162737369</v>
      </c>
      <c r="R553">
        <f t="shared" ca="1" si="549"/>
        <v>0</v>
      </c>
      <c r="S553">
        <f t="shared" ca="1" si="550"/>
        <v>0</v>
      </c>
    </row>
    <row r="554" spans="5:19" x14ac:dyDescent="0.75">
      <c r="E554">
        <v>549</v>
      </c>
      <c r="F554">
        <v>100</v>
      </c>
      <c r="G554">
        <f t="shared" ca="1" si="546"/>
        <v>104.70539365844806</v>
      </c>
      <c r="H554">
        <f t="shared" ca="1" si="546"/>
        <v>100.50283233797306</v>
      </c>
      <c r="I554">
        <f t="shared" ca="1" si="546"/>
        <v>97.064905835828398</v>
      </c>
      <c r="J554">
        <f t="shared" ca="1" si="546"/>
        <v>89.114730615434098</v>
      </c>
      <c r="K554">
        <f t="shared" ref="K554:P554" ca="1" si="585">J554*EXP(($C$4-0.5*$C$5^2)*$C$10+$C$5*SQRT($C$10)*NORMINV(RAND(),0,1))</f>
        <v>92.284036410947863</v>
      </c>
      <c r="L554">
        <f t="shared" ca="1" si="585"/>
        <v>99.040938866777125</v>
      </c>
      <c r="M554">
        <f t="shared" ca="1" si="585"/>
        <v>92.489351889152701</v>
      </c>
      <c r="N554">
        <f t="shared" ca="1" si="585"/>
        <v>89.504640842629755</v>
      </c>
      <c r="O554">
        <f t="shared" ca="1" si="585"/>
        <v>85.166218953182238</v>
      </c>
      <c r="P554">
        <f t="shared" ca="1" si="585"/>
        <v>85.391248518488936</v>
      </c>
      <c r="Q554">
        <f t="shared" ca="1" si="548"/>
        <v>94.114936175351104</v>
      </c>
      <c r="R554">
        <f t="shared" ca="1" si="549"/>
        <v>0</v>
      </c>
      <c r="S554">
        <f t="shared" ca="1" si="550"/>
        <v>0</v>
      </c>
    </row>
    <row r="555" spans="5:19" x14ac:dyDescent="0.75">
      <c r="E555">
        <v>550</v>
      </c>
      <c r="F555">
        <v>100</v>
      </c>
      <c r="G555">
        <f t="shared" ca="1" si="546"/>
        <v>98.672264427087924</v>
      </c>
      <c r="H555">
        <f t="shared" ca="1" si="546"/>
        <v>99.954915194465187</v>
      </c>
      <c r="I555">
        <f t="shared" ca="1" si="546"/>
        <v>106.33720154520014</v>
      </c>
      <c r="J555">
        <f t="shared" ca="1" si="546"/>
        <v>108.7912393415692</v>
      </c>
      <c r="K555">
        <f t="shared" ref="K555:P555" ca="1" si="586">J555*EXP(($C$4-0.5*$C$5^2)*$C$10+$C$5*SQRT($C$10)*NORMINV(RAND(),0,1))</f>
        <v>115.3501549849492</v>
      </c>
      <c r="L555">
        <f t="shared" ca="1" si="586"/>
        <v>111.26369059627831</v>
      </c>
      <c r="M555">
        <f t="shared" ca="1" si="586"/>
        <v>113.52772751579748</v>
      </c>
      <c r="N555">
        <f t="shared" ca="1" si="586"/>
        <v>109.62234408669975</v>
      </c>
      <c r="O555">
        <f t="shared" ca="1" si="586"/>
        <v>105.99084137792684</v>
      </c>
      <c r="P555">
        <f t="shared" ca="1" si="586"/>
        <v>109.76377113814978</v>
      </c>
      <c r="Q555">
        <f t="shared" ca="1" si="548"/>
        <v>107.20674092801124</v>
      </c>
      <c r="R555">
        <f t="shared" ca="1" si="549"/>
        <v>7.2067409280112429</v>
      </c>
      <c r="S555">
        <f t="shared" ca="1" si="550"/>
        <v>7.0640378965021142</v>
      </c>
    </row>
    <row r="556" spans="5:19" x14ac:dyDescent="0.75">
      <c r="E556">
        <v>551</v>
      </c>
      <c r="F556">
        <v>100</v>
      </c>
      <c r="G556">
        <f t="shared" ca="1" si="546"/>
        <v>91.827323833438541</v>
      </c>
      <c r="H556">
        <f t="shared" ca="1" si="546"/>
        <v>90.446535138432964</v>
      </c>
      <c r="I556">
        <f t="shared" ca="1" si="546"/>
        <v>89.249145039644802</v>
      </c>
      <c r="J556">
        <f t="shared" ca="1" si="546"/>
        <v>80.368132353550152</v>
      </c>
      <c r="K556">
        <f t="shared" ref="K556:P556" ca="1" si="587">J556*EXP(($C$4-0.5*$C$5^2)*$C$10+$C$5*SQRT($C$10)*NORMINV(RAND(),0,1))</f>
        <v>79.997065902151675</v>
      </c>
      <c r="L556">
        <f t="shared" ca="1" si="587"/>
        <v>79.004042977538759</v>
      </c>
      <c r="M556">
        <f t="shared" ca="1" si="587"/>
        <v>74.514804693068868</v>
      </c>
      <c r="N556">
        <f t="shared" ca="1" si="587"/>
        <v>79.133819347325613</v>
      </c>
      <c r="O556">
        <f t="shared" ca="1" si="587"/>
        <v>84.91165364936974</v>
      </c>
      <c r="P556">
        <f t="shared" ca="1" si="587"/>
        <v>86.21623278365476</v>
      </c>
      <c r="Q556">
        <f t="shared" ca="1" si="548"/>
        <v>85.06079597437963</v>
      </c>
      <c r="R556">
        <f t="shared" ca="1" si="549"/>
        <v>0</v>
      </c>
      <c r="S556">
        <f t="shared" ca="1" si="550"/>
        <v>0</v>
      </c>
    </row>
    <row r="557" spans="5:19" x14ac:dyDescent="0.75">
      <c r="E557">
        <v>552</v>
      </c>
      <c r="F557">
        <v>100</v>
      </c>
      <c r="G557">
        <f t="shared" ca="1" si="546"/>
        <v>109.35780363644618</v>
      </c>
      <c r="H557">
        <f t="shared" ca="1" si="546"/>
        <v>110.77957638707123</v>
      </c>
      <c r="I557">
        <f t="shared" ca="1" si="546"/>
        <v>111.20546748122456</v>
      </c>
      <c r="J557">
        <f t="shared" ca="1" si="546"/>
        <v>116.90263605960965</v>
      </c>
      <c r="K557">
        <f t="shared" ref="K557:P557" ca="1" si="588">J557*EXP(($C$4-0.5*$C$5^2)*$C$10+$C$5*SQRT($C$10)*NORMINV(RAND(),0,1))</f>
        <v>126.76792352148735</v>
      </c>
      <c r="L557">
        <f t="shared" ca="1" si="588"/>
        <v>127.60387392988331</v>
      </c>
      <c r="M557">
        <f t="shared" ca="1" si="588"/>
        <v>137.50308059012426</v>
      </c>
      <c r="N557">
        <f t="shared" ca="1" si="588"/>
        <v>131.88548505089275</v>
      </c>
      <c r="O557">
        <f t="shared" ca="1" si="588"/>
        <v>121.9614979461488</v>
      </c>
      <c r="P557">
        <f t="shared" ca="1" si="588"/>
        <v>122.8291291479123</v>
      </c>
      <c r="Q557">
        <f t="shared" ca="1" si="548"/>
        <v>119.70877034098184</v>
      </c>
      <c r="R557">
        <f t="shared" ca="1" si="549"/>
        <v>19.708770340981843</v>
      </c>
      <c r="S557">
        <f t="shared" ca="1" si="550"/>
        <v>19.318510540737929</v>
      </c>
    </row>
    <row r="558" spans="5:19" x14ac:dyDescent="0.75">
      <c r="E558">
        <v>553</v>
      </c>
      <c r="F558">
        <v>100</v>
      </c>
      <c r="G558">
        <f t="shared" ca="1" si="546"/>
        <v>96.13551768743001</v>
      </c>
      <c r="H558">
        <f t="shared" ca="1" si="546"/>
        <v>99.461365698799511</v>
      </c>
      <c r="I558">
        <f t="shared" ca="1" si="546"/>
        <v>101.08710088555101</v>
      </c>
      <c r="J558">
        <f t="shared" ca="1" si="546"/>
        <v>93.082212034867609</v>
      </c>
      <c r="K558">
        <f t="shared" ref="K558:P558" ca="1" si="589">J558*EXP(($C$4-0.5*$C$5^2)*$C$10+$C$5*SQRT($C$10)*NORMINV(RAND(),0,1))</f>
        <v>94.458886193127498</v>
      </c>
      <c r="L558">
        <f t="shared" ca="1" si="589"/>
        <v>92.143179113353668</v>
      </c>
      <c r="M558">
        <f t="shared" ca="1" si="589"/>
        <v>89.59046769228209</v>
      </c>
      <c r="N558">
        <f t="shared" ca="1" si="589"/>
        <v>86.936005253624927</v>
      </c>
      <c r="O558">
        <f t="shared" ca="1" si="589"/>
        <v>89.717731543554777</v>
      </c>
      <c r="P558">
        <f t="shared" ca="1" si="589"/>
        <v>86.085371285846009</v>
      </c>
      <c r="Q558">
        <f t="shared" ca="1" si="548"/>
        <v>93.517985217130658</v>
      </c>
      <c r="R558">
        <f t="shared" ca="1" si="549"/>
        <v>0</v>
      </c>
      <c r="S558">
        <f t="shared" ca="1" si="550"/>
        <v>0</v>
      </c>
    </row>
    <row r="559" spans="5:19" x14ac:dyDescent="0.75">
      <c r="E559">
        <v>554</v>
      </c>
      <c r="F559">
        <v>100</v>
      </c>
      <c r="G559">
        <f t="shared" ca="1" si="546"/>
        <v>97.849483661538656</v>
      </c>
      <c r="H559">
        <f t="shared" ca="1" si="546"/>
        <v>94.174992862428965</v>
      </c>
      <c r="I559">
        <f t="shared" ca="1" si="546"/>
        <v>103.04847443285638</v>
      </c>
      <c r="J559">
        <f t="shared" ca="1" si="546"/>
        <v>96.581589881789142</v>
      </c>
      <c r="K559">
        <f t="shared" ref="K559:P559" ca="1" si="590">J559*EXP(($C$4-0.5*$C$5^2)*$C$10+$C$5*SQRT($C$10)*NORMINV(RAND(),0,1))</f>
        <v>96.671928629820442</v>
      </c>
      <c r="L559">
        <f t="shared" ca="1" si="590"/>
        <v>95.496344966796357</v>
      </c>
      <c r="M559">
        <f t="shared" ca="1" si="590"/>
        <v>88.851041682501474</v>
      </c>
      <c r="N559">
        <f t="shared" ca="1" si="590"/>
        <v>96.502263547137673</v>
      </c>
      <c r="O559">
        <f t="shared" ca="1" si="590"/>
        <v>91.539180815623993</v>
      </c>
      <c r="P559">
        <f t="shared" ca="1" si="590"/>
        <v>96.98682746635447</v>
      </c>
      <c r="Q559">
        <f t="shared" ca="1" si="548"/>
        <v>96.154738904258863</v>
      </c>
      <c r="R559">
        <f t="shared" ca="1" si="549"/>
        <v>0</v>
      </c>
      <c r="S559">
        <f t="shared" ca="1" si="550"/>
        <v>0</v>
      </c>
    </row>
    <row r="560" spans="5:19" x14ac:dyDescent="0.75">
      <c r="E560">
        <v>555</v>
      </c>
      <c r="F560">
        <v>100</v>
      </c>
      <c r="G560">
        <f t="shared" ca="1" si="546"/>
        <v>105.46033165916933</v>
      </c>
      <c r="H560">
        <f t="shared" ca="1" si="546"/>
        <v>101.85000503979613</v>
      </c>
      <c r="I560">
        <f t="shared" ca="1" si="546"/>
        <v>105.24425025735972</v>
      </c>
      <c r="J560">
        <f t="shared" ca="1" si="546"/>
        <v>106.00240739350858</v>
      </c>
      <c r="K560">
        <f t="shared" ref="K560:P560" ca="1" si="591">J560*EXP(($C$4-0.5*$C$5^2)*$C$10+$C$5*SQRT($C$10)*NORMINV(RAND(),0,1))</f>
        <v>103.77418510901438</v>
      </c>
      <c r="L560">
        <f t="shared" ca="1" si="591"/>
        <v>103.7783842333084</v>
      </c>
      <c r="M560">
        <f t="shared" ca="1" si="591"/>
        <v>93.260280917282273</v>
      </c>
      <c r="N560">
        <f t="shared" ca="1" si="591"/>
        <v>102.17508773607601</v>
      </c>
      <c r="O560">
        <f t="shared" ca="1" si="591"/>
        <v>102.32140603119063</v>
      </c>
      <c r="P560">
        <f t="shared" ca="1" si="591"/>
        <v>95.204592278408057</v>
      </c>
      <c r="Q560">
        <f t="shared" ca="1" si="548"/>
        <v>101.73372096864668</v>
      </c>
      <c r="R560">
        <f t="shared" ca="1" si="549"/>
        <v>1.7337209686466792</v>
      </c>
      <c r="S560">
        <f t="shared" ca="1" si="550"/>
        <v>1.6993909933515776</v>
      </c>
    </row>
    <row r="561" spans="5:19" x14ac:dyDescent="0.75">
      <c r="E561">
        <v>556</v>
      </c>
      <c r="F561">
        <v>100</v>
      </c>
      <c r="G561">
        <f t="shared" ca="1" si="546"/>
        <v>99.081552812825407</v>
      </c>
      <c r="H561">
        <f t="shared" ca="1" si="546"/>
        <v>97.074814442728865</v>
      </c>
      <c r="I561">
        <f t="shared" ca="1" si="546"/>
        <v>84.313944638617571</v>
      </c>
      <c r="J561">
        <f t="shared" ca="1" si="546"/>
        <v>80.949316400240221</v>
      </c>
      <c r="K561">
        <f t="shared" ref="K561:P561" ca="1" si="592">J561*EXP(($C$4-0.5*$C$5^2)*$C$10+$C$5*SQRT($C$10)*NORMINV(RAND(),0,1))</f>
        <v>76.182266428601238</v>
      </c>
      <c r="L561">
        <f t="shared" ca="1" si="592"/>
        <v>69.55497967451258</v>
      </c>
      <c r="M561">
        <f t="shared" ca="1" si="592"/>
        <v>74.580582421689996</v>
      </c>
      <c r="N561">
        <f t="shared" ca="1" si="592"/>
        <v>83.703032593892402</v>
      </c>
      <c r="O561">
        <f t="shared" ca="1" si="592"/>
        <v>83.561532218457842</v>
      </c>
      <c r="P561">
        <f t="shared" ca="1" si="592"/>
        <v>85.745742375910169</v>
      </c>
      <c r="Q561">
        <f t="shared" ca="1" si="548"/>
        <v>84.977069455225106</v>
      </c>
      <c r="R561">
        <f t="shared" ca="1" si="549"/>
        <v>0</v>
      </c>
      <c r="S561">
        <f t="shared" ca="1" si="550"/>
        <v>0</v>
      </c>
    </row>
    <row r="562" spans="5:19" x14ac:dyDescent="0.75">
      <c r="E562">
        <v>557</v>
      </c>
      <c r="F562">
        <v>100</v>
      </c>
      <c r="G562">
        <f t="shared" ca="1" si="546"/>
        <v>96.416581764702542</v>
      </c>
      <c r="H562">
        <f t="shared" ca="1" si="546"/>
        <v>100.82957501596721</v>
      </c>
      <c r="I562">
        <f t="shared" ca="1" si="546"/>
        <v>101.84170798955083</v>
      </c>
      <c r="J562">
        <f t="shared" ca="1" si="546"/>
        <v>104.63939969645466</v>
      </c>
      <c r="K562">
        <f t="shared" ref="K562:P562" ca="1" si="593">J562*EXP(($C$4-0.5*$C$5^2)*$C$10+$C$5*SQRT($C$10)*NORMINV(RAND(),0,1))</f>
        <v>103.46398299533986</v>
      </c>
      <c r="L562">
        <f t="shared" ca="1" si="593"/>
        <v>110.93106951810572</v>
      </c>
      <c r="M562">
        <f t="shared" ca="1" si="593"/>
        <v>110.6858032916152</v>
      </c>
      <c r="N562">
        <f t="shared" ca="1" si="593"/>
        <v>114.4257658464094</v>
      </c>
      <c r="O562">
        <f t="shared" ca="1" si="593"/>
        <v>110.37102343070413</v>
      </c>
      <c r="P562">
        <f t="shared" ca="1" si="593"/>
        <v>112.52567031221584</v>
      </c>
      <c r="Q562">
        <f t="shared" ca="1" si="548"/>
        <v>106.01187089646049</v>
      </c>
      <c r="R562">
        <f t="shared" ca="1" si="549"/>
        <v>6.0118708964604934</v>
      </c>
      <c r="S562">
        <f t="shared" ca="1" si="550"/>
        <v>5.8928278768020688</v>
      </c>
    </row>
    <row r="563" spans="5:19" x14ac:dyDescent="0.75">
      <c r="E563">
        <v>558</v>
      </c>
      <c r="F563">
        <v>100</v>
      </c>
      <c r="G563">
        <f t="shared" ca="1" si="546"/>
        <v>110.27400709367869</v>
      </c>
      <c r="H563">
        <f t="shared" ca="1" si="546"/>
        <v>109.86215091406821</v>
      </c>
      <c r="I563">
        <f t="shared" ca="1" si="546"/>
        <v>101.37856165777906</v>
      </c>
      <c r="J563">
        <f t="shared" ca="1" si="546"/>
        <v>99.633074620647236</v>
      </c>
      <c r="K563">
        <f t="shared" ref="K563:P563" ca="1" si="594">J563*EXP(($C$4-0.5*$C$5^2)*$C$10+$C$5*SQRT($C$10)*NORMINV(RAND(),0,1))</f>
        <v>88.381864329512567</v>
      </c>
      <c r="L563">
        <f t="shared" ca="1" si="594"/>
        <v>95.334475907790889</v>
      </c>
      <c r="M563">
        <f t="shared" ca="1" si="594"/>
        <v>102.2232336547427</v>
      </c>
      <c r="N563">
        <f t="shared" ca="1" si="594"/>
        <v>105.68468725187962</v>
      </c>
      <c r="O563">
        <f t="shared" ca="1" si="594"/>
        <v>92.214971597639121</v>
      </c>
      <c r="P563">
        <f t="shared" ca="1" si="594"/>
        <v>85.313594140612693</v>
      </c>
      <c r="Q563">
        <f t="shared" ca="1" si="548"/>
        <v>99.11823828803189</v>
      </c>
      <c r="R563">
        <f t="shared" ca="1" si="549"/>
        <v>0</v>
      </c>
      <c r="S563">
        <f t="shared" ca="1" si="550"/>
        <v>0</v>
      </c>
    </row>
    <row r="564" spans="5:19" x14ac:dyDescent="0.75">
      <c r="E564">
        <v>559</v>
      </c>
      <c r="F564">
        <v>100</v>
      </c>
      <c r="G564">
        <f t="shared" ca="1" si="546"/>
        <v>104.77371717543342</v>
      </c>
      <c r="H564">
        <f t="shared" ca="1" si="546"/>
        <v>97.651548534374797</v>
      </c>
      <c r="I564">
        <f t="shared" ca="1" si="546"/>
        <v>99.453658877357938</v>
      </c>
      <c r="J564">
        <f t="shared" ca="1" si="546"/>
        <v>98.723422352341828</v>
      </c>
      <c r="K564">
        <f t="shared" ref="K564:P564" ca="1" si="595">J564*EXP(($C$4-0.5*$C$5^2)*$C$10+$C$5*SQRT($C$10)*NORMINV(RAND(),0,1))</f>
        <v>101.8562333303185</v>
      </c>
      <c r="L564">
        <f t="shared" ca="1" si="595"/>
        <v>89.162705437311629</v>
      </c>
      <c r="M564">
        <f t="shared" ca="1" si="595"/>
        <v>88.060208858700705</v>
      </c>
      <c r="N564">
        <f t="shared" ca="1" si="595"/>
        <v>83.284041786476863</v>
      </c>
      <c r="O564">
        <f t="shared" ca="1" si="595"/>
        <v>79.698403400046729</v>
      </c>
      <c r="P564">
        <f t="shared" ca="1" si="595"/>
        <v>84.643856972582526</v>
      </c>
      <c r="Q564">
        <f t="shared" ca="1" si="548"/>
        <v>93.391617884085917</v>
      </c>
      <c r="R564">
        <f t="shared" ca="1" si="549"/>
        <v>0</v>
      </c>
      <c r="S564">
        <f t="shared" ca="1" si="550"/>
        <v>0</v>
      </c>
    </row>
    <row r="565" spans="5:19" x14ac:dyDescent="0.75">
      <c r="E565">
        <v>560</v>
      </c>
      <c r="F565">
        <v>100</v>
      </c>
      <c r="G565">
        <f t="shared" ca="1" si="546"/>
        <v>101.10353219489167</v>
      </c>
      <c r="H565">
        <f t="shared" ca="1" si="546"/>
        <v>98.745995410196713</v>
      </c>
      <c r="I565">
        <f t="shared" ca="1" si="546"/>
        <v>96.955774191751019</v>
      </c>
      <c r="J565">
        <f t="shared" ca="1" si="546"/>
        <v>95.887671823494443</v>
      </c>
      <c r="K565">
        <f t="shared" ref="K565:P565" ca="1" si="596">J565*EXP(($C$4-0.5*$C$5^2)*$C$10+$C$5*SQRT($C$10)*NORMINV(RAND(),0,1))</f>
        <v>94.535627226628975</v>
      </c>
      <c r="L565">
        <f t="shared" ca="1" si="596"/>
        <v>100.25206568711263</v>
      </c>
      <c r="M565">
        <f t="shared" ca="1" si="596"/>
        <v>95.821988093283011</v>
      </c>
      <c r="N565">
        <f t="shared" ca="1" si="596"/>
        <v>97.552186074796921</v>
      </c>
      <c r="O565">
        <f t="shared" ca="1" si="596"/>
        <v>93.167825937661462</v>
      </c>
      <c r="P565">
        <f t="shared" ca="1" si="596"/>
        <v>87.062016492659978</v>
      </c>
      <c r="Q565">
        <f t="shared" ca="1" si="548"/>
        <v>96.462243921134259</v>
      </c>
      <c r="R565">
        <f t="shared" ca="1" si="549"/>
        <v>0</v>
      </c>
      <c r="S565">
        <f t="shared" ca="1" si="550"/>
        <v>0</v>
      </c>
    </row>
    <row r="566" spans="5:19" x14ac:dyDescent="0.75">
      <c r="E566">
        <v>561</v>
      </c>
      <c r="F566">
        <v>100</v>
      </c>
      <c r="G566">
        <f t="shared" ca="1" si="546"/>
        <v>109.75437465778228</v>
      </c>
      <c r="H566">
        <f t="shared" ca="1" si="546"/>
        <v>109.34431935824068</v>
      </c>
      <c r="I566">
        <f t="shared" ca="1" si="546"/>
        <v>107.85787375611513</v>
      </c>
      <c r="J566">
        <f t="shared" ca="1" si="546"/>
        <v>113.21233332681655</v>
      </c>
      <c r="K566">
        <f t="shared" ref="K566:P566" ca="1" si="597">J566*EXP(($C$4-0.5*$C$5^2)*$C$10+$C$5*SQRT($C$10)*NORMINV(RAND(),0,1))</f>
        <v>107.59673995052249</v>
      </c>
      <c r="L566">
        <f t="shared" ca="1" si="597"/>
        <v>103.91938185667084</v>
      </c>
      <c r="M566">
        <f t="shared" ca="1" si="597"/>
        <v>117.52151616162683</v>
      </c>
      <c r="N566">
        <f t="shared" ca="1" si="597"/>
        <v>117.89038331797593</v>
      </c>
      <c r="O566">
        <f t="shared" ca="1" si="597"/>
        <v>135.51863971216994</v>
      </c>
      <c r="P566">
        <f t="shared" ca="1" si="597"/>
        <v>138.33751368883097</v>
      </c>
      <c r="Q566">
        <f t="shared" ca="1" si="548"/>
        <v>114.63209779879561</v>
      </c>
      <c r="R566">
        <f t="shared" ca="1" si="549"/>
        <v>14.632097798795613</v>
      </c>
      <c r="S566">
        <f t="shared" ca="1" si="550"/>
        <v>14.342362850074153</v>
      </c>
    </row>
    <row r="567" spans="5:19" x14ac:dyDescent="0.75">
      <c r="E567">
        <v>562</v>
      </c>
      <c r="F567">
        <v>100</v>
      </c>
      <c r="G567">
        <f t="shared" ca="1" si="546"/>
        <v>103.52708274658076</v>
      </c>
      <c r="H567">
        <f t="shared" ca="1" si="546"/>
        <v>110.21271324255039</v>
      </c>
      <c r="I567">
        <f t="shared" ca="1" si="546"/>
        <v>107.6890059050163</v>
      </c>
      <c r="J567">
        <f t="shared" ca="1" si="546"/>
        <v>104.70478506345256</v>
      </c>
      <c r="K567">
        <f t="shared" ref="K567:P567" ca="1" si="598">J567*EXP(($C$4-0.5*$C$5^2)*$C$10+$C$5*SQRT($C$10)*NORMINV(RAND(),0,1))</f>
        <v>109.75917960632293</v>
      </c>
      <c r="L567">
        <f t="shared" ca="1" si="598"/>
        <v>107.90267896980883</v>
      </c>
      <c r="M567">
        <f t="shared" ca="1" si="598"/>
        <v>112.87942915639563</v>
      </c>
      <c r="N567">
        <f t="shared" ca="1" si="598"/>
        <v>110.58140533791749</v>
      </c>
      <c r="O567">
        <f t="shared" ca="1" si="598"/>
        <v>105.4535479918229</v>
      </c>
      <c r="P567">
        <f t="shared" ca="1" si="598"/>
        <v>115.9434618601864</v>
      </c>
      <c r="Q567">
        <f t="shared" ca="1" si="548"/>
        <v>108.05938998909583</v>
      </c>
      <c r="R567">
        <f t="shared" ca="1" si="549"/>
        <v>8.059389989095834</v>
      </c>
      <c r="S567">
        <f t="shared" ca="1" si="550"/>
        <v>7.8998033749734811</v>
      </c>
    </row>
    <row r="568" spans="5:19" x14ac:dyDescent="0.75">
      <c r="E568">
        <v>563</v>
      </c>
      <c r="F568">
        <v>100</v>
      </c>
      <c r="G568">
        <f t="shared" ca="1" si="546"/>
        <v>121.23795313365393</v>
      </c>
      <c r="H568">
        <f t="shared" ca="1" si="546"/>
        <v>130.58433300441209</v>
      </c>
      <c r="I568">
        <f t="shared" ca="1" si="546"/>
        <v>134.89240515956473</v>
      </c>
      <c r="J568">
        <f t="shared" ca="1" si="546"/>
        <v>154.24742379942339</v>
      </c>
      <c r="K568">
        <f t="shared" ref="K568:P568" ca="1" si="599">J568*EXP(($C$4-0.5*$C$5^2)*$C$10+$C$5*SQRT($C$10)*NORMINV(RAND(),0,1))</f>
        <v>154.7763850741074</v>
      </c>
      <c r="L568">
        <f t="shared" ca="1" si="599"/>
        <v>160.29971527670176</v>
      </c>
      <c r="M568">
        <f t="shared" ca="1" si="599"/>
        <v>158.77224637931468</v>
      </c>
      <c r="N568">
        <f t="shared" ca="1" si="599"/>
        <v>158.78120875721353</v>
      </c>
      <c r="O568">
        <f t="shared" ca="1" si="599"/>
        <v>153.46124734759832</v>
      </c>
      <c r="P568">
        <f t="shared" ca="1" si="599"/>
        <v>150.07794314937144</v>
      </c>
      <c r="Q568">
        <f t="shared" ca="1" si="548"/>
        <v>143.37553282557835</v>
      </c>
      <c r="R568">
        <f t="shared" ca="1" si="549"/>
        <v>43.375532825578347</v>
      </c>
      <c r="S568">
        <f t="shared" ca="1" si="550"/>
        <v>42.516639729605508</v>
      </c>
    </row>
    <row r="569" spans="5:19" x14ac:dyDescent="0.75">
      <c r="E569">
        <v>564</v>
      </c>
      <c r="F569">
        <v>100</v>
      </c>
      <c r="G569">
        <f t="shared" ca="1" si="546"/>
        <v>103.56628884613899</v>
      </c>
      <c r="H569">
        <f t="shared" ca="1" si="546"/>
        <v>95.736696433916507</v>
      </c>
      <c r="I569">
        <f t="shared" ca="1" si="546"/>
        <v>84.683240714144205</v>
      </c>
      <c r="J569">
        <f t="shared" ca="1" si="546"/>
        <v>94.438243207661586</v>
      </c>
      <c r="K569">
        <f t="shared" ref="K569:P569" ca="1" si="600">J569*EXP(($C$4-0.5*$C$5^2)*$C$10+$C$5*SQRT($C$10)*NORMINV(RAND(),0,1))</f>
        <v>90.725546501051312</v>
      </c>
      <c r="L569">
        <f t="shared" ca="1" si="600"/>
        <v>91.416746291175798</v>
      </c>
      <c r="M569">
        <f t="shared" ca="1" si="600"/>
        <v>98.325528928149666</v>
      </c>
      <c r="N569">
        <f t="shared" ca="1" si="600"/>
        <v>95.81190116533115</v>
      </c>
      <c r="O569">
        <f t="shared" ca="1" si="600"/>
        <v>100.22224295498846</v>
      </c>
      <c r="P569">
        <f t="shared" ca="1" si="600"/>
        <v>86.559536186338718</v>
      </c>
      <c r="Q569">
        <f t="shared" ca="1" si="548"/>
        <v>94.68054283899059</v>
      </c>
      <c r="R569">
        <f t="shared" ca="1" si="549"/>
        <v>0</v>
      </c>
      <c r="S569">
        <f t="shared" ca="1" si="550"/>
        <v>0</v>
      </c>
    </row>
    <row r="570" spans="5:19" x14ac:dyDescent="0.75">
      <c r="E570">
        <v>565</v>
      </c>
      <c r="F570">
        <v>100</v>
      </c>
      <c r="G570">
        <f t="shared" ca="1" si="546"/>
        <v>100.94587409518047</v>
      </c>
      <c r="H570">
        <f t="shared" ca="1" si="546"/>
        <v>97.642975019340369</v>
      </c>
      <c r="I570">
        <f t="shared" ca="1" si="546"/>
        <v>91.865631903593638</v>
      </c>
      <c r="J570">
        <f t="shared" ca="1" si="546"/>
        <v>87.473273470983131</v>
      </c>
      <c r="K570">
        <f t="shared" ref="K570:P570" ca="1" si="601">J570*EXP(($C$4-0.5*$C$5^2)*$C$10+$C$5*SQRT($C$10)*NORMINV(RAND(),0,1))</f>
        <v>96.561091999361381</v>
      </c>
      <c r="L570">
        <f t="shared" ca="1" si="601"/>
        <v>86.391734850642948</v>
      </c>
      <c r="M570">
        <f t="shared" ca="1" si="601"/>
        <v>92.050804978006269</v>
      </c>
      <c r="N570">
        <f t="shared" ca="1" si="601"/>
        <v>89.00340317524423</v>
      </c>
      <c r="O570">
        <f t="shared" ca="1" si="601"/>
        <v>86.151991000114975</v>
      </c>
      <c r="P570">
        <f t="shared" ca="1" si="601"/>
        <v>89.973203002557071</v>
      </c>
      <c r="Q570">
        <f t="shared" ca="1" si="548"/>
        <v>92.55090759045676</v>
      </c>
      <c r="R570">
        <f t="shared" ca="1" si="549"/>
        <v>0</v>
      </c>
      <c r="S570">
        <f t="shared" ca="1" si="550"/>
        <v>0</v>
      </c>
    </row>
    <row r="571" spans="5:19" x14ac:dyDescent="0.75">
      <c r="E571">
        <v>566</v>
      </c>
      <c r="F571">
        <v>100</v>
      </c>
      <c r="G571">
        <f t="shared" ca="1" si="546"/>
        <v>100.74065300677613</v>
      </c>
      <c r="H571">
        <f t="shared" ca="1" si="546"/>
        <v>99.193236127366546</v>
      </c>
      <c r="I571">
        <f t="shared" ca="1" si="546"/>
        <v>94.48859476027134</v>
      </c>
      <c r="J571">
        <f t="shared" ca="1" si="546"/>
        <v>98.908169682543488</v>
      </c>
      <c r="K571">
        <f t="shared" ref="K571:P571" ca="1" si="602">J571*EXP(($C$4-0.5*$C$5^2)*$C$10+$C$5*SQRT($C$10)*NORMINV(RAND(),0,1))</f>
        <v>103.43578588852142</v>
      </c>
      <c r="L571">
        <f t="shared" ca="1" si="602"/>
        <v>105.57575607866384</v>
      </c>
      <c r="M571">
        <f t="shared" ca="1" si="602"/>
        <v>102.30790598518638</v>
      </c>
      <c r="N571">
        <f t="shared" ca="1" si="602"/>
        <v>97.660465191566928</v>
      </c>
      <c r="O571">
        <f t="shared" ca="1" si="602"/>
        <v>104.2988279650049</v>
      </c>
      <c r="P571">
        <f t="shared" ca="1" si="602"/>
        <v>92.038476407805689</v>
      </c>
      <c r="Q571">
        <f t="shared" ca="1" si="548"/>
        <v>99.877079190336971</v>
      </c>
      <c r="R571">
        <f t="shared" ca="1" si="549"/>
        <v>0</v>
      </c>
      <c r="S571">
        <f t="shared" ca="1" si="550"/>
        <v>0</v>
      </c>
    </row>
    <row r="572" spans="5:19" x14ac:dyDescent="0.75">
      <c r="E572">
        <v>567</v>
      </c>
      <c r="F572">
        <v>100</v>
      </c>
      <c r="G572">
        <f t="shared" ca="1" si="546"/>
        <v>105.17318230396104</v>
      </c>
      <c r="H572">
        <f t="shared" ca="1" si="546"/>
        <v>96.3161776661494</v>
      </c>
      <c r="I572">
        <f t="shared" ca="1" si="546"/>
        <v>101.37677246560531</v>
      </c>
      <c r="J572">
        <f t="shared" ca="1" si="546"/>
        <v>98.644412810119647</v>
      </c>
      <c r="K572">
        <f t="shared" ref="K572:P572" ca="1" si="603">J572*EXP(($C$4-0.5*$C$5^2)*$C$10+$C$5*SQRT($C$10)*NORMINV(RAND(),0,1))</f>
        <v>98.586275555983335</v>
      </c>
      <c r="L572">
        <f t="shared" ca="1" si="603"/>
        <v>107.16332449546988</v>
      </c>
      <c r="M572">
        <f t="shared" ca="1" si="603"/>
        <v>99.377135788738372</v>
      </c>
      <c r="N572">
        <f t="shared" ca="1" si="603"/>
        <v>97.643353838096616</v>
      </c>
      <c r="O572">
        <f t="shared" ca="1" si="603"/>
        <v>99.63847684530792</v>
      </c>
      <c r="P572">
        <f t="shared" ca="1" si="603"/>
        <v>105.06548286416385</v>
      </c>
      <c r="Q572">
        <f t="shared" ca="1" si="548"/>
        <v>100.81678133032683</v>
      </c>
      <c r="R572">
        <f t="shared" ca="1" si="549"/>
        <v>0.8167813303268332</v>
      </c>
      <c r="S572">
        <f t="shared" ca="1" si="550"/>
        <v>0.80060797636808856</v>
      </c>
    </row>
    <row r="573" spans="5:19" x14ac:dyDescent="0.75">
      <c r="E573">
        <v>568</v>
      </c>
      <c r="F573">
        <v>100</v>
      </c>
      <c r="G573">
        <f t="shared" ca="1" si="546"/>
        <v>94.151108386549325</v>
      </c>
      <c r="H573">
        <f t="shared" ca="1" si="546"/>
        <v>95.610664596905607</v>
      </c>
      <c r="I573">
        <f t="shared" ca="1" si="546"/>
        <v>96.477436733004041</v>
      </c>
      <c r="J573">
        <f t="shared" ca="1" si="546"/>
        <v>115.94359692870069</v>
      </c>
      <c r="K573">
        <f t="shared" ref="K573:P573" ca="1" si="604">J573*EXP(($C$4-0.5*$C$5^2)*$C$10+$C$5*SQRT($C$10)*NORMINV(RAND(),0,1))</f>
        <v>121.2774764287599</v>
      </c>
      <c r="L573">
        <f t="shared" ca="1" si="604"/>
        <v>126.08956739509028</v>
      </c>
      <c r="M573">
        <f t="shared" ca="1" si="604"/>
        <v>124.68670580859899</v>
      </c>
      <c r="N573">
        <f t="shared" ca="1" si="604"/>
        <v>124.2228263554541</v>
      </c>
      <c r="O573">
        <f t="shared" ca="1" si="604"/>
        <v>134.21147000939825</v>
      </c>
      <c r="P573">
        <f t="shared" ca="1" si="604"/>
        <v>144.18397862773406</v>
      </c>
      <c r="Q573">
        <f t="shared" ca="1" si="548"/>
        <v>116.0777119336541</v>
      </c>
      <c r="R573">
        <f t="shared" ca="1" si="549"/>
        <v>16.077711933654101</v>
      </c>
      <c r="S573">
        <f t="shared" ca="1" si="550"/>
        <v>15.759351907175937</v>
      </c>
    </row>
    <row r="574" spans="5:19" x14ac:dyDescent="0.75">
      <c r="E574">
        <v>569</v>
      </c>
      <c r="F574">
        <v>100</v>
      </c>
      <c r="G574">
        <f t="shared" ca="1" si="546"/>
        <v>108.51790895232385</v>
      </c>
      <c r="H574">
        <f t="shared" ca="1" si="546"/>
        <v>106.76918147459074</v>
      </c>
      <c r="I574">
        <f t="shared" ca="1" si="546"/>
        <v>112.67540460939665</v>
      </c>
      <c r="J574">
        <f t="shared" ca="1" si="546"/>
        <v>123.5556927669908</v>
      </c>
      <c r="K574">
        <f t="shared" ref="K574:P574" ca="1" si="605">J574*EXP(($C$4-0.5*$C$5^2)*$C$10+$C$5*SQRT($C$10)*NORMINV(RAND(),0,1))</f>
        <v>136.76754224575086</v>
      </c>
      <c r="L574">
        <f t="shared" ca="1" si="605"/>
        <v>136.32280363962559</v>
      </c>
      <c r="M574">
        <f t="shared" ca="1" si="605"/>
        <v>128.13129461450259</v>
      </c>
      <c r="N574">
        <f t="shared" ca="1" si="605"/>
        <v>131.98468850387019</v>
      </c>
      <c r="O574">
        <f t="shared" ca="1" si="605"/>
        <v>139.20283504298337</v>
      </c>
      <c r="P574">
        <f t="shared" ca="1" si="605"/>
        <v>147.80360176114422</v>
      </c>
      <c r="Q574">
        <f t="shared" ca="1" si="548"/>
        <v>124.70281396465262</v>
      </c>
      <c r="R574">
        <f t="shared" ca="1" si="549"/>
        <v>24.70281396465262</v>
      </c>
      <c r="S574">
        <f t="shared" ca="1" si="550"/>
        <v>24.213665475096086</v>
      </c>
    </row>
    <row r="575" spans="5:19" x14ac:dyDescent="0.75">
      <c r="E575">
        <v>570</v>
      </c>
      <c r="F575">
        <v>100</v>
      </c>
      <c r="G575">
        <f t="shared" ca="1" si="546"/>
        <v>93.506393695325244</v>
      </c>
      <c r="H575">
        <f t="shared" ca="1" si="546"/>
        <v>99.246768105866735</v>
      </c>
      <c r="I575">
        <f t="shared" ca="1" si="546"/>
        <v>98.987867095750516</v>
      </c>
      <c r="J575">
        <f t="shared" ca="1" si="546"/>
        <v>100.37018059972281</v>
      </c>
      <c r="K575">
        <f t="shared" ref="K575:P575" ca="1" si="606">J575*EXP(($C$4-0.5*$C$5^2)*$C$10+$C$5*SQRT($C$10)*NORMINV(RAND(),0,1))</f>
        <v>105.06836722158965</v>
      </c>
      <c r="L575">
        <f t="shared" ca="1" si="606"/>
        <v>91.945506995484379</v>
      </c>
      <c r="M575">
        <f t="shared" ca="1" si="606"/>
        <v>86.192413766076101</v>
      </c>
      <c r="N575">
        <f t="shared" ca="1" si="606"/>
        <v>77.5608317681572</v>
      </c>
      <c r="O575">
        <f t="shared" ca="1" si="606"/>
        <v>79.639974775325726</v>
      </c>
      <c r="P575">
        <f t="shared" ca="1" si="606"/>
        <v>80.845842486688611</v>
      </c>
      <c r="Q575">
        <f t="shared" ca="1" si="548"/>
        <v>92.124013319089741</v>
      </c>
      <c r="R575">
        <f t="shared" ca="1" si="549"/>
        <v>0</v>
      </c>
      <c r="S575">
        <f t="shared" ca="1" si="550"/>
        <v>0</v>
      </c>
    </row>
    <row r="576" spans="5:19" x14ac:dyDescent="0.75">
      <c r="E576">
        <v>571</v>
      </c>
      <c r="F576">
        <v>100</v>
      </c>
      <c r="G576">
        <f t="shared" ca="1" si="546"/>
        <v>95.361083133460269</v>
      </c>
      <c r="H576">
        <f t="shared" ca="1" si="546"/>
        <v>84.344178796955504</v>
      </c>
      <c r="I576">
        <f t="shared" ca="1" si="546"/>
        <v>86.390508975535752</v>
      </c>
      <c r="J576">
        <f t="shared" ca="1" si="546"/>
        <v>89.22508762308712</v>
      </c>
      <c r="K576">
        <f t="shared" ref="K576:P576" ca="1" si="607">J576*EXP(($C$4-0.5*$C$5^2)*$C$10+$C$5*SQRT($C$10)*NORMINV(RAND(),0,1))</f>
        <v>93.684116819657802</v>
      </c>
      <c r="L576">
        <f t="shared" ca="1" si="607"/>
        <v>90.388405691263259</v>
      </c>
      <c r="M576">
        <f t="shared" ca="1" si="607"/>
        <v>91.438234188778239</v>
      </c>
      <c r="N576">
        <f t="shared" ca="1" si="607"/>
        <v>95.617522291755705</v>
      </c>
      <c r="O576">
        <f t="shared" ca="1" si="607"/>
        <v>96.08114321685251</v>
      </c>
      <c r="P576">
        <f t="shared" ca="1" si="607"/>
        <v>94.279175870600852</v>
      </c>
      <c r="Q576">
        <f t="shared" ca="1" si="548"/>
        <v>92.437223327995184</v>
      </c>
      <c r="R576">
        <f t="shared" ca="1" si="549"/>
        <v>0</v>
      </c>
      <c r="S576">
        <f t="shared" ca="1" si="550"/>
        <v>0</v>
      </c>
    </row>
    <row r="577" spans="5:19" x14ac:dyDescent="0.75">
      <c r="E577">
        <v>572</v>
      </c>
      <c r="F577">
        <v>100</v>
      </c>
      <c r="G577">
        <f t="shared" ca="1" si="546"/>
        <v>99.207933645809092</v>
      </c>
      <c r="H577">
        <f t="shared" ca="1" si="546"/>
        <v>101.63112340221633</v>
      </c>
      <c r="I577">
        <f t="shared" ca="1" si="546"/>
        <v>95.135948803763</v>
      </c>
      <c r="J577">
        <f t="shared" ca="1" si="546"/>
        <v>96.212369632377545</v>
      </c>
      <c r="K577">
        <f t="shared" ref="K577:P577" ca="1" si="608">J577*EXP(($C$4-0.5*$C$5^2)*$C$10+$C$5*SQRT($C$10)*NORMINV(RAND(),0,1))</f>
        <v>100.35823389771477</v>
      </c>
      <c r="L577">
        <f t="shared" ca="1" si="608"/>
        <v>99.97513616656282</v>
      </c>
      <c r="M577">
        <f t="shared" ca="1" si="608"/>
        <v>96.693765390529023</v>
      </c>
      <c r="N577">
        <f t="shared" ca="1" si="608"/>
        <v>97.79858327166292</v>
      </c>
      <c r="O577">
        <f t="shared" ca="1" si="608"/>
        <v>102.8935326207618</v>
      </c>
      <c r="P577">
        <f t="shared" ca="1" si="608"/>
        <v>92.144797522777793</v>
      </c>
      <c r="Q577">
        <f t="shared" ca="1" si="548"/>
        <v>98.368311304925001</v>
      </c>
      <c r="R577">
        <f t="shared" ca="1" si="549"/>
        <v>0</v>
      </c>
      <c r="S577">
        <f t="shared" ca="1" si="550"/>
        <v>0</v>
      </c>
    </row>
    <row r="578" spans="5:19" x14ac:dyDescent="0.75">
      <c r="E578">
        <v>573</v>
      </c>
      <c r="F578">
        <v>100</v>
      </c>
      <c r="G578">
        <f t="shared" ca="1" si="546"/>
        <v>106.46717932601821</v>
      </c>
      <c r="H578">
        <f t="shared" ca="1" si="546"/>
        <v>111.35369639773505</v>
      </c>
      <c r="I578">
        <f t="shared" ca="1" si="546"/>
        <v>101.28888786745262</v>
      </c>
      <c r="J578">
        <f t="shared" ca="1" si="546"/>
        <v>109.69986223678471</v>
      </c>
      <c r="K578">
        <f t="shared" ref="K578:P578" ca="1" si="609">J578*EXP(($C$4-0.5*$C$5^2)*$C$10+$C$5*SQRT($C$10)*NORMINV(RAND(),0,1))</f>
        <v>118.98857918899895</v>
      </c>
      <c r="L578">
        <f t="shared" ca="1" si="609"/>
        <v>115.01891788128866</v>
      </c>
      <c r="M578">
        <f t="shared" ca="1" si="609"/>
        <v>110.18897114638123</v>
      </c>
      <c r="N578">
        <f t="shared" ca="1" si="609"/>
        <v>108.17214450827129</v>
      </c>
      <c r="O578">
        <f t="shared" ca="1" si="609"/>
        <v>92.701597735264258</v>
      </c>
      <c r="P578">
        <f t="shared" ca="1" si="609"/>
        <v>85.848537087140357</v>
      </c>
      <c r="Q578">
        <f t="shared" ca="1" si="548"/>
        <v>105.42985212503048</v>
      </c>
      <c r="R578">
        <f t="shared" ca="1" si="549"/>
        <v>5.4298521250304788</v>
      </c>
      <c r="S578">
        <f t="shared" ca="1" si="550"/>
        <v>5.3223338492067409</v>
      </c>
    </row>
    <row r="579" spans="5:19" x14ac:dyDescent="0.75">
      <c r="E579">
        <v>574</v>
      </c>
      <c r="F579">
        <v>100</v>
      </c>
      <c r="G579">
        <f t="shared" ca="1" si="546"/>
        <v>101.33123991685973</v>
      </c>
      <c r="H579">
        <f t="shared" ca="1" si="546"/>
        <v>101.68286735128125</v>
      </c>
      <c r="I579">
        <f t="shared" ca="1" si="546"/>
        <v>106.57180873355153</v>
      </c>
      <c r="J579">
        <f t="shared" ca="1" si="546"/>
        <v>108.62848914282019</v>
      </c>
      <c r="K579">
        <f t="shared" ref="K579:P579" ca="1" si="610">J579*EXP(($C$4-0.5*$C$5^2)*$C$10+$C$5*SQRT($C$10)*NORMINV(RAND(),0,1))</f>
        <v>121.09245049202065</v>
      </c>
      <c r="L579">
        <f t="shared" ca="1" si="610"/>
        <v>139.7079552188608</v>
      </c>
      <c r="M579">
        <f t="shared" ca="1" si="610"/>
        <v>130.13077024871112</v>
      </c>
      <c r="N579">
        <f t="shared" ca="1" si="610"/>
        <v>114.0580677389373</v>
      </c>
      <c r="O579">
        <f t="shared" ca="1" si="610"/>
        <v>120.25677546432158</v>
      </c>
      <c r="P579">
        <f t="shared" ca="1" si="610"/>
        <v>119.58065011075524</v>
      </c>
      <c r="Q579">
        <f t="shared" ca="1" si="548"/>
        <v>114.82191585619266</v>
      </c>
      <c r="R579">
        <f t="shared" ca="1" si="549"/>
        <v>14.82191585619266</v>
      </c>
      <c r="S579">
        <f t="shared" ca="1" si="550"/>
        <v>14.528422258104404</v>
      </c>
    </row>
    <row r="580" spans="5:19" x14ac:dyDescent="0.75">
      <c r="E580">
        <v>575</v>
      </c>
      <c r="F580">
        <v>100</v>
      </c>
      <c r="G580">
        <f t="shared" ca="1" si="546"/>
        <v>107.43139844310363</v>
      </c>
      <c r="H580">
        <f t="shared" ca="1" si="546"/>
        <v>98.991167039386553</v>
      </c>
      <c r="I580">
        <f t="shared" ca="1" si="546"/>
        <v>98.452983749819552</v>
      </c>
      <c r="J580">
        <f t="shared" ca="1" si="546"/>
        <v>107.46560974359205</v>
      </c>
      <c r="K580">
        <f t="shared" ref="K580:P580" ca="1" si="611">J580*EXP(($C$4-0.5*$C$5^2)*$C$10+$C$5*SQRT($C$10)*NORMINV(RAND(),0,1))</f>
        <v>99.486146663344456</v>
      </c>
      <c r="L580">
        <f t="shared" ca="1" si="611"/>
        <v>96.648628014948997</v>
      </c>
      <c r="M580">
        <f t="shared" ca="1" si="611"/>
        <v>98.117605587178247</v>
      </c>
      <c r="N580">
        <f t="shared" ca="1" si="611"/>
        <v>96.426092773469918</v>
      </c>
      <c r="O580">
        <f t="shared" ca="1" si="611"/>
        <v>90.023973559792253</v>
      </c>
      <c r="P580">
        <f t="shared" ca="1" si="611"/>
        <v>89.467138529910912</v>
      </c>
      <c r="Q580">
        <f t="shared" ca="1" si="548"/>
        <v>98.410067645867869</v>
      </c>
      <c r="R580">
        <f t="shared" ca="1" si="549"/>
        <v>0</v>
      </c>
      <c r="S580">
        <f t="shared" ca="1" si="550"/>
        <v>0</v>
      </c>
    </row>
    <row r="581" spans="5:19" x14ac:dyDescent="0.75">
      <c r="E581">
        <v>576</v>
      </c>
      <c r="F581">
        <v>100</v>
      </c>
      <c r="G581">
        <f t="shared" ca="1" si="546"/>
        <v>94.479222606329273</v>
      </c>
      <c r="H581">
        <f t="shared" ca="1" si="546"/>
        <v>93.126097003349656</v>
      </c>
      <c r="I581">
        <f t="shared" ca="1" si="546"/>
        <v>94.542165654265744</v>
      </c>
      <c r="J581">
        <f t="shared" ca="1" si="546"/>
        <v>93.717684081886972</v>
      </c>
      <c r="K581">
        <f t="shared" ref="K581:P581" ca="1" si="612">J581*EXP(($C$4-0.5*$C$5^2)*$C$10+$C$5*SQRT($C$10)*NORMINV(RAND(),0,1))</f>
        <v>89.090500209837316</v>
      </c>
      <c r="L581">
        <f t="shared" ca="1" si="612"/>
        <v>85.533978860829862</v>
      </c>
      <c r="M581">
        <f t="shared" ca="1" si="612"/>
        <v>84.293298528488265</v>
      </c>
      <c r="N581">
        <f t="shared" ca="1" si="612"/>
        <v>90.752457039120529</v>
      </c>
      <c r="O581">
        <f t="shared" ca="1" si="612"/>
        <v>97.073191054768415</v>
      </c>
      <c r="P581">
        <f t="shared" ca="1" si="612"/>
        <v>109.1906067419112</v>
      </c>
      <c r="Q581">
        <f t="shared" ca="1" si="548"/>
        <v>93.799927434617018</v>
      </c>
      <c r="R581">
        <f t="shared" ca="1" si="549"/>
        <v>0</v>
      </c>
      <c r="S581">
        <f t="shared" ca="1" si="550"/>
        <v>0</v>
      </c>
    </row>
    <row r="582" spans="5:19" x14ac:dyDescent="0.75">
      <c r="E582">
        <v>577</v>
      </c>
      <c r="F582">
        <v>100</v>
      </c>
      <c r="G582">
        <f t="shared" ca="1" si="546"/>
        <v>91.846560155979077</v>
      </c>
      <c r="H582">
        <f t="shared" ca="1" si="546"/>
        <v>96.586004894935058</v>
      </c>
      <c r="I582">
        <f t="shared" ca="1" si="546"/>
        <v>91.426141066111398</v>
      </c>
      <c r="J582">
        <f t="shared" ref="J582:P582" ca="1" si="613">I582*EXP(($C$4-0.5*$C$5^2)*$C$10+$C$5*SQRT($C$10)*NORMINV(RAND(),0,1))</f>
        <v>86.472524519989634</v>
      </c>
      <c r="K582">
        <f t="shared" ca="1" si="613"/>
        <v>84.51920266750507</v>
      </c>
      <c r="L582">
        <f t="shared" ca="1" si="613"/>
        <v>76.059920832292818</v>
      </c>
      <c r="M582">
        <f t="shared" ca="1" si="613"/>
        <v>74.917662000527002</v>
      </c>
      <c r="N582">
        <f t="shared" ca="1" si="613"/>
        <v>77.470414131953532</v>
      </c>
      <c r="O582">
        <f t="shared" ca="1" si="613"/>
        <v>75.425839740639375</v>
      </c>
      <c r="P582">
        <f t="shared" ca="1" si="613"/>
        <v>75.666574756105547</v>
      </c>
      <c r="Q582">
        <f t="shared" ca="1" si="548"/>
        <v>84.580985887821697</v>
      </c>
      <c r="R582">
        <f t="shared" ca="1" si="549"/>
        <v>0</v>
      </c>
      <c r="S582">
        <f t="shared" ca="1" si="550"/>
        <v>0</v>
      </c>
    </row>
    <row r="583" spans="5:19" x14ac:dyDescent="0.75">
      <c r="E583">
        <v>578</v>
      </c>
      <c r="F583">
        <v>100</v>
      </c>
      <c r="G583">
        <f t="shared" ref="G583:J646" ca="1" si="614">F583*EXP(($C$4-0.5*$C$5^2)*$C$10+$C$5*SQRT($C$10)*NORMINV(RAND(),0,1))</f>
        <v>98.36906038192997</v>
      </c>
      <c r="H583">
        <f t="shared" ca="1" si="614"/>
        <v>87.652590710770738</v>
      </c>
      <c r="I583">
        <f t="shared" ca="1" si="614"/>
        <v>85.352084986673873</v>
      </c>
      <c r="J583">
        <f t="shared" ca="1" si="614"/>
        <v>74.606328301090571</v>
      </c>
      <c r="K583">
        <f t="shared" ref="K583:P583" ca="1" si="615">J583*EXP(($C$4-0.5*$C$5^2)*$C$10+$C$5*SQRT($C$10)*NORMINV(RAND(),0,1))</f>
        <v>79.658297374674831</v>
      </c>
      <c r="L583">
        <f t="shared" ca="1" si="615"/>
        <v>79.10024647254366</v>
      </c>
      <c r="M583">
        <f t="shared" ca="1" si="615"/>
        <v>77.264826988676461</v>
      </c>
      <c r="N583">
        <f t="shared" ca="1" si="615"/>
        <v>82.79866183039185</v>
      </c>
      <c r="O583">
        <f t="shared" ca="1" si="615"/>
        <v>95.283893885407494</v>
      </c>
      <c r="P583">
        <f t="shared" ca="1" si="615"/>
        <v>89.953763696666968</v>
      </c>
      <c r="Q583">
        <f t="shared" ref="Q583:Q646" ca="1" si="616">AVERAGE(F583:P583)</f>
        <v>86.367250420802392</v>
      </c>
      <c r="R583">
        <f t="shared" ref="R583:R646" ca="1" si="617">MAX(Q583-$C$7,0)</f>
        <v>0</v>
      </c>
      <c r="S583">
        <f t="shared" ref="S583:S646" ca="1" si="618">EXP(-$C$4*$C$6)*R583</f>
        <v>0</v>
      </c>
    </row>
    <row r="584" spans="5:19" x14ac:dyDescent="0.75">
      <c r="E584">
        <v>579</v>
      </c>
      <c r="F584">
        <v>100</v>
      </c>
      <c r="G584">
        <f t="shared" ca="1" si="614"/>
        <v>104.48083383014833</v>
      </c>
      <c r="H584">
        <f t="shared" ca="1" si="614"/>
        <v>93.21968289550712</v>
      </c>
      <c r="I584">
        <f t="shared" ca="1" si="614"/>
        <v>93.821917103505072</v>
      </c>
      <c r="J584">
        <f t="shared" ca="1" si="614"/>
        <v>88.610319335410054</v>
      </c>
      <c r="K584">
        <f t="shared" ref="K584:P584" ca="1" si="619">J584*EXP(($C$4-0.5*$C$5^2)*$C$10+$C$5*SQRT($C$10)*NORMINV(RAND(),0,1))</f>
        <v>80.857552677803781</v>
      </c>
      <c r="L584">
        <f t="shared" ca="1" si="619"/>
        <v>70.246284651604583</v>
      </c>
      <c r="M584">
        <f t="shared" ca="1" si="619"/>
        <v>77.730575887663818</v>
      </c>
      <c r="N584">
        <f t="shared" ca="1" si="619"/>
        <v>86.847543609367904</v>
      </c>
      <c r="O584">
        <f t="shared" ca="1" si="619"/>
        <v>82.574015537260152</v>
      </c>
      <c r="P584">
        <f t="shared" ca="1" si="619"/>
        <v>93.621756384816166</v>
      </c>
      <c r="Q584">
        <f t="shared" ca="1" si="616"/>
        <v>88.364589264826094</v>
      </c>
      <c r="R584">
        <f t="shared" ca="1" si="617"/>
        <v>0</v>
      </c>
      <c r="S584">
        <f t="shared" ca="1" si="618"/>
        <v>0</v>
      </c>
    </row>
    <row r="585" spans="5:19" x14ac:dyDescent="0.75">
      <c r="E585">
        <v>580</v>
      </c>
      <c r="F585">
        <v>100</v>
      </c>
      <c r="G585">
        <f t="shared" ca="1" si="614"/>
        <v>103.4723599417041</v>
      </c>
      <c r="H585">
        <f t="shared" ca="1" si="614"/>
        <v>107.96869477395401</v>
      </c>
      <c r="I585">
        <f t="shared" ca="1" si="614"/>
        <v>106.39335655272102</v>
      </c>
      <c r="J585">
        <f t="shared" ca="1" si="614"/>
        <v>104.08205001149575</v>
      </c>
      <c r="K585">
        <f t="shared" ref="K585:P585" ca="1" si="620">J585*EXP(($C$4-0.5*$C$5^2)*$C$10+$C$5*SQRT($C$10)*NORMINV(RAND(),0,1))</f>
        <v>104.23369461567704</v>
      </c>
      <c r="L585">
        <f t="shared" ca="1" si="620"/>
        <v>98.311236663881886</v>
      </c>
      <c r="M585">
        <f t="shared" ca="1" si="620"/>
        <v>93.799552312306375</v>
      </c>
      <c r="N585">
        <f t="shared" ca="1" si="620"/>
        <v>95.342495385687059</v>
      </c>
      <c r="O585">
        <f t="shared" ca="1" si="620"/>
        <v>113.64641847833468</v>
      </c>
      <c r="P585">
        <f t="shared" ca="1" si="620"/>
        <v>109.57513902136678</v>
      </c>
      <c r="Q585">
        <f t="shared" ca="1" si="616"/>
        <v>103.34772706882987</v>
      </c>
      <c r="R585">
        <f t="shared" ca="1" si="617"/>
        <v>3.3477270688298688</v>
      </c>
      <c r="S585">
        <f t="shared" ca="1" si="618"/>
        <v>3.2814376314601499</v>
      </c>
    </row>
    <row r="586" spans="5:19" x14ac:dyDescent="0.75">
      <c r="E586">
        <v>581</v>
      </c>
      <c r="F586">
        <v>100</v>
      </c>
      <c r="G586">
        <f t="shared" ca="1" si="614"/>
        <v>95.82181044206051</v>
      </c>
      <c r="H586">
        <f t="shared" ca="1" si="614"/>
        <v>93.000508004528754</v>
      </c>
      <c r="I586">
        <f t="shared" ca="1" si="614"/>
        <v>93.178348515409979</v>
      </c>
      <c r="J586">
        <f t="shared" ca="1" si="614"/>
        <v>100.43539200882149</v>
      </c>
      <c r="K586">
        <f t="shared" ref="K586:P586" ca="1" si="621">J586*EXP(($C$4-0.5*$C$5^2)*$C$10+$C$5*SQRT($C$10)*NORMINV(RAND(),0,1))</f>
        <v>118.78533864171474</v>
      </c>
      <c r="L586">
        <f t="shared" ca="1" si="621"/>
        <v>126.47405100676006</v>
      </c>
      <c r="M586">
        <f t="shared" ca="1" si="621"/>
        <v>126.53001258515425</v>
      </c>
      <c r="N586">
        <f t="shared" ca="1" si="621"/>
        <v>130.01819215055474</v>
      </c>
      <c r="O586">
        <f t="shared" ca="1" si="621"/>
        <v>129.19480515035983</v>
      </c>
      <c r="P586">
        <f t="shared" ca="1" si="621"/>
        <v>129.39284813333978</v>
      </c>
      <c r="Q586">
        <f t="shared" ca="1" si="616"/>
        <v>112.98466423988221</v>
      </c>
      <c r="R586">
        <f t="shared" ca="1" si="617"/>
        <v>12.984664239882207</v>
      </c>
      <c r="S586">
        <f t="shared" ca="1" si="618"/>
        <v>12.727550661266207</v>
      </c>
    </row>
    <row r="587" spans="5:19" x14ac:dyDescent="0.75">
      <c r="E587">
        <v>582</v>
      </c>
      <c r="F587">
        <v>100</v>
      </c>
      <c r="G587">
        <f t="shared" ca="1" si="614"/>
        <v>101.19226369681844</v>
      </c>
      <c r="H587">
        <f t="shared" ca="1" si="614"/>
        <v>102.08754962097503</v>
      </c>
      <c r="I587">
        <f t="shared" ca="1" si="614"/>
        <v>95.677765039459032</v>
      </c>
      <c r="J587">
        <f t="shared" ca="1" si="614"/>
        <v>86.0170912083735</v>
      </c>
      <c r="K587">
        <f t="shared" ref="K587:P587" ca="1" si="622">J587*EXP(($C$4-0.5*$C$5^2)*$C$10+$C$5*SQRT($C$10)*NORMINV(RAND(),0,1))</f>
        <v>78.853546474313546</v>
      </c>
      <c r="L587">
        <f t="shared" ca="1" si="622"/>
        <v>84.71512219310965</v>
      </c>
      <c r="M587">
        <f t="shared" ca="1" si="622"/>
        <v>83.065981412143856</v>
      </c>
      <c r="N587">
        <f t="shared" ca="1" si="622"/>
        <v>88.820490870975902</v>
      </c>
      <c r="O587">
        <f t="shared" ca="1" si="622"/>
        <v>92.34102696798395</v>
      </c>
      <c r="P587">
        <f t="shared" ca="1" si="622"/>
        <v>101.06875475591072</v>
      </c>
      <c r="Q587">
        <f t="shared" ca="1" si="616"/>
        <v>92.167235658187607</v>
      </c>
      <c r="R587">
        <f t="shared" ca="1" si="617"/>
        <v>0</v>
      </c>
      <c r="S587">
        <f t="shared" ca="1" si="618"/>
        <v>0</v>
      </c>
    </row>
    <row r="588" spans="5:19" x14ac:dyDescent="0.75">
      <c r="E588">
        <v>583</v>
      </c>
      <c r="F588">
        <v>100</v>
      </c>
      <c r="G588">
        <f t="shared" ca="1" si="614"/>
        <v>101.93771243125956</v>
      </c>
      <c r="H588">
        <f t="shared" ca="1" si="614"/>
        <v>105.8404639776916</v>
      </c>
      <c r="I588">
        <f t="shared" ca="1" si="614"/>
        <v>115.0623319159709</v>
      </c>
      <c r="J588">
        <f t="shared" ca="1" si="614"/>
        <v>116.11348326507657</v>
      </c>
      <c r="K588">
        <f t="shared" ref="K588:P588" ca="1" si="623">J588*EXP(($C$4-0.5*$C$5^2)*$C$10+$C$5*SQRT($C$10)*NORMINV(RAND(),0,1))</f>
        <v>123.60422218779368</v>
      </c>
      <c r="L588">
        <f t="shared" ca="1" si="623"/>
        <v>121.42692989409289</v>
      </c>
      <c r="M588">
        <f t="shared" ca="1" si="623"/>
        <v>125.05146388224995</v>
      </c>
      <c r="N588">
        <f t="shared" ca="1" si="623"/>
        <v>112.53038022285422</v>
      </c>
      <c r="O588">
        <f t="shared" ca="1" si="623"/>
        <v>107.30424371578194</v>
      </c>
      <c r="P588">
        <f t="shared" ca="1" si="623"/>
        <v>114.23353767579398</v>
      </c>
      <c r="Q588">
        <f t="shared" ca="1" si="616"/>
        <v>113.00952446986958</v>
      </c>
      <c r="R588">
        <f t="shared" ca="1" si="617"/>
        <v>13.009524469869575</v>
      </c>
      <c r="S588">
        <f t="shared" ca="1" si="618"/>
        <v>12.751918625717925</v>
      </c>
    </row>
    <row r="589" spans="5:19" x14ac:dyDescent="0.75">
      <c r="E589">
        <v>584</v>
      </c>
      <c r="F589">
        <v>100</v>
      </c>
      <c r="G589">
        <f t="shared" ca="1" si="614"/>
        <v>98.871559066064819</v>
      </c>
      <c r="H589">
        <f t="shared" ca="1" si="614"/>
        <v>101.00183196231015</v>
      </c>
      <c r="I589">
        <f t="shared" ca="1" si="614"/>
        <v>105.72789336070217</v>
      </c>
      <c r="J589">
        <f t="shared" ca="1" si="614"/>
        <v>116.16898267372879</v>
      </c>
      <c r="K589">
        <f t="shared" ref="K589:P589" ca="1" si="624">J589*EXP(($C$4-0.5*$C$5^2)*$C$10+$C$5*SQRT($C$10)*NORMINV(RAND(),0,1))</f>
        <v>112.15305505497109</v>
      </c>
      <c r="L589">
        <f t="shared" ca="1" si="624"/>
        <v>105.97574553030609</v>
      </c>
      <c r="M589">
        <f t="shared" ca="1" si="624"/>
        <v>114.2989790881313</v>
      </c>
      <c r="N589">
        <f t="shared" ca="1" si="624"/>
        <v>123.21341692038511</v>
      </c>
      <c r="O589">
        <f t="shared" ca="1" si="624"/>
        <v>132.09821906777105</v>
      </c>
      <c r="P589">
        <f t="shared" ca="1" si="624"/>
        <v>127.16275136344009</v>
      </c>
      <c r="Q589">
        <f t="shared" ca="1" si="616"/>
        <v>112.42476673525552</v>
      </c>
      <c r="R589">
        <f t="shared" ca="1" si="617"/>
        <v>12.424766735255517</v>
      </c>
      <c r="S589">
        <f t="shared" ca="1" si="618"/>
        <v>12.178739870043362</v>
      </c>
    </row>
    <row r="590" spans="5:19" x14ac:dyDescent="0.75">
      <c r="E590">
        <v>585</v>
      </c>
      <c r="F590">
        <v>100</v>
      </c>
      <c r="G590">
        <f t="shared" ca="1" si="614"/>
        <v>94.701841352876968</v>
      </c>
      <c r="H590">
        <f t="shared" ca="1" si="614"/>
        <v>95.533399092150631</v>
      </c>
      <c r="I590">
        <f t="shared" ca="1" si="614"/>
        <v>94.915653380202926</v>
      </c>
      <c r="J590">
        <f t="shared" ca="1" si="614"/>
        <v>95.63399626002311</v>
      </c>
      <c r="K590">
        <f t="shared" ref="K590:P590" ca="1" si="625">J590*EXP(($C$4-0.5*$C$5^2)*$C$10+$C$5*SQRT($C$10)*NORMINV(RAND(),0,1))</f>
        <v>85.237909539112891</v>
      </c>
      <c r="L590">
        <f t="shared" ca="1" si="625"/>
        <v>81.956304566187711</v>
      </c>
      <c r="M590">
        <f t="shared" ca="1" si="625"/>
        <v>82.723304772280812</v>
      </c>
      <c r="N590">
        <f t="shared" ca="1" si="625"/>
        <v>94.532738550255033</v>
      </c>
      <c r="O590">
        <f t="shared" ca="1" si="625"/>
        <v>100.95659012205044</v>
      </c>
      <c r="P590">
        <f t="shared" ca="1" si="625"/>
        <v>102.71806242393173</v>
      </c>
      <c r="Q590">
        <f t="shared" ca="1" si="616"/>
        <v>93.537254550824727</v>
      </c>
      <c r="R590">
        <f t="shared" ca="1" si="617"/>
        <v>0</v>
      </c>
      <c r="S590">
        <f t="shared" ca="1" si="618"/>
        <v>0</v>
      </c>
    </row>
    <row r="591" spans="5:19" x14ac:dyDescent="0.75">
      <c r="E591">
        <v>586</v>
      </c>
      <c r="F591">
        <v>100</v>
      </c>
      <c r="G591">
        <f t="shared" ca="1" si="614"/>
        <v>91.030164394375163</v>
      </c>
      <c r="H591">
        <f t="shared" ca="1" si="614"/>
        <v>94.832258193404073</v>
      </c>
      <c r="I591">
        <f t="shared" ca="1" si="614"/>
        <v>94.845488373831913</v>
      </c>
      <c r="J591">
        <f t="shared" ca="1" si="614"/>
        <v>93.275961519799552</v>
      </c>
      <c r="K591">
        <f t="shared" ref="K591:P591" ca="1" si="626">J591*EXP(($C$4-0.5*$C$5^2)*$C$10+$C$5*SQRT($C$10)*NORMINV(RAND(),0,1))</f>
        <v>90.437656504412004</v>
      </c>
      <c r="L591">
        <f t="shared" ca="1" si="626"/>
        <v>96.819766819367501</v>
      </c>
      <c r="M591">
        <f t="shared" ca="1" si="626"/>
        <v>86.964325367556455</v>
      </c>
      <c r="N591">
        <f t="shared" ca="1" si="626"/>
        <v>92.557388313251494</v>
      </c>
      <c r="O591">
        <f t="shared" ca="1" si="626"/>
        <v>90.310081474596657</v>
      </c>
      <c r="P591">
        <f t="shared" ca="1" si="626"/>
        <v>82.875331195907037</v>
      </c>
      <c r="Q591">
        <f t="shared" ca="1" si="616"/>
        <v>92.17712928695471</v>
      </c>
      <c r="R591">
        <f t="shared" ca="1" si="617"/>
        <v>0</v>
      </c>
      <c r="S591">
        <f t="shared" ca="1" si="618"/>
        <v>0</v>
      </c>
    </row>
    <row r="592" spans="5:19" x14ac:dyDescent="0.75">
      <c r="E592">
        <v>587</v>
      </c>
      <c r="F592">
        <v>100</v>
      </c>
      <c r="G592">
        <f t="shared" ca="1" si="614"/>
        <v>94.757562475708596</v>
      </c>
      <c r="H592">
        <f t="shared" ca="1" si="614"/>
        <v>97.105372548104484</v>
      </c>
      <c r="I592">
        <f t="shared" ca="1" si="614"/>
        <v>91.101847304563478</v>
      </c>
      <c r="J592">
        <f t="shared" ca="1" si="614"/>
        <v>98.470031827801577</v>
      </c>
      <c r="K592">
        <f t="shared" ref="K592:P592" ca="1" si="627">J592*EXP(($C$4-0.5*$C$5^2)*$C$10+$C$5*SQRT($C$10)*NORMINV(RAND(),0,1))</f>
        <v>109.23481545948341</v>
      </c>
      <c r="L592">
        <f t="shared" ca="1" si="627"/>
        <v>112.46112631090601</v>
      </c>
      <c r="M592">
        <f t="shared" ca="1" si="627"/>
        <v>121.45922038410941</v>
      </c>
      <c r="N592">
        <f t="shared" ca="1" si="627"/>
        <v>110.48468853353258</v>
      </c>
      <c r="O592">
        <f t="shared" ca="1" si="627"/>
        <v>106.72600231853833</v>
      </c>
      <c r="P592">
        <f t="shared" ca="1" si="627"/>
        <v>104.08058274719397</v>
      </c>
      <c r="Q592">
        <f t="shared" ca="1" si="616"/>
        <v>104.17102271908563</v>
      </c>
      <c r="R592">
        <f t="shared" ca="1" si="617"/>
        <v>4.1710227190856273</v>
      </c>
      <c r="S592">
        <f t="shared" ca="1" si="618"/>
        <v>4.0884309355800665</v>
      </c>
    </row>
    <row r="593" spans="5:19" x14ac:dyDescent="0.75">
      <c r="E593">
        <v>588</v>
      </c>
      <c r="F593">
        <v>100</v>
      </c>
      <c r="G593">
        <f t="shared" ca="1" si="614"/>
        <v>97.159446342104658</v>
      </c>
      <c r="H593">
        <f t="shared" ca="1" si="614"/>
        <v>106.26451467664813</v>
      </c>
      <c r="I593">
        <f t="shared" ca="1" si="614"/>
        <v>110.61900787877434</v>
      </c>
      <c r="J593">
        <f t="shared" ca="1" si="614"/>
        <v>111.33805009414711</v>
      </c>
      <c r="K593">
        <f t="shared" ref="K593:P593" ca="1" si="628">J593*EXP(($C$4-0.5*$C$5^2)*$C$10+$C$5*SQRT($C$10)*NORMINV(RAND(),0,1))</f>
        <v>113.78786671741057</v>
      </c>
      <c r="L593">
        <f t="shared" ca="1" si="628"/>
        <v>116.55457789457142</v>
      </c>
      <c r="M593">
        <f t="shared" ca="1" si="628"/>
        <v>106.90560634118525</v>
      </c>
      <c r="N593">
        <f t="shared" ca="1" si="628"/>
        <v>114.97193655320692</v>
      </c>
      <c r="O593">
        <f t="shared" ca="1" si="628"/>
        <v>129.2411377011305</v>
      </c>
      <c r="P593">
        <f t="shared" ca="1" si="628"/>
        <v>123.33945838386585</v>
      </c>
      <c r="Q593">
        <f t="shared" ca="1" si="616"/>
        <v>111.83469114391315</v>
      </c>
      <c r="R593">
        <f t="shared" ca="1" si="617"/>
        <v>11.834691143913147</v>
      </c>
      <c r="S593">
        <f t="shared" ca="1" si="618"/>
        <v>11.600348558258872</v>
      </c>
    </row>
    <row r="594" spans="5:19" x14ac:dyDescent="0.75">
      <c r="E594">
        <v>589</v>
      </c>
      <c r="F594">
        <v>100</v>
      </c>
      <c r="G594">
        <f t="shared" ca="1" si="614"/>
        <v>106.0375014374344</v>
      </c>
      <c r="H594">
        <f t="shared" ca="1" si="614"/>
        <v>108.68712832490576</v>
      </c>
      <c r="I594">
        <f t="shared" ca="1" si="614"/>
        <v>106.87412597351917</v>
      </c>
      <c r="J594">
        <f t="shared" ca="1" si="614"/>
        <v>94.925883474834365</v>
      </c>
      <c r="K594">
        <f t="shared" ref="K594:P594" ca="1" si="629">J594*EXP(($C$4-0.5*$C$5^2)*$C$10+$C$5*SQRT($C$10)*NORMINV(RAND(),0,1))</f>
        <v>97.626388438094324</v>
      </c>
      <c r="L594">
        <f t="shared" ca="1" si="629"/>
        <v>91.470769491516265</v>
      </c>
      <c r="M594">
        <f t="shared" ca="1" si="629"/>
        <v>83.669087677564974</v>
      </c>
      <c r="N594">
        <f t="shared" ca="1" si="629"/>
        <v>79.977113109073457</v>
      </c>
      <c r="O594">
        <f t="shared" ca="1" si="629"/>
        <v>76.486258486955577</v>
      </c>
      <c r="P594">
        <f t="shared" ca="1" si="629"/>
        <v>71.68192430706624</v>
      </c>
      <c r="Q594">
        <f t="shared" ca="1" si="616"/>
        <v>92.494198247360401</v>
      </c>
      <c r="R594">
        <f t="shared" ca="1" si="617"/>
        <v>0</v>
      </c>
      <c r="S594">
        <f t="shared" ca="1" si="618"/>
        <v>0</v>
      </c>
    </row>
    <row r="595" spans="5:19" x14ac:dyDescent="0.75">
      <c r="E595">
        <v>590</v>
      </c>
      <c r="F595">
        <v>100</v>
      </c>
      <c r="G595">
        <f t="shared" ca="1" si="614"/>
        <v>97.653502189953485</v>
      </c>
      <c r="H595">
        <f t="shared" ca="1" si="614"/>
        <v>96.190462366592669</v>
      </c>
      <c r="I595">
        <f t="shared" ca="1" si="614"/>
        <v>96.675800429828655</v>
      </c>
      <c r="J595">
        <f t="shared" ca="1" si="614"/>
        <v>103.40225238194981</v>
      </c>
      <c r="K595">
        <f t="shared" ref="K595:P595" ca="1" si="630">J595*EXP(($C$4-0.5*$C$5^2)*$C$10+$C$5*SQRT($C$10)*NORMINV(RAND(),0,1))</f>
        <v>103.23546368336577</v>
      </c>
      <c r="L595">
        <f t="shared" ca="1" si="630"/>
        <v>104.26307818460531</v>
      </c>
      <c r="M595">
        <f t="shared" ca="1" si="630"/>
        <v>106.92526970923056</v>
      </c>
      <c r="N595">
        <f t="shared" ca="1" si="630"/>
        <v>102.67529873278221</v>
      </c>
      <c r="O595">
        <f t="shared" ca="1" si="630"/>
        <v>99.262353216640719</v>
      </c>
      <c r="P595">
        <f t="shared" ca="1" si="630"/>
        <v>92.178915250011642</v>
      </c>
      <c r="Q595">
        <f t="shared" ca="1" si="616"/>
        <v>100.22385419499642</v>
      </c>
      <c r="R595">
        <f t="shared" ca="1" si="617"/>
        <v>0.22385419499642012</v>
      </c>
      <c r="S595">
        <f t="shared" ca="1" si="618"/>
        <v>0.2194215849496427</v>
      </c>
    </row>
    <row r="596" spans="5:19" x14ac:dyDescent="0.75">
      <c r="E596">
        <v>591</v>
      </c>
      <c r="F596">
        <v>100</v>
      </c>
      <c r="G596">
        <f t="shared" ca="1" si="614"/>
        <v>98.032022940904909</v>
      </c>
      <c r="H596">
        <f t="shared" ca="1" si="614"/>
        <v>94.178064800258937</v>
      </c>
      <c r="I596">
        <f t="shared" ca="1" si="614"/>
        <v>94.530699617028944</v>
      </c>
      <c r="J596">
        <f t="shared" ca="1" si="614"/>
        <v>99.411065500122405</v>
      </c>
      <c r="K596">
        <f t="shared" ref="K596:P596" ca="1" si="631">J596*EXP(($C$4-0.5*$C$5^2)*$C$10+$C$5*SQRT($C$10)*NORMINV(RAND(),0,1))</f>
        <v>97.833699216238358</v>
      </c>
      <c r="L596">
        <f t="shared" ca="1" si="631"/>
        <v>100.47527400373896</v>
      </c>
      <c r="M596">
        <f t="shared" ca="1" si="631"/>
        <v>101.24639431698905</v>
      </c>
      <c r="N596">
        <f t="shared" ca="1" si="631"/>
        <v>97.975782056631317</v>
      </c>
      <c r="O596">
        <f t="shared" ca="1" si="631"/>
        <v>101.30556892298294</v>
      </c>
      <c r="P596">
        <f t="shared" ca="1" si="631"/>
        <v>103.63909764826903</v>
      </c>
      <c r="Q596">
        <f t="shared" ca="1" si="616"/>
        <v>98.966151729378623</v>
      </c>
      <c r="R596">
        <f t="shared" ca="1" si="617"/>
        <v>0</v>
      </c>
      <c r="S596">
        <f t="shared" ca="1" si="618"/>
        <v>0</v>
      </c>
    </row>
    <row r="597" spans="5:19" x14ac:dyDescent="0.75">
      <c r="E597">
        <v>592</v>
      </c>
      <c r="F597">
        <v>100</v>
      </c>
      <c r="G597">
        <f t="shared" ca="1" si="614"/>
        <v>106.34810868132614</v>
      </c>
      <c r="H597">
        <f t="shared" ca="1" si="614"/>
        <v>97.955174460969786</v>
      </c>
      <c r="I597">
        <f t="shared" ca="1" si="614"/>
        <v>108.39588162506398</v>
      </c>
      <c r="J597">
        <f t="shared" ca="1" si="614"/>
        <v>107.68955009130019</v>
      </c>
      <c r="K597">
        <f t="shared" ref="K597:P597" ca="1" si="632">J597*EXP(($C$4-0.5*$C$5^2)*$C$10+$C$5*SQRT($C$10)*NORMINV(RAND(),0,1))</f>
        <v>109.44166978315725</v>
      </c>
      <c r="L597">
        <f t="shared" ca="1" si="632"/>
        <v>122.73907764791562</v>
      </c>
      <c r="M597">
        <f t="shared" ca="1" si="632"/>
        <v>126.66655766813967</v>
      </c>
      <c r="N597">
        <f t="shared" ca="1" si="632"/>
        <v>143.89579678169798</v>
      </c>
      <c r="O597">
        <f t="shared" ca="1" si="632"/>
        <v>143.85040870981396</v>
      </c>
      <c r="P597">
        <f t="shared" ca="1" si="632"/>
        <v>136.59943892409007</v>
      </c>
      <c r="Q597">
        <f t="shared" ca="1" si="616"/>
        <v>118.50742403395223</v>
      </c>
      <c r="R597">
        <f t="shared" ca="1" si="617"/>
        <v>18.507424033952233</v>
      </c>
      <c r="S597">
        <f t="shared" ca="1" si="618"/>
        <v>18.140952484405535</v>
      </c>
    </row>
    <row r="598" spans="5:19" x14ac:dyDescent="0.75">
      <c r="E598">
        <v>593</v>
      </c>
      <c r="F598">
        <v>100</v>
      </c>
      <c r="G598">
        <f t="shared" ca="1" si="614"/>
        <v>102.45486384116094</v>
      </c>
      <c r="H598">
        <f t="shared" ca="1" si="614"/>
        <v>104.33538012264933</v>
      </c>
      <c r="I598">
        <f t="shared" ca="1" si="614"/>
        <v>109.31801417190309</v>
      </c>
      <c r="J598">
        <f t="shared" ca="1" si="614"/>
        <v>102.85335093148672</v>
      </c>
      <c r="K598">
        <f t="shared" ref="K598:P598" ca="1" si="633">J598*EXP(($C$4-0.5*$C$5^2)*$C$10+$C$5*SQRT($C$10)*NORMINV(RAND(),0,1))</f>
        <v>120.04242672948899</v>
      </c>
      <c r="L598">
        <f t="shared" ca="1" si="633"/>
        <v>109.72195611886859</v>
      </c>
      <c r="M598">
        <f t="shared" ca="1" si="633"/>
        <v>105.04934738810319</v>
      </c>
      <c r="N598">
        <f t="shared" ca="1" si="633"/>
        <v>115.57368393156564</v>
      </c>
      <c r="O598">
        <f t="shared" ca="1" si="633"/>
        <v>114.66842335527419</v>
      </c>
      <c r="P598">
        <f t="shared" ca="1" si="633"/>
        <v>118.4760293440761</v>
      </c>
      <c r="Q598">
        <f t="shared" ca="1" si="616"/>
        <v>109.31758872132515</v>
      </c>
      <c r="R598">
        <f t="shared" ca="1" si="617"/>
        <v>9.3175887213251514</v>
      </c>
      <c r="S598">
        <f t="shared" ca="1" si="618"/>
        <v>9.1330881030608992</v>
      </c>
    </row>
    <row r="599" spans="5:19" x14ac:dyDescent="0.75">
      <c r="E599">
        <v>594</v>
      </c>
      <c r="F599">
        <v>100</v>
      </c>
      <c r="G599">
        <f t="shared" ca="1" si="614"/>
        <v>95.941062085063535</v>
      </c>
      <c r="H599">
        <f t="shared" ca="1" si="614"/>
        <v>104.85651669601626</v>
      </c>
      <c r="I599">
        <f t="shared" ca="1" si="614"/>
        <v>100.11531106003976</v>
      </c>
      <c r="J599">
        <f t="shared" ca="1" si="614"/>
        <v>89.991509194288611</v>
      </c>
      <c r="K599">
        <f t="shared" ref="K599:P599" ca="1" si="634">J599*EXP(($C$4-0.5*$C$5^2)*$C$10+$C$5*SQRT($C$10)*NORMINV(RAND(),0,1))</f>
        <v>89.170771280788543</v>
      </c>
      <c r="L599">
        <f t="shared" ca="1" si="634"/>
        <v>100.94606041449445</v>
      </c>
      <c r="M599">
        <f t="shared" ca="1" si="634"/>
        <v>96.673007760076302</v>
      </c>
      <c r="N599">
        <f t="shared" ca="1" si="634"/>
        <v>98.536056060278469</v>
      </c>
      <c r="O599">
        <f t="shared" ca="1" si="634"/>
        <v>104.37749317939671</v>
      </c>
      <c r="P599">
        <f t="shared" ca="1" si="634"/>
        <v>99.558113504074271</v>
      </c>
      <c r="Q599">
        <f t="shared" ca="1" si="616"/>
        <v>98.196900112228818</v>
      </c>
      <c r="R599">
        <f t="shared" ca="1" si="617"/>
        <v>0</v>
      </c>
      <c r="S599">
        <f t="shared" ca="1" si="618"/>
        <v>0</v>
      </c>
    </row>
    <row r="600" spans="5:19" x14ac:dyDescent="0.75">
      <c r="E600">
        <v>595</v>
      </c>
      <c r="F600">
        <v>100</v>
      </c>
      <c r="G600">
        <f t="shared" ca="1" si="614"/>
        <v>106.82484320283834</v>
      </c>
      <c r="H600">
        <f t="shared" ca="1" si="614"/>
        <v>105.96831991391042</v>
      </c>
      <c r="I600">
        <f t="shared" ca="1" si="614"/>
        <v>108.56682689906611</v>
      </c>
      <c r="J600">
        <f t="shared" ca="1" si="614"/>
        <v>109.30752622038521</v>
      </c>
      <c r="K600">
        <f t="shared" ref="K600:P600" ca="1" si="635">J600*EXP(($C$4-0.5*$C$5^2)*$C$10+$C$5*SQRT($C$10)*NORMINV(RAND(),0,1))</f>
        <v>104.18035858003972</v>
      </c>
      <c r="L600">
        <f t="shared" ca="1" si="635"/>
        <v>99.689974125815681</v>
      </c>
      <c r="M600">
        <f t="shared" ca="1" si="635"/>
        <v>100.90804266022838</v>
      </c>
      <c r="N600">
        <f t="shared" ca="1" si="635"/>
        <v>109.52330933622414</v>
      </c>
      <c r="O600">
        <f t="shared" ca="1" si="635"/>
        <v>100.78562574618797</v>
      </c>
      <c r="P600">
        <f t="shared" ca="1" si="635"/>
        <v>92.42028195149156</v>
      </c>
      <c r="Q600">
        <f t="shared" ca="1" si="616"/>
        <v>103.4704644214716</v>
      </c>
      <c r="R600">
        <f t="shared" ca="1" si="617"/>
        <v>3.4704644214716041</v>
      </c>
      <c r="S600">
        <f t="shared" ca="1" si="618"/>
        <v>3.4017446216847622</v>
      </c>
    </row>
    <row r="601" spans="5:19" x14ac:dyDescent="0.75">
      <c r="E601">
        <v>596</v>
      </c>
      <c r="F601">
        <v>100</v>
      </c>
      <c r="G601">
        <f t="shared" ca="1" si="614"/>
        <v>97.093400483597023</v>
      </c>
      <c r="H601">
        <f t="shared" ca="1" si="614"/>
        <v>93.473574296591238</v>
      </c>
      <c r="I601">
        <f t="shared" ca="1" si="614"/>
        <v>78.19542514722616</v>
      </c>
      <c r="J601">
        <f t="shared" ca="1" si="614"/>
        <v>76.805394345824439</v>
      </c>
      <c r="K601">
        <f t="shared" ref="K601:P601" ca="1" si="636">J601*EXP(($C$4-0.5*$C$5^2)*$C$10+$C$5*SQRT($C$10)*NORMINV(RAND(),0,1))</f>
        <v>81.568742099752257</v>
      </c>
      <c r="L601">
        <f t="shared" ca="1" si="636"/>
        <v>90.142303927370563</v>
      </c>
      <c r="M601">
        <f t="shared" ca="1" si="636"/>
        <v>86.798147607797858</v>
      </c>
      <c r="N601">
        <f t="shared" ca="1" si="636"/>
        <v>91.300042837222264</v>
      </c>
      <c r="O601">
        <f t="shared" ca="1" si="636"/>
        <v>94.338257437253318</v>
      </c>
      <c r="P601">
        <f t="shared" ca="1" si="636"/>
        <v>104.13749325385618</v>
      </c>
      <c r="Q601">
        <f t="shared" ca="1" si="616"/>
        <v>90.350252857862856</v>
      </c>
      <c r="R601">
        <f t="shared" ca="1" si="617"/>
        <v>0</v>
      </c>
      <c r="S601">
        <f t="shared" ca="1" si="618"/>
        <v>0</v>
      </c>
    </row>
    <row r="602" spans="5:19" x14ac:dyDescent="0.75">
      <c r="E602">
        <v>597</v>
      </c>
      <c r="F602">
        <v>100</v>
      </c>
      <c r="G602">
        <f t="shared" ca="1" si="614"/>
        <v>97.27876443394598</v>
      </c>
      <c r="H602">
        <f t="shared" ca="1" si="614"/>
        <v>99.648179917679542</v>
      </c>
      <c r="I602">
        <f t="shared" ca="1" si="614"/>
        <v>103.29835884873012</v>
      </c>
      <c r="J602">
        <f t="shared" ca="1" si="614"/>
        <v>100.14793251177474</v>
      </c>
      <c r="K602">
        <f t="shared" ref="K602:P602" ca="1" si="637">J602*EXP(($C$4-0.5*$C$5^2)*$C$10+$C$5*SQRT($C$10)*NORMINV(RAND(),0,1))</f>
        <v>96.8241954566207</v>
      </c>
      <c r="L602">
        <f t="shared" ca="1" si="637"/>
        <v>89.462302158187228</v>
      </c>
      <c r="M602">
        <f t="shared" ca="1" si="637"/>
        <v>93.076217665800016</v>
      </c>
      <c r="N602">
        <f t="shared" ca="1" si="637"/>
        <v>86.893902896663505</v>
      </c>
      <c r="O602">
        <f t="shared" ca="1" si="637"/>
        <v>98.340457054554349</v>
      </c>
      <c r="P602">
        <f t="shared" ca="1" si="637"/>
        <v>110.47123592282394</v>
      </c>
      <c r="Q602">
        <f t="shared" ca="1" si="616"/>
        <v>97.767413351525462</v>
      </c>
      <c r="R602">
        <f t="shared" ca="1" si="617"/>
        <v>0</v>
      </c>
      <c r="S602">
        <f t="shared" ca="1" si="618"/>
        <v>0</v>
      </c>
    </row>
    <row r="603" spans="5:19" x14ac:dyDescent="0.75">
      <c r="E603">
        <v>598</v>
      </c>
      <c r="F603">
        <v>100</v>
      </c>
      <c r="G603">
        <f t="shared" ca="1" si="614"/>
        <v>99.521611999905417</v>
      </c>
      <c r="H603">
        <f t="shared" ca="1" si="614"/>
        <v>91.093786583325453</v>
      </c>
      <c r="I603">
        <f t="shared" ca="1" si="614"/>
        <v>98.923842096151802</v>
      </c>
      <c r="J603">
        <f t="shared" ca="1" si="614"/>
        <v>93.029512154767446</v>
      </c>
      <c r="K603">
        <f t="shared" ref="K603:P603" ca="1" si="638">J603*EXP(($C$4-0.5*$C$5^2)*$C$10+$C$5*SQRT($C$10)*NORMINV(RAND(),0,1))</f>
        <v>96.171294237582643</v>
      </c>
      <c r="L603">
        <f t="shared" ca="1" si="638"/>
        <v>92.31758182996694</v>
      </c>
      <c r="M603">
        <f t="shared" ca="1" si="638"/>
        <v>86.981605944082887</v>
      </c>
      <c r="N603">
        <f t="shared" ca="1" si="638"/>
        <v>82.48354712309667</v>
      </c>
      <c r="O603">
        <f t="shared" ca="1" si="638"/>
        <v>87.555064458174911</v>
      </c>
      <c r="P603">
        <f t="shared" ca="1" si="638"/>
        <v>89.35761228423884</v>
      </c>
      <c r="Q603">
        <f t="shared" ca="1" si="616"/>
        <v>92.494132610117532</v>
      </c>
      <c r="R603">
        <f t="shared" ca="1" si="617"/>
        <v>0</v>
      </c>
      <c r="S603">
        <f t="shared" ca="1" si="618"/>
        <v>0</v>
      </c>
    </row>
    <row r="604" spans="5:19" x14ac:dyDescent="0.75">
      <c r="E604">
        <v>599</v>
      </c>
      <c r="F604">
        <v>100</v>
      </c>
      <c r="G604">
        <f t="shared" ca="1" si="614"/>
        <v>99.499750481758014</v>
      </c>
      <c r="H604">
        <f t="shared" ca="1" si="614"/>
        <v>100.00077740521705</v>
      </c>
      <c r="I604">
        <f t="shared" ca="1" si="614"/>
        <v>98.68974664769874</v>
      </c>
      <c r="J604">
        <f t="shared" ca="1" si="614"/>
        <v>95.51381064853868</v>
      </c>
      <c r="K604">
        <f t="shared" ref="K604:P604" ca="1" si="639">J604*EXP(($C$4-0.5*$C$5^2)*$C$10+$C$5*SQRT($C$10)*NORMINV(RAND(),0,1))</f>
        <v>103.37399021596525</v>
      </c>
      <c r="L604">
        <f t="shared" ca="1" si="639"/>
        <v>116.08859523961587</v>
      </c>
      <c r="M604">
        <f t="shared" ca="1" si="639"/>
        <v>101.00978684521206</v>
      </c>
      <c r="N604">
        <f t="shared" ca="1" si="639"/>
        <v>103.65576235244517</v>
      </c>
      <c r="O604">
        <f t="shared" ca="1" si="639"/>
        <v>105.21582833281431</v>
      </c>
      <c r="P604">
        <f t="shared" ca="1" si="639"/>
        <v>108.17039976535321</v>
      </c>
      <c r="Q604">
        <f t="shared" ca="1" si="616"/>
        <v>102.83804072132894</v>
      </c>
      <c r="R604">
        <f t="shared" ca="1" si="617"/>
        <v>2.8380407213289374</v>
      </c>
      <c r="S604">
        <f t="shared" ca="1" si="618"/>
        <v>2.7818437498371713</v>
      </c>
    </row>
    <row r="605" spans="5:19" x14ac:dyDescent="0.75">
      <c r="E605">
        <v>600</v>
      </c>
      <c r="F605">
        <v>100</v>
      </c>
      <c r="G605">
        <f t="shared" ca="1" si="614"/>
        <v>95.786100604025421</v>
      </c>
      <c r="H605">
        <f t="shared" ca="1" si="614"/>
        <v>91.503059161287013</v>
      </c>
      <c r="I605">
        <f t="shared" ca="1" si="614"/>
        <v>86.642217157539974</v>
      </c>
      <c r="J605">
        <f t="shared" ca="1" si="614"/>
        <v>84.440894337747309</v>
      </c>
      <c r="K605">
        <f t="shared" ref="K605:P605" ca="1" si="640">J605*EXP(($C$4-0.5*$C$5^2)*$C$10+$C$5*SQRT($C$10)*NORMINV(RAND(),0,1))</f>
        <v>78.040770570846107</v>
      </c>
      <c r="L605">
        <f t="shared" ca="1" si="640"/>
        <v>81.008835458651021</v>
      </c>
      <c r="M605">
        <f t="shared" ca="1" si="640"/>
        <v>79.410669627596661</v>
      </c>
      <c r="N605">
        <f t="shared" ca="1" si="640"/>
        <v>76.006256983634586</v>
      </c>
      <c r="O605">
        <f t="shared" ca="1" si="640"/>
        <v>76.741989682634937</v>
      </c>
      <c r="P605">
        <f t="shared" ca="1" si="640"/>
        <v>78.685687838576399</v>
      </c>
      <c r="Q605">
        <f t="shared" ca="1" si="616"/>
        <v>84.38786194750358</v>
      </c>
      <c r="R605">
        <f t="shared" ca="1" si="617"/>
        <v>0</v>
      </c>
      <c r="S605">
        <f t="shared" ca="1" si="618"/>
        <v>0</v>
      </c>
    </row>
    <row r="606" spans="5:19" x14ac:dyDescent="0.75">
      <c r="E606">
        <v>601</v>
      </c>
      <c r="F606">
        <v>100</v>
      </c>
      <c r="G606">
        <f t="shared" ca="1" si="614"/>
        <v>100.43904499560448</v>
      </c>
      <c r="H606">
        <f t="shared" ca="1" si="614"/>
        <v>92.254425564223368</v>
      </c>
      <c r="I606">
        <f t="shared" ca="1" si="614"/>
        <v>104.47679668255579</v>
      </c>
      <c r="J606">
        <f t="shared" ca="1" si="614"/>
        <v>103.14856529321833</v>
      </c>
      <c r="K606">
        <f t="shared" ref="K606:P606" ca="1" si="641">J606*EXP(($C$4-0.5*$C$5^2)*$C$10+$C$5*SQRT($C$10)*NORMINV(RAND(),0,1))</f>
        <v>97.133757005134925</v>
      </c>
      <c r="L606">
        <f t="shared" ca="1" si="641"/>
        <v>100.18589939602425</v>
      </c>
      <c r="M606">
        <f t="shared" ca="1" si="641"/>
        <v>100.41437752647201</v>
      </c>
      <c r="N606">
        <f t="shared" ca="1" si="641"/>
        <v>100.9477994223182</v>
      </c>
      <c r="O606">
        <f t="shared" ca="1" si="641"/>
        <v>115.34267594750384</v>
      </c>
      <c r="P606">
        <f t="shared" ca="1" si="641"/>
        <v>132.86950763485947</v>
      </c>
      <c r="Q606">
        <f t="shared" ca="1" si="616"/>
        <v>104.29207722435586</v>
      </c>
      <c r="R606">
        <f t="shared" ca="1" si="617"/>
        <v>4.2920772243558645</v>
      </c>
      <c r="S606">
        <f t="shared" ca="1" si="618"/>
        <v>4.2070884010437588</v>
      </c>
    </row>
    <row r="607" spans="5:19" x14ac:dyDescent="0.75">
      <c r="E607">
        <v>602</v>
      </c>
      <c r="F607">
        <v>100</v>
      </c>
      <c r="G607">
        <f t="shared" ca="1" si="614"/>
        <v>111.98672154643354</v>
      </c>
      <c r="H607">
        <f t="shared" ca="1" si="614"/>
        <v>118.67322018902904</v>
      </c>
      <c r="I607">
        <f t="shared" ca="1" si="614"/>
        <v>119.16127769342418</v>
      </c>
      <c r="J607">
        <f t="shared" ca="1" si="614"/>
        <v>117.97187954087116</v>
      </c>
      <c r="K607">
        <f t="shared" ref="K607:P607" ca="1" si="642">J607*EXP(($C$4-0.5*$C$5^2)*$C$10+$C$5*SQRT($C$10)*NORMINV(RAND(),0,1))</f>
        <v>122.34904123988645</v>
      </c>
      <c r="L607">
        <f t="shared" ca="1" si="642"/>
        <v>117.61908530310575</v>
      </c>
      <c r="M607">
        <f t="shared" ca="1" si="642"/>
        <v>116.00122159549178</v>
      </c>
      <c r="N607">
        <f t="shared" ca="1" si="642"/>
        <v>116.26161759153997</v>
      </c>
      <c r="O607">
        <f t="shared" ca="1" si="642"/>
        <v>117.52488087855482</v>
      </c>
      <c r="P607">
        <f t="shared" ca="1" si="642"/>
        <v>108.26580216626053</v>
      </c>
      <c r="Q607">
        <f t="shared" ca="1" si="616"/>
        <v>115.07406797678155</v>
      </c>
      <c r="R607">
        <f t="shared" ca="1" si="617"/>
        <v>15.074067976781549</v>
      </c>
      <c r="S607">
        <f t="shared" ca="1" si="618"/>
        <v>14.77558143217712</v>
      </c>
    </row>
    <row r="608" spans="5:19" x14ac:dyDescent="0.75">
      <c r="E608">
        <v>603</v>
      </c>
      <c r="F608">
        <v>100</v>
      </c>
      <c r="G608">
        <f t="shared" ca="1" si="614"/>
        <v>106.14018833917859</v>
      </c>
      <c r="H608">
        <f t="shared" ca="1" si="614"/>
        <v>107.52668069598671</v>
      </c>
      <c r="I608">
        <f t="shared" ca="1" si="614"/>
        <v>103.73910183948874</v>
      </c>
      <c r="J608">
        <f t="shared" ca="1" si="614"/>
        <v>106.59810438173493</v>
      </c>
      <c r="K608">
        <f t="shared" ref="K608:P608" ca="1" si="643">J608*EXP(($C$4-0.5*$C$5^2)*$C$10+$C$5*SQRT($C$10)*NORMINV(RAND(),0,1))</f>
        <v>109.72664957823947</v>
      </c>
      <c r="L608">
        <f t="shared" ca="1" si="643"/>
        <v>102.96230943495992</v>
      </c>
      <c r="M608">
        <f t="shared" ca="1" si="643"/>
        <v>102.61541745990475</v>
      </c>
      <c r="N608">
        <f t="shared" ca="1" si="643"/>
        <v>106.11776892378083</v>
      </c>
      <c r="O608">
        <f t="shared" ca="1" si="643"/>
        <v>112.12362991536826</v>
      </c>
      <c r="P608">
        <f t="shared" ca="1" si="643"/>
        <v>118.08604958767964</v>
      </c>
      <c r="Q608">
        <f t="shared" ca="1" si="616"/>
        <v>106.87599092330197</v>
      </c>
      <c r="R608">
        <f t="shared" ca="1" si="617"/>
        <v>6.8759909233019698</v>
      </c>
      <c r="S608">
        <f t="shared" ca="1" si="618"/>
        <v>6.7398371806898822</v>
      </c>
    </row>
    <row r="609" spans="5:19" x14ac:dyDescent="0.75">
      <c r="E609">
        <v>604</v>
      </c>
      <c r="F609">
        <v>100</v>
      </c>
      <c r="G609">
        <f t="shared" ca="1" si="614"/>
        <v>107.66280544261623</v>
      </c>
      <c r="H609">
        <f t="shared" ca="1" si="614"/>
        <v>108.50269761717895</v>
      </c>
      <c r="I609">
        <f t="shared" ca="1" si="614"/>
        <v>109.41719883102519</v>
      </c>
      <c r="J609">
        <f t="shared" ca="1" si="614"/>
        <v>109.75467448497707</v>
      </c>
      <c r="K609">
        <f t="shared" ref="K609:P609" ca="1" si="644">J609*EXP(($C$4-0.5*$C$5^2)*$C$10+$C$5*SQRT($C$10)*NORMINV(RAND(),0,1))</f>
        <v>106.43378548336061</v>
      </c>
      <c r="L609">
        <f t="shared" ca="1" si="644"/>
        <v>105.61717500640152</v>
      </c>
      <c r="M609">
        <f t="shared" ca="1" si="644"/>
        <v>103.03371897275217</v>
      </c>
      <c r="N609">
        <f t="shared" ca="1" si="644"/>
        <v>103.58574444901325</v>
      </c>
      <c r="O609">
        <f t="shared" ca="1" si="644"/>
        <v>109.47685257334787</v>
      </c>
      <c r="P609">
        <f t="shared" ca="1" si="644"/>
        <v>121.3670201377648</v>
      </c>
      <c r="Q609">
        <f t="shared" ca="1" si="616"/>
        <v>107.71378845440341</v>
      </c>
      <c r="R609">
        <f t="shared" ca="1" si="617"/>
        <v>7.7137884544034137</v>
      </c>
      <c r="S609">
        <f t="shared" ca="1" si="618"/>
        <v>7.5610452091751919</v>
      </c>
    </row>
    <row r="610" spans="5:19" x14ac:dyDescent="0.75">
      <c r="E610">
        <v>605</v>
      </c>
      <c r="F610">
        <v>100</v>
      </c>
      <c r="G610">
        <f t="shared" ca="1" si="614"/>
        <v>107.05172898208528</v>
      </c>
      <c r="H610">
        <f t="shared" ca="1" si="614"/>
        <v>110.41021560810186</v>
      </c>
      <c r="I610">
        <f t="shared" ca="1" si="614"/>
        <v>117.2565247527687</v>
      </c>
      <c r="J610">
        <f t="shared" ca="1" si="614"/>
        <v>121.05812863108727</v>
      </c>
      <c r="K610">
        <f t="shared" ref="K610:P610" ca="1" si="645">J610*EXP(($C$4-0.5*$C$5^2)*$C$10+$C$5*SQRT($C$10)*NORMINV(RAND(),0,1))</f>
        <v>118.0053038309875</v>
      </c>
      <c r="L610">
        <f t="shared" ca="1" si="645"/>
        <v>121.15052719075562</v>
      </c>
      <c r="M610">
        <f t="shared" ca="1" si="645"/>
        <v>134.59794020872346</v>
      </c>
      <c r="N610">
        <f t="shared" ca="1" si="645"/>
        <v>139.97309176225878</v>
      </c>
      <c r="O610">
        <f t="shared" ca="1" si="645"/>
        <v>117.35429170926099</v>
      </c>
      <c r="P610">
        <f t="shared" ca="1" si="645"/>
        <v>122.87885238887213</v>
      </c>
      <c r="Q610">
        <f t="shared" ca="1" si="616"/>
        <v>119.06696409680923</v>
      </c>
      <c r="R610">
        <f t="shared" ca="1" si="617"/>
        <v>19.06696409680923</v>
      </c>
      <c r="S610">
        <f t="shared" ca="1" si="618"/>
        <v>18.689412911679941</v>
      </c>
    </row>
    <row r="611" spans="5:19" x14ac:dyDescent="0.75">
      <c r="E611">
        <v>606</v>
      </c>
      <c r="F611">
        <v>100</v>
      </c>
      <c r="G611">
        <f t="shared" ca="1" si="614"/>
        <v>110.84898667839053</v>
      </c>
      <c r="H611">
        <f t="shared" ca="1" si="614"/>
        <v>106.65107264961253</v>
      </c>
      <c r="I611">
        <f t="shared" ca="1" si="614"/>
        <v>108.89477899027982</v>
      </c>
      <c r="J611">
        <f t="shared" ca="1" si="614"/>
        <v>108.47673139507137</v>
      </c>
      <c r="K611">
        <f t="shared" ref="K611:P611" ca="1" si="646">J611*EXP(($C$4-0.5*$C$5^2)*$C$10+$C$5*SQRT($C$10)*NORMINV(RAND(),0,1))</f>
        <v>98.612316348167084</v>
      </c>
      <c r="L611">
        <f t="shared" ca="1" si="646"/>
        <v>100.97730042212743</v>
      </c>
      <c r="M611">
        <f t="shared" ca="1" si="646"/>
        <v>92.910409851638448</v>
      </c>
      <c r="N611">
        <f t="shared" ca="1" si="646"/>
        <v>95.284403964176391</v>
      </c>
      <c r="O611">
        <f t="shared" ca="1" si="646"/>
        <v>98.389459043040134</v>
      </c>
      <c r="P611">
        <f t="shared" ca="1" si="646"/>
        <v>94.75511090852676</v>
      </c>
      <c r="Q611">
        <f t="shared" ca="1" si="616"/>
        <v>101.4364154773664</v>
      </c>
      <c r="R611">
        <f t="shared" ca="1" si="617"/>
        <v>1.4364154773663955</v>
      </c>
      <c r="S611">
        <f t="shared" ca="1" si="618"/>
        <v>1.4079725452318304</v>
      </c>
    </row>
    <row r="612" spans="5:19" x14ac:dyDescent="0.75">
      <c r="E612">
        <v>607</v>
      </c>
      <c r="F612">
        <v>100</v>
      </c>
      <c r="G612">
        <f t="shared" ca="1" si="614"/>
        <v>100.93070323161371</v>
      </c>
      <c r="H612">
        <f t="shared" ca="1" si="614"/>
        <v>98.248216338264399</v>
      </c>
      <c r="I612">
        <f t="shared" ca="1" si="614"/>
        <v>97.859102396526978</v>
      </c>
      <c r="J612">
        <f t="shared" ca="1" si="614"/>
        <v>98.432236953781214</v>
      </c>
      <c r="K612">
        <f t="shared" ref="K612:P612" ca="1" si="647">J612*EXP(($C$4-0.5*$C$5^2)*$C$10+$C$5*SQRT($C$10)*NORMINV(RAND(),0,1))</f>
        <v>108.04960183199428</v>
      </c>
      <c r="L612">
        <f t="shared" ca="1" si="647"/>
        <v>103.90736059416494</v>
      </c>
      <c r="M612">
        <f t="shared" ca="1" si="647"/>
        <v>98.255957246302373</v>
      </c>
      <c r="N612">
        <f t="shared" ca="1" si="647"/>
        <v>101.57995814538796</v>
      </c>
      <c r="O612">
        <f t="shared" ca="1" si="647"/>
        <v>99.750544363547775</v>
      </c>
      <c r="P612">
        <f t="shared" ca="1" si="647"/>
        <v>104.517100181798</v>
      </c>
      <c r="Q612">
        <f t="shared" ca="1" si="616"/>
        <v>101.04825284394379</v>
      </c>
      <c r="R612">
        <f t="shared" ca="1" si="617"/>
        <v>1.0482528439437857</v>
      </c>
      <c r="S612">
        <f t="shared" ca="1" si="618"/>
        <v>1.027496046923732</v>
      </c>
    </row>
    <row r="613" spans="5:19" x14ac:dyDescent="0.75">
      <c r="E613">
        <v>608</v>
      </c>
      <c r="F613">
        <v>100</v>
      </c>
      <c r="G613">
        <f t="shared" ca="1" si="614"/>
        <v>108.68405962337535</v>
      </c>
      <c r="H613">
        <f t="shared" ca="1" si="614"/>
        <v>105.61994701075466</v>
      </c>
      <c r="I613">
        <f t="shared" ca="1" si="614"/>
        <v>109.88024041623675</v>
      </c>
      <c r="J613">
        <f t="shared" ca="1" si="614"/>
        <v>111.44686080768389</v>
      </c>
      <c r="K613">
        <f t="shared" ref="K613:P613" ca="1" si="648">J613*EXP(($C$4-0.5*$C$5^2)*$C$10+$C$5*SQRT($C$10)*NORMINV(RAND(),0,1))</f>
        <v>100.46349700631085</v>
      </c>
      <c r="L613">
        <f t="shared" ca="1" si="648"/>
        <v>104.73570957240698</v>
      </c>
      <c r="M613">
        <f t="shared" ca="1" si="648"/>
        <v>107.63418283434368</v>
      </c>
      <c r="N613">
        <f t="shared" ca="1" si="648"/>
        <v>104.25253809556659</v>
      </c>
      <c r="O613">
        <f t="shared" ca="1" si="648"/>
        <v>101.66179086797052</v>
      </c>
      <c r="P613">
        <f t="shared" ca="1" si="648"/>
        <v>105.89765876997197</v>
      </c>
      <c r="Q613">
        <f t="shared" ca="1" si="616"/>
        <v>105.47968045496556</v>
      </c>
      <c r="R613">
        <f t="shared" ca="1" si="617"/>
        <v>5.4796804549655604</v>
      </c>
      <c r="S613">
        <f t="shared" ca="1" si="618"/>
        <v>5.3711755121021998</v>
      </c>
    </row>
    <row r="614" spans="5:19" x14ac:dyDescent="0.75">
      <c r="E614">
        <v>609</v>
      </c>
      <c r="F614">
        <v>100</v>
      </c>
      <c r="G614">
        <f t="shared" ca="1" si="614"/>
        <v>108.28164072712975</v>
      </c>
      <c r="H614">
        <f t="shared" ca="1" si="614"/>
        <v>122.22694949247129</v>
      </c>
      <c r="I614">
        <f t="shared" ca="1" si="614"/>
        <v>132.229151742357</v>
      </c>
      <c r="J614">
        <f t="shared" ca="1" si="614"/>
        <v>127.9184987860415</v>
      </c>
      <c r="K614">
        <f t="shared" ref="K614:P614" ca="1" si="649">J614*EXP(($C$4-0.5*$C$5^2)*$C$10+$C$5*SQRT($C$10)*NORMINV(RAND(),0,1))</f>
        <v>119.20394309264303</v>
      </c>
      <c r="L614">
        <f t="shared" ca="1" si="649"/>
        <v>112.69739123398904</v>
      </c>
      <c r="M614">
        <f t="shared" ca="1" si="649"/>
        <v>114.64418909483216</v>
      </c>
      <c r="N614">
        <f t="shared" ca="1" si="649"/>
        <v>109.04267877605781</v>
      </c>
      <c r="O614">
        <f t="shared" ca="1" si="649"/>
        <v>100.35163142796419</v>
      </c>
      <c r="P614">
        <f t="shared" ca="1" si="649"/>
        <v>100.32469338349307</v>
      </c>
      <c r="Q614">
        <f t="shared" ca="1" si="616"/>
        <v>113.3564334324526</v>
      </c>
      <c r="R614">
        <f t="shared" ca="1" si="617"/>
        <v>13.356433432452604</v>
      </c>
      <c r="S614">
        <f t="shared" ca="1" si="618"/>
        <v>13.091958330600034</v>
      </c>
    </row>
    <row r="615" spans="5:19" x14ac:dyDescent="0.75">
      <c r="E615">
        <v>610</v>
      </c>
      <c r="F615">
        <v>100</v>
      </c>
      <c r="G615">
        <f t="shared" ca="1" si="614"/>
        <v>98.225276857126502</v>
      </c>
      <c r="H615">
        <f t="shared" ca="1" si="614"/>
        <v>99.848732915431157</v>
      </c>
      <c r="I615">
        <f t="shared" ca="1" si="614"/>
        <v>107.03608588648818</v>
      </c>
      <c r="J615">
        <f t="shared" ca="1" si="614"/>
        <v>103.92472773156376</v>
      </c>
      <c r="K615">
        <f t="shared" ref="K615:P615" ca="1" si="650">J615*EXP(($C$4-0.5*$C$5^2)*$C$10+$C$5*SQRT($C$10)*NORMINV(RAND(),0,1))</f>
        <v>97.98867520074441</v>
      </c>
      <c r="L615">
        <f t="shared" ca="1" si="650"/>
        <v>107.40818247870766</v>
      </c>
      <c r="M615">
        <f t="shared" ca="1" si="650"/>
        <v>114.94416771576302</v>
      </c>
      <c r="N615">
        <f t="shared" ca="1" si="650"/>
        <v>117.66384277648751</v>
      </c>
      <c r="O615">
        <f t="shared" ca="1" si="650"/>
        <v>118.26444779315199</v>
      </c>
      <c r="P615">
        <f t="shared" ca="1" si="650"/>
        <v>109.1566403792752</v>
      </c>
      <c r="Q615">
        <f t="shared" ca="1" si="616"/>
        <v>106.76916179406722</v>
      </c>
      <c r="R615">
        <f t="shared" ca="1" si="617"/>
        <v>6.769161794067216</v>
      </c>
      <c r="S615">
        <f t="shared" ca="1" si="618"/>
        <v>6.6351234099434606</v>
      </c>
    </row>
    <row r="616" spans="5:19" x14ac:dyDescent="0.75">
      <c r="E616">
        <v>611</v>
      </c>
      <c r="F616">
        <v>100</v>
      </c>
      <c r="G616">
        <f t="shared" ca="1" si="614"/>
        <v>91.69441713024257</v>
      </c>
      <c r="H616">
        <f t="shared" ca="1" si="614"/>
        <v>89.928523964343043</v>
      </c>
      <c r="I616">
        <f t="shared" ca="1" si="614"/>
        <v>81.029866576142254</v>
      </c>
      <c r="J616">
        <f t="shared" ca="1" si="614"/>
        <v>88.798332447117502</v>
      </c>
      <c r="K616">
        <f t="shared" ref="K616:P616" ca="1" si="651">J616*EXP(($C$4-0.5*$C$5^2)*$C$10+$C$5*SQRT($C$10)*NORMINV(RAND(),0,1))</f>
        <v>100.14163731132149</v>
      </c>
      <c r="L616">
        <f t="shared" ca="1" si="651"/>
        <v>101.23991573864667</v>
      </c>
      <c r="M616">
        <f t="shared" ca="1" si="651"/>
        <v>96.505293740191917</v>
      </c>
      <c r="N616">
        <f t="shared" ca="1" si="651"/>
        <v>87.664764252604257</v>
      </c>
      <c r="O616">
        <f t="shared" ca="1" si="651"/>
        <v>91.349442567010314</v>
      </c>
      <c r="P616">
        <f t="shared" ca="1" si="651"/>
        <v>93.097595422614518</v>
      </c>
      <c r="Q616">
        <f t="shared" ca="1" si="616"/>
        <v>92.859071740930418</v>
      </c>
      <c r="R616">
        <f t="shared" ca="1" si="617"/>
        <v>0</v>
      </c>
      <c r="S616">
        <f t="shared" ca="1" si="618"/>
        <v>0</v>
      </c>
    </row>
    <row r="617" spans="5:19" x14ac:dyDescent="0.75">
      <c r="E617">
        <v>612</v>
      </c>
      <c r="F617">
        <v>100</v>
      </c>
      <c r="G617">
        <f t="shared" ca="1" si="614"/>
        <v>92.57091816772845</v>
      </c>
      <c r="H617">
        <f t="shared" ca="1" si="614"/>
        <v>99.154960971319127</v>
      </c>
      <c r="I617">
        <f t="shared" ca="1" si="614"/>
        <v>100.07866695001118</v>
      </c>
      <c r="J617">
        <f t="shared" ca="1" si="614"/>
        <v>89.083556362794212</v>
      </c>
      <c r="K617">
        <f t="shared" ref="K617:P617" ca="1" si="652">J617*EXP(($C$4-0.5*$C$5^2)*$C$10+$C$5*SQRT($C$10)*NORMINV(RAND(),0,1))</f>
        <v>84.354555216306878</v>
      </c>
      <c r="L617">
        <f t="shared" ca="1" si="652"/>
        <v>84.763925581613819</v>
      </c>
      <c r="M617">
        <f t="shared" ca="1" si="652"/>
        <v>81.297388721262976</v>
      </c>
      <c r="N617">
        <f t="shared" ca="1" si="652"/>
        <v>75.953947115144544</v>
      </c>
      <c r="O617">
        <f t="shared" ca="1" si="652"/>
        <v>79.796316247450136</v>
      </c>
      <c r="P617">
        <f t="shared" ca="1" si="652"/>
        <v>87.298371564493664</v>
      </c>
      <c r="Q617">
        <f t="shared" ca="1" si="616"/>
        <v>88.57750971801137</v>
      </c>
      <c r="R617">
        <f t="shared" ca="1" si="617"/>
        <v>0</v>
      </c>
      <c r="S617">
        <f t="shared" ca="1" si="618"/>
        <v>0</v>
      </c>
    </row>
    <row r="618" spans="5:19" x14ac:dyDescent="0.75">
      <c r="E618">
        <v>613</v>
      </c>
      <c r="F618">
        <v>100</v>
      </c>
      <c r="G618">
        <f t="shared" ca="1" si="614"/>
        <v>99.44368673390882</v>
      </c>
      <c r="H618">
        <f t="shared" ca="1" si="614"/>
        <v>107.74910732825698</v>
      </c>
      <c r="I618">
        <f t="shared" ca="1" si="614"/>
        <v>123.02214809546652</v>
      </c>
      <c r="J618">
        <f t="shared" ca="1" si="614"/>
        <v>122.05040993340941</v>
      </c>
      <c r="K618">
        <f t="shared" ref="K618:P618" ca="1" si="653">J618*EXP(($C$4-0.5*$C$5^2)*$C$10+$C$5*SQRT($C$10)*NORMINV(RAND(),0,1))</f>
        <v>125.71612726244666</v>
      </c>
      <c r="L618">
        <f t="shared" ca="1" si="653"/>
        <v>130.7638595920485</v>
      </c>
      <c r="M618">
        <f t="shared" ca="1" si="653"/>
        <v>140.21290457997321</v>
      </c>
      <c r="N618">
        <f t="shared" ca="1" si="653"/>
        <v>137.53641903799942</v>
      </c>
      <c r="O618">
        <f t="shared" ca="1" si="653"/>
        <v>119.80507556177064</v>
      </c>
      <c r="P618">
        <f t="shared" ca="1" si="653"/>
        <v>122.73343116170959</v>
      </c>
      <c r="Q618">
        <f t="shared" ca="1" si="616"/>
        <v>120.82119720790814</v>
      </c>
      <c r="R618">
        <f t="shared" ca="1" si="617"/>
        <v>20.821197207908142</v>
      </c>
      <c r="S618">
        <f t="shared" ca="1" si="618"/>
        <v>20.408909879849876</v>
      </c>
    </row>
    <row r="619" spans="5:19" x14ac:dyDescent="0.75">
      <c r="E619">
        <v>614</v>
      </c>
      <c r="F619">
        <v>100</v>
      </c>
      <c r="G619">
        <f t="shared" ca="1" si="614"/>
        <v>89.357146629528756</v>
      </c>
      <c r="H619">
        <f t="shared" ca="1" si="614"/>
        <v>89.626358271765639</v>
      </c>
      <c r="I619">
        <f t="shared" ca="1" si="614"/>
        <v>87.151091081743729</v>
      </c>
      <c r="J619">
        <f t="shared" ca="1" si="614"/>
        <v>78.316929593603291</v>
      </c>
      <c r="K619">
        <f t="shared" ref="K619:P619" ca="1" si="654">J619*EXP(($C$4-0.5*$C$5^2)*$C$10+$C$5*SQRT($C$10)*NORMINV(RAND(),0,1))</f>
        <v>75.77055321088416</v>
      </c>
      <c r="L619">
        <f t="shared" ca="1" si="654"/>
        <v>85.02676586905217</v>
      </c>
      <c r="M619">
        <f t="shared" ca="1" si="654"/>
        <v>87.546121707472182</v>
      </c>
      <c r="N619">
        <f t="shared" ca="1" si="654"/>
        <v>93.501356977002374</v>
      </c>
      <c r="O619">
        <f t="shared" ca="1" si="654"/>
        <v>87.510403387007045</v>
      </c>
      <c r="P619">
        <f t="shared" ca="1" si="654"/>
        <v>94.456290686210835</v>
      </c>
      <c r="Q619">
        <f t="shared" ca="1" si="616"/>
        <v>88.023910674024563</v>
      </c>
      <c r="R619">
        <f t="shared" ca="1" si="617"/>
        <v>0</v>
      </c>
      <c r="S619">
        <f t="shared" ca="1" si="618"/>
        <v>0</v>
      </c>
    </row>
    <row r="620" spans="5:19" x14ac:dyDescent="0.75">
      <c r="E620">
        <v>615</v>
      </c>
      <c r="F620">
        <v>100</v>
      </c>
      <c r="G620">
        <f t="shared" ca="1" si="614"/>
        <v>106.61384846604737</v>
      </c>
      <c r="H620">
        <f t="shared" ca="1" si="614"/>
        <v>105.00852596808855</v>
      </c>
      <c r="I620">
        <f t="shared" ca="1" si="614"/>
        <v>105.44710717598704</v>
      </c>
      <c r="J620">
        <f t="shared" ca="1" si="614"/>
        <v>99.398441536165549</v>
      </c>
      <c r="K620">
        <f t="shared" ref="K620:P620" ca="1" si="655">J620*EXP(($C$4-0.5*$C$5^2)*$C$10+$C$5*SQRT($C$10)*NORMINV(RAND(),0,1))</f>
        <v>99.801771691476858</v>
      </c>
      <c r="L620">
        <f t="shared" ca="1" si="655"/>
        <v>95.673456687305659</v>
      </c>
      <c r="M620">
        <f t="shared" ca="1" si="655"/>
        <v>92.919811894126425</v>
      </c>
      <c r="N620">
        <f t="shared" ca="1" si="655"/>
        <v>101.21532150891093</v>
      </c>
      <c r="O620">
        <f t="shared" ca="1" si="655"/>
        <v>97.956360752812188</v>
      </c>
      <c r="P620">
        <f t="shared" ca="1" si="655"/>
        <v>91.772710095217889</v>
      </c>
      <c r="Q620">
        <f t="shared" ca="1" si="616"/>
        <v>99.618850525103511</v>
      </c>
      <c r="R620">
        <f t="shared" ca="1" si="617"/>
        <v>0</v>
      </c>
      <c r="S620">
        <f t="shared" ca="1" si="618"/>
        <v>0</v>
      </c>
    </row>
    <row r="621" spans="5:19" x14ac:dyDescent="0.75">
      <c r="E621">
        <v>616</v>
      </c>
      <c r="F621">
        <v>100</v>
      </c>
      <c r="G621">
        <f t="shared" ca="1" si="614"/>
        <v>87.453154032388071</v>
      </c>
      <c r="H621">
        <f t="shared" ca="1" si="614"/>
        <v>74.790910823191069</v>
      </c>
      <c r="I621">
        <f t="shared" ca="1" si="614"/>
        <v>70.360438104489049</v>
      </c>
      <c r="J621">
        <f t="shared" ca="1" si="614"/>
        <v>65.221999491128884</v>
      </c>
      <c r="K621">
        <f t="shared" ref="K621:P621" ca="1" si="656">J621*EXP(($C$4-0.5*$C$5^2)*$C$10+$C$5*SQRT($C$10)*NORMINV(RAND(),0,1))</f>
        <v>77.955701993906089</v>
      </c>
      <c r="L621">
        <f t="shared" ca="1" si="656"/>
        <v>83.933201933259568</v>
      </c>
      <c r="M621">
        <f t="shared" ca="1" si="656"/>
        <v>82.808756441807432</v>
      </c>
      <c r="N621">
        <f t="shared" ca="1" si="656"/>
        <v>74.345755425806161</v>
      </c>
      <c r="O621">
        <f t="shared" ca="1" si="656"/>
        <v>74.108795153965659</v>
      </c>
      <c r="P621">
        <f t="shared" ca="1" si="656"/>
        <v>71.787323721300581</v>
      </c>
      <c r="Q621">
        <f t="shared" ca="1" si="616"/>
        <v>78.433276101931142</v>
      </c>
      <c r="R621">
        <f t="shared" ca="1" si="617"/>
        <v>0</v>
      </c>
      <c r="S621">
        <f t="shared" ca="1" si="618"/>
        <v>0</v>
      </c>
    </row>
    <row r="622" spans="5:19" x14ac:dyDescent="0.75">
      <c r="E622">
        <v>617</v>
      </c>
      <c r="F622">
        <v>100</v>
      </c>
      <c r="G622">
        <f t="shared" ca="1" si="614"/>
        <v>93.640819940393925</v>
      </c>
      <c r="H622">
        <f t="shared" ca="1" si="614"/>
        <v>86.628402887734495</v>
      </c>
      <c r="I622">
        <f t="shared" ca="1" si="614"/>
        <v>90.452538032643361</v>
      </c>
      <c r="J622">
        <f t="shared" ca="1" si="614"/>
        <v>84.153841320370944</v>
      </c>
      <c r="K622">
        <f t="shared" ref="K622:P622" ca="1" si="657">J622*EXP(($C$4-0.5*$C$5^2)*$C$10+$C$5*SQRT($C$10)*NORMINV(RAND(),0,1))</f>
        <v>84.679261924896124</v>
      </c>
      <c r="L622">
        <f t="shared" ca="1" si="657"/>
        <v>92.648822537893395</v>
      </c>
      <c r="M622">
        <f t="shared" ca="1" si="657"/>
        <v>93.152170761185857</v>
      </c>
      <c r="N622">
        <f t="shared" ca="1" si="657"/>
        <v>92.073344369401468</v>
      </c>
      <c r="O622">
        <f t="shared" ca="1" si="657"/>
        <v>89.4544714290613</v>
      </c>
      <c r="P622">
        <f t="shared" ca="1" si="657"/>
        <v>93.512935192176698</v>
      </c>
      <c r="Q622">
        <f t="shared" ca="1" si="616"/>
        <v>90.945146217796136</v>
      </c>
      <c r="R622">
        <f t="shared" ca="1" si="617"/>
        <v>0</v>
      </c>
      <c r="S622">
        <f t="shared" ca="1" si="618"/>
        <v>0</v>
      </c>
    </row>
    <row r="623" spans="5:19" x14ac:dyDescent="0.75">
      <c r="E623">
        <v>618</v>
      </c>
      <c r="F623">
        <v>100</v>
      </c>
      <c r="G623">
        <f t="shared" ca="1" si="614"/>
        <v>90.106128916805062</v>
      </c>
      <c r="H623">
        <f t="shared" ca="1" si="614"/>
        <v>94.568401950678378</v>
      </c>
      <c r="I623">
        <f t="shared" ca="1" si="614"/>
        <v>90.038703676050304</v>
      </c>
      <c r="J623">
        <f t="shared" ca="1" si="614"/>
        <v>89.195190277850486</v>
      </c>
      <c r="K623">
        <f t="shared" ref="K623:P623" ca="1" si="658">J623*EXP(($C$4-0.5*$C$5^2)*$C$10+$C$5*SQRT($C$10)*NORMINV(RAND(),0,1))</f>
        <v>93.650362089748555</v>
      </c>
      <c r="L623">
        <f t="shared" ca="1" si="658"/>
        <v>93.460680303441222</v>
      </c>
      <c r="M623">
        <f t="shared" ca="1" si="658"/>
        <v>102.51834300076887</v>
      </c>
      <c r="N623">
        <f t="shared" ca="1" si="658"/>
        <v>105.26295779115966</v>
      </c>
      <c r="O623">
        <f t="shared" ca="1" si="658"/>
        <v>115.35013764025766</v>
      </c>
      <c r="P623">
        <f t="shared" ca="1" si="658"/>
        <v>120.3573539298549</v>
      </c>
      <c r="Q623">
        <f t="shared" ca="1" si="616"/>
        <v>99.500750870601365</v>
      </c>
      <c r="R623">
        <f t="shared" ca="1" si="617"/>
        <v>0</v>
      </c>
      <c r="S623">
        <f t="shared" ca="1" si="618"/>
        <v>0</v>
      </c>
    </row>
    <row r="624" spans="5:19" x14ac:dyDescent="0.75">
      <c r="E624">
        <v>619</v>
      </c>
      <c r="F624">
        <v>100</v>
      </c>
      <c r="G624">
        <f t="shared" ca="1" si="614"/>
        <v>116.0806730509675</v>
      </c>
      <c r="H624">
        <f t="shared" ca="1" si="614"/>
        <v>125.37273971576585</v>
      </c>
      <c r="I624">
        <f t="shared" ca="1" si="614"/>
        <v>115.99434131710662</v>
      </c>
      <c r="J624">
        <f t="shared" ca="1" si="614"/>
        <v>113.89882246390894</v>
      </c>
      <c r="K624">
        <f t="shared" ref="K624:P624" ca="1" si="659">J624*EXP(($C$4-0.5*$C$5^2)*$C$10+$C$5*SQRT($C$10)*NORMINV(RAND(),0,1))</f>
        <v>116.31063632665678</v>
      </c>
      <c r="L624">
        <f t="shared" ca="1" si="659"/>
        <v>111.58006273879417</v>
      </c>
      <c r="M624">
        <f t="shared" ca="1" si="659"/>
        <v>94.99075277110903</v>
      </c>
      <c r="N624">
        <f t="shared" ca="1" si="659"/>
        <v>97.063629462920062</v>
      </c>
      <c r="O624">
        <f t="shared" ca="1" si="659"/>
        <v>98.301998778621126</v>
      </c>
      <c r="P624">
        <f t="shared" ca="1" si="659"/>
        <v>100.25039101112722</v>
      </c>
      <c r="Q624">
        <f t="shared" ca="1" si="616"/>
        <v>108.16764069427064</v>
      </c>
      <c r="R624">
        <f t="shared" ca="1" si="617"/>
        <v>8.167640694270645</v>
      </c>
      <c r="S624">
        <f t="shared" ca="1" si="618"/>
        <v>8.0059105725703521</v>
      </c>
    </row>
    <row r="625" spans="5:19" x14ac:dyDescent="0.75">
      <c r="E625">
        <v>620</v>
      </c>
      <c r="F625">
        <v>100</v>
      </c>
      <c r="G625">
        <f t="shared" ca="1" si="614"/>
        <v>103.39621708678924</v>
      </c>
      <c r="H625">
        <f t="shared" ca="1" si="614"/>
        <v>109.78520142938126</v>
      </c>
      <c r="I625">
        <f t="shared" ca="1" si="614"/>
        <v>109.55900093111619</v>
      </c>
      <c r="J625">
        <f t="shared" ca="1" si="614"/>
        <v>108.42346278840141</v>
      </c>
      <c r="K625">
        <f t="shared" ref="K625:P625" ca="1" si="660">J625*EXP(($C$4-0.5*$C$5^2)*$C$10+$C$5*SQRT($C$10)*NORMINV(RAND(),0,1))</f>
        <v>96.360309523915305</v>
      </c>
      <c r="L625">
        <f t="shared" ca="1" si="660"/>
        <v>104.72623868637025</v>
      </c>
      <c r="M625">
        <f t="shared" ca="1" si="660"/>
        <v>93.768987589003387</v>
      </c>
      <c r="N625">
        <f t="shared" ca="1" si="660"/>
        <v>87.020724855523113</v>
      </c>
      <c r="O625">
        <f t="shared" ca="1" si="660"/>
        <v>91.681802640836949</v>
      </c>
      <c r="P625">
        <f t="shared" ca="1" si="660"/>
        <v>97.442850694604857</v>
      </c>
      <c r="Q625">
        <f t="shared" ca="1" si="616"/>
        <v>100.19679965690381</v>
      </c>
      <c r="R625">
        <f t="shared" ca="1" si="617"/>
        <v>0.19679965690380641</v>
      </c>
      <c r="S625">
        <f t="shared" ca="1" si="618"/>
        <v>0.19290276260433567</v>
      </c>
    </row>
    <row r="626" spans="5:19" x14ac:dyDescent="0.75">
      <c r="E626">
        <v>621</v>
      </c>
      <c r="F626">
        <v>100</v>
      </c>
      <c r="G626">
        <f t="shared" ca="1" si="614"/>
        <v>103.46426790337668</v>
      </c>
      <c r="H626">
        <f t="shared" ca="1" si="614"/>
        <v>97.233829846472872</v>
      </c>
      <c r="I626">
        <f t="shared" ca="1" si="614"/>
        <v>103.94369822282866</v>
      </c>
      <c r="J626">
        <f t="shared" ca="1" si="614"/>
        <v>102.68439185684001</v>
      </c>
      <c r="K626">
        <f t="shared" ref="K626:P626" ca="1" si="661">J626*EXP(($C$4-0.5*$C$5^2)*$C$10+$C$5*SQRT($C$10)*NORMINV(RAND(),0,1))</f>
        <v>99.72961045918116</v>
      </c>
      <c r="L626">
        <f t="shared" ca="1" si="661"/>
        <v>101.18224072814824</v>
      </c>
      <c r="M626">
        <f t="shared" ca="1" si="661"/>
        <v>100.88580485826817</v>
      </c>
      <c r="N626">
        <f t="shared" ca="1" si="661"/>
        <v>97.326857299765393</v>
      </c>
      <c r="O626">
        <f t="shared" ca="1" si="661"/>
        <v>96.604826357549001</v>
      </c>
      <c r="P626">
        <f t="shared" ca="1" si="661"/>
        <v>94.322483299786157</v>
      </c>
      <c r="Q626">
        <f t="shared" ca="1" si="616"/>
        <v>99.761637348383317</v>
      </c>
      <c r="R626">
        <f t="shared" ca="1" si="617"/>
        <v>0</v>
      </c>
      <c r="S626">
        <f t="shared" ca="1" si="618"/>
        <v>0</v>
      </c>
    </row>
    <row r="627" spans="5:19" x14ac:dyDescent="0.75">
      <c r="E627">
        <v>622</v>
      </c>
      <c r="F627">
        <v>100</v>
      </c>
      <c r="G627">
        <f t="shared" ca="1" si="614"/>
        <v>91.600876927820579</v>
      </c>
      <c r="H627">
        <f t="shared" ca="1" si="614"/>
        <v>89.740669779560832</v>
      </c>
      <c r="I627">
        <f t="shared" ca="1" si="614"/>
        <v>95.475705632506873</v>
      </c>
      <c r="J627">
        <f t="shared" ca="1" si="614"/>
        <v>104.56270474956378</v>
      </c>
      <c r="K627">
        <f t="shared" ref="K627:P627" ca="1" si="662">J627*EXP(($C$4-0.5*$C$5^2)*$C$10+$C$5*SQRT($C$10)*NORMINV(RAND(),0,1))</f>
        <v>117.28252719535952</v>
      </c>
      <c r="L627">
        <f t="shared" ca="1" si="662"/>
        <v>111.16275187248523</v>
      </c>
      <c r="M627">
        <f t="shared" ca="1" si="662"/>
        <v>106.63114652497426</v>
      </c>
      <c r="N627">
        <f t="shared" ca="1" si="662"/>
        <v>101.83178608383307</v>
      </c>
      <c r="O627">
        <f t="shared" ca="1" si="662"/>
        <v>106.62512900972952</v>
      </c>
      <c r="P627">
        <f t="shared" ca="1" si="662"/>
        <v>97.760868680430789</v>
      </c>
      <c r="Q627">
        <f t="shared" ca="1" si="616"/>
        <v>102.06128785966042</v>
      </c>
      <c r="R627">
        <f t="shared" ca="1" si="617"/>
        <v>2.0612878596604247</v>
      </c>
      <c r="S627">
        <f t="shared" ca="1" si="618"/>
        <v>2.0204716253424695</v>
      </c>
    </row>
    <row r="628" spans="5:19" x14ac:dyDescent="0.75">
      <c r="E628">
        <v>623</v>
      </c>
      <c r="F628">
        <v>100</v>
      </c>
      <c r="G628">
        <f t="shared" ca="1" si="614"/>
        <v>115.55612366135904</v>
      </c>
      <c r="H628">
        <f t="shared" ca="1" si="614"/>
        <v>116.80970472486652</v>
      </c>
      <c r="I628">
        <f t="shared" ca="1" si="614"/>
        <v>117.3739760114991</v>
      </c>
      <c r="J628">
        <f t="shared" ca="1" si="614"/>
        <v>121.73211162980796</v>
      </c>
      <c r="K628">
        <f t="shared" ref="K628:P628" ca="1" si="663">J628*EXP(($C$4-0.5*$C$5^2)*$C$10+$C$5*SQRT($C$10)*NORMINV(RAND(),0,1))</f>
        <v>107.55319311590416</v>
      </c>
      <c r="L628">
        <f t="shared" ca="1" si="663"/>
        <v>91.810527594470571</v>
      </c>
      <c r="M628">
        <f t="shared" ca="1" si="663"/>
        <v>88.73513365029055</v>
      </c>
      <c r="N628">
        <f t="shared" ca="1" si="663"/>
        <v>92.507008544351777</v>
      </c>
      <c r="O628">
        <f t="shared" ca="1" si="663"/>
        <v>95.034926561565271</v>
      </c>
      <c r="P628">
        <f t="shared" ca="1" si="663"/>
        <v>99.392265057956052</v>
      </c>
      <c r="Q628">
        <f t="shared" ca="1" si="616"/>
        <v>104.22772459564284</v>
      </c>
      <c r="R628">
        <f t="shared" ca="1" si="617"/>
        <v>4.2277245956428402</v>
      </c>
      <c r="S628">
        <f t="shared" ca="1" si="618"/>
        <v>4.1440100397554502</v>
      </c>
    </row>
    <row r="629" spans="5:19" x14ac:dyDescent="0.75">
      <c r="E629">
        <v>624</v>
      </c>
      <c r="F629">
        <v>100</v>
      </c>
      <c r="G629">
        <f t="shared" ca="1" si="614"/>
        <v>93.67145516341229</v>
      </c>
      <c r="H629">
        <f t="shared" ca="1" si="614"/>
        <v>98.658994202593178</v>
      </c>
      <c r="I629">
        <f t="shared" ca="1" si="614"/>
        <v>103.92557360078592</v>
      </c>
      <c r="J629">
        <f t="shared" ca="1" si="614"/>
        <v>99.024028589612712</v>
      </c>
      <c r="K629">
        <f t="shared" ref="K629:P629" ca="1" si="664">J629*EXP(($C$4-0.5*$C$5^2)*$C$10+$C$5*SQRT($C$10)*NORMINV(RAND(),0,1))</f>
        <v>103.18383893027058</v>
      </c>
      <c r="L629">
        <f t="shared" ca="1" si="664"/>
        <v>103.23409953395854</v>
      </c>
      <c r="M629">
        <f t="shared" ca="1" si="664"/>
        <v>102.6361977904163</v>
      </c>
      <c r="N629">
        <f t="shared" ca="1" si="664"/>
        <v>100.82610980469775</v>
      </c>
      <c r="O629">
        <f t="shared" ca="1" si="664"/>
        <v>97.898839293887846</v>
      </c>
      <c r="P629">
        <f t="shared" ca="1" si="664"/>
        <v>92.884048629312915</v>
      </c>
      <c r="Q629">
        <f t="shared" ca="1" si="616"/>
        <v>99.63119868535891</v>
      </c>
      <c r="R629">
        <f t="shared" ca="1" si="617"/>
        <v>0</v>
      </c>
      <c r="S629">
        <f t="shared" ca="1" si="618"/>
        <v>0</v>
      </c>
    </row>
    <row r="630" spans="5:19" x14ac:dyDescent="0.75">
      <c r="E630">
        <v>625</v>
      </c>
      <c r="F630">
        <v>100</v>
      </c>
      <c r="G630">
        <f t="shared" ca="1" si="614"/>
        <v>107.60374453970228</v>
      </c>
      <c r="H630">
        <f t="shared" ca="1" si="614"/>
        <v>121.63844693456235</v>
      </c>
      <c r="I630">
        <f t="shared" ca="1" si="614"/>
        <v>117.94518569377141</v>
      </c>
      <c r="J630">
        <f t="shared" ca="1" si="614"/>
        <v>121.57037399675865</v>
      </c>
      <c r="K630">
        <f t="shared" ref="K630:P630" ca="1" si="665">J630*EXP(($C$4-0.5*$C$5^2)*$C$10+$C$5*SQRT($C$10)*NORMINV(RAND(),0,1))</f>
        <v>117.99822334268165</v>
      </c>
      <c r="L630">
        <f t="shared" ca="1" si="665"/>
        <v>106.1584432380435</v>
      </c>
      <c r="M630">
        <f t="shared" ca="1" si="665"/>
        <v>109.23815198645195</v>
      </c>
      <c r="N630">
        <f t="shared" ca="1" si="665"/>
        <v>115.53158661934465</v>
      </c>
      <c r="O630">
        <f t="shared" ca="1" si="665"/>
        <v>119.85036544824267</v>
      </c>
      <c r="P630">
        <f t="shared" ca="1" si="665"/>
        <v>116.77789297083496</v>
      </c>
      <c r="Q630">
        <f t="shared" ca="1" si="616"/>
        <v>114.0284013427631</v>
      </c>
      <c r="R630">
        <f t="shared" ca="1" si="617"/>
        <v>14.028401342763104</v>
      </c>
      <c r="S630">
        <f t="shared" ca="1" si="618"/>
        <v>13.750620384791098</v>
      </c>
    </row>
    <row r="631" spans="5:19" x14ac:dyDescent="0.75">
      <c r="E631">
        <v>626</v>
      </c>
      <c r="F631">
        <v>100</v>
      </c>
      <c r="G631">
        <f t="shared" ca="1" si="614"/>
        <v>110.90398446434764</v>
      </c>
      <c r="H631">
        <f t="shared" ca="1" si="614"/>
        <v>115.42146682415753</v>
      </c>
      <c r="I631">
        <f t="shared" ca="1" si="614"/>
        <v>125.28242117670975</v>
      </c>
      <c r="J631">
        <f t="shared" ca="1" si="614"/>
        <v>118.73410684714977</v>
      </c>
      <c r="K631">
        <f t="shared" ref="K631:P631" ca="1" si="666">J631*EXP(($C$4-0.5*$C$5^2)*$C$10+$C$5*SQRT($C$10)*NORMINV(RAND(),0,1))</f>
        <v>125.68928541893226</v>
      </c>
      <c r="L631">
        <f t="shared" ca="1" si="666"/>
        <v>121.02397560937254</v>
      </c>
      <c r="M631">
        <f t="shared" ca="1" si="666"/>
        <v>113.06492666710156</v>
      </c>
      <c r="N631">
        <f t="shared" ca="1" si="666"/>
        <v>107.78449277057189</v>
      </c>
      <c r="O631">
        <f t="shared" ca="1" si="666"/>
        <v>106.91546154260594</v>
      </c>
      <c r="P631">
        <f t="shared" ca="1" si="666"/>
        <v>111.71477652729378</v>
      </c>
      <c r="Q631">
        <f t="shared" ca="1" si="616"/>
        <v>114.23044525893116</v>
      </c>
      <c r="R631">
        <f t="shared" ca="1" si="617"/>
        <v>14.230445258931155</v>
      </c>
      <c r="S631">
        <f t="shared" ca="1" si="618"/>
        <v>13.948663563368724</v>
      </c>
    </row>
    <row r="632" spans="5:19" x14ac:dyDescent="0.75">
      <c r="E632">
        <v>627</v>
      </c>
      <c r="F632">
        <v>100</v>
      </c>
      <c r="G632">
        <f t="shared" ca="1" si="614"/>
        <v>102.86234309454882</v>
      </c>
      <c r="H632">
        <f t="shared" ca="1" si="614"/>
        <v>104.58863804531721</v>
      </c>
      <c r="I632">
        <f t="shared" ca="1" si="614"/>
        <v>112.80704243066896</v>
      </c>
      <c r="J632">
        <f t="shared" ca="1" si="614"/>
        <v>117.19804314557851</v>
      </c>
      <c r="K632">
        <f t="shared" ref="K632:P632" ca="1" si="667">J632*EXP(($C$4-0.5*$C$5^2)*$C$10+$C$5*SQRT($C$10)*NORMINV(RAND(),0,1))</f>
        <v>120.89462503309174</v>
      </c>
      <c r="L632">
        <f t="shared" ca="1" si="667"/>
        <v>115.69444359500237</v>
      </c>
      <c r="M632">
        <f t="shared" ca="1" si="667"/>
        <v>97.568710825219384</v>
      </c>
      <c r="N632">
        <f t="shared" ca="1" si="667"/>
        <v>85.242396157030669</v>
      </c>
      <c r="O632">
        <f t="shared" ca="1" si="667"/>
        <v>94.245550509274267</v>
      </c>
      <c r="P632">
        <f t="shared" ca="1" si="667"/>
        <v>94.776772838553683</v>
      </c>
      <c r="Q632">
        <f t="shared" ca="1" si="616"/>
        <v>104.17077869766231</v>
      </c>
      <c r="R632">
        <f t="shared" ca="1" si="617"/>
        <v>4.170778697662314</v>
      </c>
      <c r="S632">
        <f t="shared" ca="1" si="618"/>
        <v>4.0881917461046768</v>
      </c>
    </row>
    <row r="633" spans="5:19" x14ac:dyDescent="0.75">
      <c r="E633">
        <v>628</v>
      </c>
      <c r="F633">
        <v>100</v>
      </c>
      <c r="G633">
        <f t="shared" ca="1" si="614"/>
        <v>97.280548831309318</v>
      </c>
      <c r="H633">
        <f t="shared" ca="1" si="614"/>
        <v>96.061994821589124</v>
      </c>
      <c r="I633">
        <f t="shared" ca="1" si="614"/>
        <v>93.402724345774899</v>
      </c>
      <c r="J633">
        <f t="shared" ca="1" si="614"/>
        <v>102.54752890622319</v>
      </c>
      <c r="K633">
        <f t="shared" ref="K633:P633" ca="1" si="668">J633*EXP(($C$4-0.5*$C$5^2)*$C$10+$C$5*SQRT($C$10)*NORMINV(RAND(),0,1))</f>
        <v>115.5388825450201</v>
      </c>
      <c r="L633">
        <f t="shared" ca="1" si="668"/>
        <v>110.49661358553566</v>
      </c>
      <c r="M633">
        <f t="shared" ca="1" si="668"/>
        <v>99.033913122053704</v>
      </c>
      <c r="N633">
        <f t="shared" ca="1" si="668"/>
        <v>114.05472447849137</v>
      </c>
      <c r="O633">
        <f t="shared" ca="1" si="668"/>
        <v>127.53040822972105</v>
      </c>
      <c r="P633">
        <f t="shared" ca="1" si="668"/>
        <v>123.99734970662155</v>
      </c>
      <c r="Q633">
        <f t="shared" ca="1" si="616"/>
        <v>107.26769896112182</v>
      </c>
      <c r="R633">
        <f t="shared" ca="1" si="617"/>
        <v>7.2676989611218232</v>
      </c>
      <c r="S633">
        <f t="shared" ca="1" si="618"/>
        <v>7.1237888796844944</v>
      </c>
    </row>
    <row r="634" spans="5:19" x14ac:dyDescent="0.75">
      <c r="E634">
        <v>629</v>
      </c>
      <c r="F634">
        <v>100</v>
      </c>
      <c r="G634">
        <f t="shared" ca="1" si="614"/>
        <v>99.377189228291257</v>
      </c>
      <c r="H634">
        <f t="shared" ca="1" si="614"/>
        <v>104.68126450498704</v>
      </c>
      <c r="I634">
        <f t="shared" ca="1" si="614"/>
        <v>95.748456550711083</v>
      </c>
      <c r="J634">
        <f t="shared" ca="1" si="614"/>
        <v>83.355658157926513</v>
      </c>
      <c r="K634">
        <f t="shared" ref="K634:P634" ca="1" si="669">J634*EXP(($C$4-0.5*$C$5^2)*$C$10+$C$5*SQRT($C$10)*NORMINV(RAND(),0,1))</f>
        <v>81.949011550985887</v>
      </c>
      <c r="L634">
        <f t="shared" ca="1" si="669"/>
        <v>80.443095054061118</v>
      </c>
      <c r="M634">
        <f t="shared" ca="1" si="669"/>
        <v>84.255483850386184</v>
      </c>
      <c r="N634">
        <f t="shared" ca="1" si="669"/>
        <v>81.846124999589563</v>
      </c>
      <c r="O634">
        <f t="shared" ca="1" si="669"/>
        <v>78.449845467509917</v>
      </c>
      <c r="P634">
        <f t="shared" ca="1" si="669"/>
        <v>81.009767874841856</v>
      </c>
      <c r="Q634">
        <f t="shared" ca="1" si="616"/>
        <v>88.283263385390043</v>
      </c>
      <c r="R634">
        <f t="shared" ca="1" si="617"/>
        <v>0</v>
      </c>
      <c r="S634">
        <f t="shared" ca="1" si="618"/>
        <v>0</v>
      </c>
    </row>
    <row r="635" spans="5:19" x14ac:dyDescent="0.75">
      <c r="E635">
        <v>630</v>
      </c>
      <c r="F635">
        <v>100</v>
      </c>
      <c r="G635">
        <f t="shared" ca="1" si="614"/>
        <v>98.987298936297819</v>
      </c>
      <c r="H635">
        <f t="shared" ca="1" si="614"/>
        <v>95.397247196797665</v>
      </c>
      <c r="I635">
        <f t="shared" ca="1" si="614"/>
        <v>78.854054472413964</v>
      </c>
      <c r="J635">
        <f t="shared" ca="1" si="614"/>
        <v>84.123771333116721</v>
      </c>
      <c r="K635">
        <f t="shared" ref="K635:P635" ca="1" si="670">J635*EXP(($C$4-0.5*$C$5^2)*$C$10+$C$5*SQRT($C$10)*NORMINV(RAND(),0,1))</f>
        <v>96.415914639010552</v>
      </c>
      <c r="L635">
        <f t="shared" ca="1" si="670"/>
        <v>100.02450187657506</v>
      </c>
      <c r="M635">
        <f t="shared" ca="1" si="670"/>
        <v>99.930657543695517</v>
      </c>
      <c r="N635">
        <f t="shared" ca="1" si="670"/>
        <v>99.396703685138107</v>
      </c>
      <c r="O635">
        <f t="shared" ca="1" si="670"/>
        <v>93.798157442981051</v>
      </c>
      <c r="P635">
        <f t="shared" ca="1" si="670"/>
        <v>90.279424290553337</v>
      </c>
      <c r="Q635">
        <f t="shared" ca="1" si="616"/>
        <v>94.291611946961794</v>
      </c>
      <c r="R635">
        <f t="shared" ca="1" si="617"/>
        <v>0</v>
      </c>
      <c r="S635">
        <f t="shared" ca="1" si="618"/>
        <v>0</v>
      </c>
    </row>
    <row r="636" spans="5:19" x14ac:dyDescent="0.75">
      <c r="E636">
        <v>631</v>
      </c>
      <c r="F636">
        <v>100</v>
      </c>
      <c r="G636">
        <f t="shared" ca="1" si="614"/>
        <v>97.225922306422831</v>
      </c>
      <c r="H636">
        <f t="shared" ca="1" si="614"/>
        <v>96.224922937101866</v>
      </c>
      <c r="I636">
        <f t="shared" ca="1" si="614"/>
        <v>98.338517363569565</v>
      </c>
      <c r="J636">
        <f t="shared" ca="1" si="614"/>
        <v>99.000174137913319</v>
      </c>
      <c r="K636">
        <f t="shared" ref="K636:P636" ca="1" si="671">J636*EXP(($C$4-0.5*$C$5^2)*$C$10+$C$5*SQRT($C$10)*NORMINV(RAND(),0,1))</f>
        <v>104.12501808730636</v>
      </c>
      <c r="L636">
        <f t="shared" ca="1" si="671"/>
        <v>99.940482080070112</v>
      </c>
      <c r="M636">
        <f t="shared" ca="1" si="671"/>
        <v>99.052779482932394</v>
      </c>
      <c r="N636">
        <f t="shared" ca="1" si="671"/>
        <v>104.90313051511816</v>
      </c>
      <c r="O636">
        <f t="shared" ca="1" si="671"/>
        <v>104.82028885566052</v>
      </c>
      <c r="P636">
        <f t="shared" ca="1" si="671"/>
        <v>108.98607015721309</v>
      </c>
      <c r="Q636">
        <f t="shared" ca="1" si="616"/>
        <v>101.14702781120982</v>
      </c>
      <c r="R636">
        <f t="shared" ca="1" si="617"/>
        <v>1.1470278112098242</v>
      </c>
      <c r="S636">
        <f t="shared" ca="1" si="618"/>
        <v>1.1243151387938211</v>
      </c>
    </row>
    <row r="637" spans="5:19" x14ac:dyDescent="0.75">
      <c r="E637">
        <v>632</v>
      </c>
      <c r="F637">
        <v>100</v>
      </c>
      <c r="G637">
        <f t="shared" ca="1" si="614"/>
        <v>93.70828050449775</v>
      </c>
      <c r="H637">
        <f t="shared" ca="1" si="614"/>
        <v>96.264622907244615</v>
      </c>
      <c r="I637">
        <f t="shared" ca="1" si="614"/>
        <v>96.964583117315996</v>
      </c>
      <c r="J637">
        <f t="shared" ca="1" si="614"/>
        <v>99.787401607024805</v>
      </c>
      <c r="K637">
        <f t="shared" ref="K637:P637" ca="1" si="672">J637*EXP(($C$4-0.5*$C$5^2)*$C$10+$C$5*SQRT($C$10)*NORMINV(RAND(),0,1))</f>
        <v>93.581860508183112</v>
      </c>
      <c r="L637">
        <f t="shared" ca="1" si="672"/>
        <v>89.262260016207918</v>
      </c>
      <c r="M637">
        <f t="shared" ca="1" si="672"/>
        <v>91.698058764698985</v>
      </c>
      <c r="N637">
        <f t="shared" ca="1" si="672"/>
        <v>97.074239700203194</v>
      </c>
      <c r="O637">
        <f t="shared" ca="1" si="672"/>
        <v>100.12780313337309</v>
      </c>
      <c r="P637">
        <f t="shared" ca="1" si="672"/>
        <v>99.180723871297531</v>
      </c>
      <c r="Q637">
        <f t="shared" ca="1" si="616"/>
        <v>96.149984920913354</v>
      </c>
      <c r="R637">
        <f t="shared" ca="1" si="617"/>
        <v>0</v>
      </c>
      <c r="S637">
        <f t="shared" ca="1" si="618"/>
        <v>0</v>
      </c>
    </row>
    <row r="638" spans="5:19" x14ac:dyDescent="0.75">
      <c r="E638">
        <v>633</v>
      </c>
      <c r="F638">
        <v>100</v>
      </c>
      <c r="G638">
        <f t="shared" ca="1" si="614"/>
        <v>96.672205853290706</v>
      </c>
      <c r="H638">
        <f t="shared" ca="1" si="614"/>
        <v>94.040965325811484</v>
      </c>
      <c r="I638">
        <f t="shared" ca="1" si="614"/>
        <v>101.39157367796126</v>
      </c>
      <c r="J638">
        <f t="shared" ca="1" si="614"/>
        <v>111.11613324346365</v>
      </c>
      <c r="K638">
        <f t="shared" ref="K638:P638" ca="1" si="673">J638*EXP(($C$4-0.5*$C$5^2)*$C$10+$C$5*SQRT($C$10)*NORMINV(RAND(),0,1))</f>
        <v>114.07654423933272</v>
      </c>
      <c r="L638">
        <f t="shared" ca="1" si="673"/>
        <v>116.22990962121844</v>
      </c>
      <c r="M638">
        <f t="shared" ca="1" si="673"/>
        <v>130.33866237819836</v>
      </c>
      <c r="N638">
        <f t="shared" ca="1" si="673"/>
        <v>124.43930879900458</v>
      </c>
      <c r="O638">
        <f t="shared" ca="1" si="673"/>
        <v>127.87872455485528</v>
      </c>
      <c r="P638">
        <f t="shared" ca="1" si="673"/>
        <v>136.41882868253182</v>
      </c>
      <c r="Q638">
        <f t="shared" ca="1" si="616"/>
        <v>113.87298694324258</v>
      </c>
      <c r="R638">
        <f t="shared" ca="1" si="617"/>
        <v>13.87298694324258</v>
      </c>
      <c r="S638">
        <f t="shared" ca="1" si="618"/>
        <v>13.598283396568315</v>
      </c>
    </row>
    <row r="639" spans="5:19" x14ac:dyDescent="0.75">
      <c r="E639">
        <v>634</v>
      </c>
      <c r="F639">
        <v>100</v>
      </c>
      <c r="G639">
        <f t="shared" ca="1" si="614"/>
        <v>94.137015925303501</v>
      </c>
      <c r="H639">
        <f t="shared" ca="1" si="614"/>
        <v>92.234021526539053</v>
      </c>
      <c r="I639">
        <f t="shared" ca="1" si="614"/>
        <v>89.950057749822363</v>
      </c>
      <c r="J639">
        <f t="shared" ca="1" si="614"/>
        <v>90.299456347603623</v>
      </c>
      <c r="K639">
        <f t="shared" ref="K639:P639" ca="1" si="674">J639*EXP(($C$4-0.5*$C$5^2)*$C$10+$C$5*SQRT($C$10)*NORMINV(RAND(),0,1))</f>
        <v>90.188893172772708</v>
      </c>
      <c r="L639">
        <f t="shared" ca="1" si="674"/>
        <v>91.712474684161009</v>
      </c>
      <c r="M639">
        <f t="shared" ca="1" si="674"/>
        <v>96.880331684211129</v>
      </c>
      <c r="N639">
        <f t="shared" ca="1" si="674"/>
        <v>107.06989764738825</v>
      </c>
      <c r="O639">
        <f t="shared" ca="1" si="674"/>
        <v>101.78746352178111</v>
      </c>
      <c r="P639">
        <f t="shared" ca="1" si="674"/>
        <v>105.51034235154737</v>
      </c>
      <c r="Q639">
        <f t="shared" ca="1" si="616"/>
        <v>96.342723146466355</v>
      </c>
      <c r="R639">
        <f t="shared" ca="1" si="617"/>
        <v>0</v>
      </c>
      <c r="S639">
        <f t="shared" ca="1" si="618"/>
        <v>0</v>
      </c>
    </row>
    <row r="640" spans="5:19" x14ac:dyDescent="0.75">
      <c r="E640">
        <v>635</v>
      </c>
      <c r="F640">
        <v>100</v>
      </c>
      <c r="G640">
        <f t="shared" ca="1" si="614"/>
        <v>101.71487844390208</v>
      </c>
      <c r="H640">
        <f t="shared" ca="1" si="614"/>
        <v>101.57265246782679</v>
      </c>
      <c r="I640">
        <f t="shared" ca="1" si="614"/>
        <v>87.898086100097203</v>
      </c>
      <c r="J640">
        <f t="shared" ca="1" si="614"/>
        <v>100.83960023792082</v>
      </c>
      <c r="K640">
        <f t="shared" ref="K640:P640" ca="1" si="675">J640*EXP(($C$4-0.5*$C$5^2)*$C$10+$C$5*SQRT($C$10)*NORMINV(RAND(),0,1))</f>
        <v>99.950764825111094</v>
      </c>
      <c r="L640">
        <f t="shared" ca="1" si="675"/>
        <v>103.98120818297868</v>
      </c>
      <c r="M640">
        <f t="shared" ca="1" si="675"/>
        <v>104.55307964153003</v>
      </c>
      <c r="N640">
        <f t="shared" ca="1" si="675"/>
        <v>120.62155433198646</v>
      </c>
      <c r="O640">
        <f t="shared" ca="1" si="675"/>
        <v>123.12989398178642</v>
      </c>
      <c r="P640">
        <f t="shared" ca="1" si="675"/>
        <v>109.85306215885934</v>
      </c>
      <c r="Q640">
        <f t="shared" ca="1" si="616"/>
        <v>104.91952548836353</v>
      </c>
      <c r="R640">
        <f t="shared" ca="1" si="617"/>
        <v>4.9195254883635329</v>
      </c>
      <c r="S640">
        <f t="shared" ca="1" si="618"/>
        <v>4.8221123569927018</v>
      </c>
    </row>
    <row r="641" spans="5:19" x14ac:dyDescent="0.75">
      <c r="E641">
        <v>636</v>
      </c>
      <c r="F641">
        <v>100</v>
      </c>
      <c r="G641">
        <f t="shared" ca="1" si="614"/>
        <v>99.744258220652526</v>
      </c>
      <c r="H641">
        <f t="shared" ca="1" si="614"/>
        <v>94.234300691906824</v>
      </c>
      <c r="I641">
        <f t="shared" ca="1" si="614"/>
        <v>101.19574853776567</v>
      </c>
      <c r="J641">
        <f t="shared" ca="1" si="614"/>
        <v>103.4460224039028</v>
      </c>
      <c r="K641">
        <f t="shared" ref="K641:P641" ca="1" si="676">J641*EXP(($C$4-0.5*$C$5^2)*$C$10+$C$5*SQRT($C$10)*NORMINV(RAND(),0,1))</f>
        <v>103.95838703071794</v>
      </c>
      <c r="L641">
        <f t="shared" ca="1" si="676"/>
        <v>90.161947920465664</v>
      </c>
      <c r="M641">
        <f t="shared" ca="1" si="676"/>
        <v>85.72923204467368</v>
      </c>
      <c r="N641">
        <f t="shared" ca="1" si="676"/>
        <v>87.914172543865888</v>
      </c>
      <c r="O641">
        <f t="shared" ca="1" si="676"/>
        <v>83.438124153426443</v>
      </c>
      <c r="P641">
        <f t="shared" ca="1" si="676"/>
        <v>76.949617859026688</v>
      </c>
      <c r="Q641">
        <f t="shared" ca="1" si="616"/>
        <v>93.342891946036744</v>
      </c>
      <c r="R641">
        <f t="shared" ca="1" si="617"/>
        <v>0</v>
      </c>
      <c r="S641">
        <f t="shared" ca="1" si="618"/>
        <v>0</v>
      </c>
    </row>
    <row r="642" spans="5:19" x14ac:dyDescent="0.75">
      <c r="E642">
        <v>637</v>
      </c>
      <c r="F642">
        <v>100</v>
      </c>
      <c r="G642">
        <f t="shared" ca="1" si="614"/>
        <v>99.488935406431651</v>
      </c>
      <c r="H642">
        <f t="shared" ca="1" si="614"/>
        <v>99.224127623108444</v>
      </c>
      <c r="I642">
        <f t="shared" ca="1" si="614"/>
        <v>90.167977214757286</v>
      </c>
      <c r="J642">
        <f t="shared" ca="1" si="614"/>
        <v>97.118667602053108</v>
      </c>
      <c r="K642">
        <f t="shared" ref="K642:P642" ca="1" si="677">J642*EXP(($C$4-0.5*$C$5^2)*$C$10+$C$5*SQRT($C$10)*NORMINV(RAND(),0,1))</f>
        <v>102.18295955942322</v>
      </c>
      <c r="L642">
        <f t="shared" ca="1" si="677"/>
        <v>95.266951669056255</v>
      </c>
      <c r="M642">
        <f t="shared" ca="1" si="677"/>
        <v>104.8745493149985</v>
      </c>
      <c r="N642">
        <f t="shared" ca="1" si="677"/>
        <v>109.14501678239054</v>
      </c>
      <c r="O642">
        <f t="shared" ca="1" si="677"/>
        <v>101.49683244750834</v>
      </c>
      <c r="P642">
        <f t="shared" ca="1" si="677"/>
        <v>107.37264863368227</v>
      </c>
      <c r="Q642">
        <f t="shared" ca="1" si="616"/>
        <v>100.57624238667363</v>
      </c>
      <c r="R642">
        <f t="shared" ca="1" si="617"/>
        <v>0.57624238667362704</v>
      </c>
      <c r="S642">
        <f t="shared" ca="1" si="618"/>
        <v>0.56483202292060752</v>
      </c>
    </row>
    <row r="643" spans="5:19" x14ac:dyDescent="0.75">
      <c r="E643">
        <v>638</v>
      </c>
      <c r="F643">
        <v>100</v>
      </c>
      <c r="G643">
        <f t="shared" ca="1" si="614"/>
        <v>100.37317621844572</v>
      </c>
      <c r="H643">
        <f t="shared" ca="1" si="614"/>
        <v>108.32277199264398</v>
      </c>
      <c r="I643">
        <f t="shared" ca="1" si="614"/>
        <v>116.74225705807422</v>
      </c>
      <c r="J643">
        <f t="shared" ca="1" si="614"/>
        <v>128.29243098203841</v>
      </c>
      <c r="K643">
        <f t="shared" ref="K643:P643" ca="1" si="678">J643*EXP(($C$4-0.5*$C$5^2)*$C$10+$C$5*SQRT($C$10)*NORMINV(RAND(),0,1))</f>
        <v>128.16456290685889</v>
      </c>
      <c r="L643">
        <f t="shared" ca="1" si="678"/>
        <v>120.67678889858072</v>
      </c>
      <c r="M643">
        <f t="shared" ca="1" si="678"/>
        <v>129.06922339308636</v>
      </c>
      <c r="N643">
        <f t="shared" ca="1" si="678"/>
        <v>127.68057600841587</v>
      </c>
      <c r="O643">
        <f t="shared" ca="1" si="678"/>
        <v>125.82178336645809</v>
      </c>
      <c r="P643">
        <f t="shared" ca="1" si="678"/>
        <v>120.11155774475321</v>
      </c>
      <c r="Q643">
        <f t="shared" ca="1" si="616"/>
        <v>118.65955714266866</v>
      </c>
      <c r="R643">
        <f t="shared" ca="1" si="617"/>
        <v>18.65955714266866</v>
      </c>
      <c r="S643">
        <f t="shared" ca="1" si="618"/>
        <v>18.29007315573541</v>
      </c>
    </row>
    <row r="644" spans="5:19" x14ac:dyDescent="0.75">
      <c r="E644">
        <v>639</v>
      </c>
      <c r="F644">
        <v>100</v>
      </c>
      <c r="G644">
        <f t="shared" ca="1" si="614"/>
        <v>108.27248772661659</v>
      </c>
      <c r="H644">
        <f t="shared" ca="1" si="614"/>
        <v>118.47099940593642</v>
      </c>
      <c r="I644">
        <f t="shared" ca="1" si="614"/>
        <v>119.89850993257073</v>
      </c>
      <c r="J644">
        <f t="shared" ca="1" si="614"/>
        <v>118.03386998658334</v>
      </c>
      <c r="K644">
        <f t="shared" ref="K644:P644" ca="1" si="679">J644*EXP(($C$4-0.5*$C$5^2)*$C$10+$C$5*SQRT($C$10)*NORMINV(RAND(),0,1))</f>
        <v>115.59807026654198</v>
      </c>
      <c r="L644">
        <f t="shared" ca="1" si="679"/>
        <v>123.67108523914673</v>
      </c>
      <c r="M644">
        <f t="shared" ca="1" si="679"/>
        <v>134.19702944160832</v>
      </c>
      <c r="N644">
        <f t="shared" ca="1" si="679"/>
        <v>150.37842635949082</v>
      </c>
      <c r="O644">
        <f t="shared" ca="1" si="679"/>
        <v>141.0893900914983</v>
      </c>
      <c r="P644">
        <f t="shared" ca="1" si="679"/>
        <v>125.26258040675128</v>
      </c>
      <c r="Q644">
        <f t="shared" ca="1" si="616"/>
        <v>123.17022262334039</v>
      </c>
      <c r="R644">
        <f t="shared" ca="1" si="617"/>
        <v>23.170222623340393</v>
      </c>
      <c r="S644">
        <f t="shared" ca="1" si="618"/>
        <v>22.711421475620419</v>
      </c>
    </row>
    <row r="645" spans="5:19" x14ac:dyDescent="0.75">
      <c r="E645">
        <v>640</v>
      </c>
      <c r="F645">
        <v>100</v>
      </c>
      <c r="G645">
        <f t="shared" ca="1" si="614"/>
        <v>90.607301633138803</v>
      </c>
      <c r="H645">
        <f t="shared" ca="1" si="614"/>
        <v>85.578516571702536</v>
      </c>
      <c r="I645">
        <f t="shared" ca="1" si="614"/>
        <v>83.169010462360774</v>
      </c>
      <c r="J645">
        <f t="shared" ca="1" si="614"/>
        <v>78.237668375718442</v>
      </c>
      <c r="K645">
        <f t="shared" ref="K645:P645" ca="1" si="680">J645*EXP(($C$4-0.5*$C$5^2)*$C$10+$C$5*SQRT($C$10)*NORMINV(RAND(),0,1))</f>
        <v>78.478239009185202</v>
      </c>
      <c r="L645">
        <f t="shared" ca="1" si="680"/>
        <v>78.067800042929122</v>
      </c>
      <c r="M645">
        <f t="shared" ca="1" si="680"/>
        <v>77.260007116056215</v>
      </c>
      <c r="N645">
        <f t="shared" ca="1" si="680"/>
        <v>76.275234368159602</v>
      </c>
      <c r="O645">
        <f t="shared" ca="1" si="680"/>
        <v>74.689749329524616</v>
      </c>
      <c r="P645">
        <f t="shared" ca="1" si="680"/>
        <v>73.959797557109681</v>
      </c>
      <c r="Q645">
        <f t="shared" ca="1" si="616"/>
        <v>81.483938587807714</v>
      </c>
      <c r="R645">
        <f t="shared" ca="1" si="617"/>
        <v>0</v>
      </c>
      <c r="S645">
        <f t="shared" ca="1" si="618"/>
        <v>0</v>
      </c>
    </row>
    <row r="646" spans="5:19" x14ac:dyDescent="0.75">
      <c r="E646">
        <v>641</v>
      </c>
      <c r="F646">
        <v>100</v>
      </c>
      <c r="G646">
        <f t="shared" ca="1" si="614"/>
        <v>99.360911446254434</v>
      </c>
      <c r="H646">
        <f t="shared" ca="1" si="614"/>
        <v>97.253743642377543</v>
      </c>
      <c r="I646">
        <f t="shared" ca="1" si="614"/>
        <v>97.691193858852571</v>
      </c>
      <c r="J646">
        <f t="shared" ref="J646:P646" ca="1" si="681">I646*EXP(($C$4-0.5*$C$5^2)*$C$10+$C$5*SQRT($C$10)*NORMINV(RAND(),0,1))</f>
        <v>95.583768565940261</v>
      </c>
      <c r="K646">
        <f t="shared" ca="1" si="681"/>
        <v>94.601221002774452</v>
      </c>
      <c r="L646">
        <f t="shared" ca="1" si="681"/>
        <v>95.41943211468346</v>
      </c>
      <c r="M646">
        <f t="shared" ca="1" si="681"/>
        <v>90.388767423489554</v>
      </c>
      <c r="N646">
        <f t="shared" ca="1" si="681"/>
        <v>92.756817776902267</v>
      </c>
      <c r="O646">
        <f t="shared" ca="1" si="681"/>
        <v>90.924587809713699</v>
      </c>
      <c r="P646">
        <f t="shared" ca="1" si="681"/>
        <v>97.161607008378837</v>
      </c>
      <c r="Q646">
        <f t="shared" ca="1" si="616"/>
        <v>95.558368240851536</v>
      </c>
      <c r="R646">
        <f t="shared" ca="1" si="617"/>
        <v>0</v>
      </c>
      <c r="S646">
        <f t="shared" ca="1" si="618"/>
        <v>0</v>
      </c>
    </row>
    <row r="647" spans="5:19" x14ac:dyDescent="0.75">
      <c r="E647">
        <v>642</v>
      </c>
      <c r="F647">
        <v>100</v>
      </c>
      <c r="G647">
        <f t="shared" ref="G647:J710" ca="1" si="682">F647*EXP(($C$4-0.5*$C$5^2)*$C$10+$C$5*SQRT($C$10)*NORMINV(RAND(),0,1))</f>
        <v>96.384462706146834</v>
      </c>
      <c r="H647">
        <f t="shared" ca="1" si="682"/>
        <v>102.80110481541291</v>
      </c>
      <c r="I647">
        <f t="shared" ca="1" si="682"/>
        <v>105.25305900607108</v>
      </c>
      <c r="J647">
        <f t="shared" ca="1" si="682"/>
        <v>102.13458051117431</v>
      </c>
      <c r="K647">
        <f t="shared" ref="K647:P647" ca="1" si="683">J647*EXP(($C$4-0.5*$C$5^2)*$C$10+$C$5*SQRT($C$10)*NORMINV(RAND(),0,1))</f>
        <v>103.07168111506579</v>
      </c>
      <c r="L647">
        <f t="shared" ca="1" si="683"/>
        <v>99.071352661910325</v>
      </c>
      <c r="M647">
        <f t="shared" ca="1" si="683"/>
        <v>96.745843842961264</v>
      </c>
      <c r="N647">
        <f t="shared" ca="1" si="683"/>
        <v>104.85732726321238</v>
      </c>
      <c r="O647">
        <f t="shared" ca="1" si="683"/>
        <v>95.83258006761011</v>
      </c>
      <c r="P647">
        <f t="shared" ca="1" si="683"/>
        <v>95.372743564507232</v>
      </c>
      <c r="Q647">
        <f t="shared" ref="Q647:Q710" ca="1" si="684">AVERAGE(F647:P647)</f>
        <v>100.13861232309749</v>
      </c>
      <c r="R647">
        <f t="shared" ref="R647:R710" ca="1" si="685">MAX(Q647-$C$7,0)</f>
        <v>0.13861232309749028</v>
      </c>
      <c r="S647">
        <f t="shared" ref="S647:S710" ca="1" si="686">EXP(-$C$4*$C$6)*R647</f>
        <v>0.13586761520412727</v>
      </c>
    </row>
    <row r="648" spans="5:19" x14ac:dyDescent="0.75">
      <c r="E648">
        <v>643</v>
      </c>
      <c r="F648">
        <v>100</v>
      </c>
      <c r="G648">
        <f t="shared" ca="1" si="682"/>
        <v>92.692305471232714</v>
      </c>
      <c r="H648">
        <f t="shared" ca="1" si="682"/>
        <v>102.72066916169879</v>
      </c>
      <c r="I648">
        <f t="shared" ca="1" si="682"/>
        <v>97.748650163808804</v>
      </c>
      <c r="J648">
        <f t="shared" ca="1" si="682"/>
        <v>95.701183408582011</v>
      </c>
      <c r="K648">
        <f t="shared" ref="K648:P648" ca="1" si="687">J648*EXP(($C$4-0.5*$C$5^2)*$C$10+$C$5*SQRT($C$10)*NORMINV(RAND(),0,1))</f>
        <v>83.654843274223069</v>
      </c>
      <c r="L648">
        <f t="shared" ca="1" si="687"/>
        <v>82.412210546591922</v>
      </c>
      <c r="M648">
        <f t="shared" ca="1" si="687"/>
        <v>85.01562265756462</v>
      </c>
      <c r="N648">
        <f t="shared" ca="1" si="687"/>
        <v>87.924279563090153</v>
      </c>
      <c r="O648">
        <f t="shared" ca="1" si="687"/>
        <v>85.513398414569039</v>
      </c>
      <c r="P648">
        <f t="shared" ca="1" si="687"/>
        <v>84.550236762427389</v>
      </c>
      <c r="Q648">
        <f t="shared" ca="1" si="684"/>
        <v>90.721218129435329</v>
      </c>
      <c r="R648">
        <f t="shared" ca="1" si="685"/>
        <v>0</v>
      </c>
      <c r="S648">
        <f t="shared" ca="1" si="686"/>
        <v>0</v>
      </c>
    </row>
    <row r="649" spans="5:19" x14ac:dyDescent="0.75">
      <c r="E649">
        <v>644</v>
      </c>
      <c r="F649">
        <v>100</v>
      </c>
      <c r="G649">
        <f t="shared" ca="1" si="682"/>
        <v>97.371495964415416</v>
      </c>
      <c r="H649">
        <f t="shared" ca="1" si="682"/>
        <v>98.294902628920141</v>
      </c>
      <c r="I649">
        <f t="shared" ca="1" si="682"/>
        <v>102.00257957563834</v>
      </c>
      <c r="J649">
        <f t="shared" ca="1" si="682"/>
        <v>94.732703581514556</v>
      </c>
      <c r="K649">
        <f t="shared" ref="K649:P649" ca="1" si="688">J649*EXP(($C$4-0.5*$C$5^2)*$C$10+$C$5*SQRT($C$10)*NORMINV(RAND(),0,1))</f>
        <v>101.71698511819601</v>
      </c>
      <c r="L649">
        <f t="shared" ca="1" si="688"/>
        <v>101.58628774644538</v>
      </c>
      <c r="M649">
        <f t="shared" ca="1" si="688"/>
        <v>96.60050110910116</v>
      </c>
      <c r="N649">
        <f t="shared" ca="1" si="688"/>
        <v>109.4584762629738</v>
      </c>
      <c r="O649">
        <f t="shared" ca="1" si="688"/>
        <v>131.39194625878039</v>
      </c>
      <c r="P649">
        <f t="shared" ca="1" si="688"/>
        <v>127.05252940476855</v>
      </c>
      <c r="Q649">
        <f t="shared" ca="1" si="684"/>
        <v>105.47349160461398</v>
      </c>
      <c r="R649">
        <f t="shared" ca="1" si="685"/>
        <v>5.473491604613983</v>
      </c>
      <c r="S649">
        <f t="shared" ca="1" si="686"/>
        <v>5.3651092091982893</v>
      </c>
    </row>
    <row r="650" spans="5:19" x14ac:dyDescent="0.75">
      <c r="E650">
        <v>645</v>
      </c>
      <c r="F650">
        <v>100</v>
      </c>
      <c r="G650">
        <f t="shared" ca="1" si="682"/>
        <v>99.523987079339889</v>
      </c>
      <c r="H650">
        <f t="shared" ca="1" si="682"/>
        <v>101.16848267823471</v>
      </c>
      <c r="I650">
        <f t="shared" ca="1" si="682"/>
        <v>108.30745670819228</v>
      </c>
      <c r="J650">
        <f t="shared" ca="1" si="682"/>
        <v>102.65068846624932</v>
      </c>
      <c r="K650">
        <f t="shared" ref="K650:P650" ca="1" si="689">J650*EXP(($C$4-0.5*$C$5^2)*$C$10+$C$5*SQRT($C$10)*NORMINV(RAND(),0,1))</f>
        <v>98.765340687532316</v>
      </c>
      <c r="L650">
        <f t="shared" ca="1" si="689"/>
        <v>99.336266917357591</v>
      </c>
      <c r="M650">
        <f t="shared" ca="1" si="689"/>
        <v>99.788615851160557</v>
      </c>
      <c r="N650">
        <f t="shared" ca="1" si="689"/>
        <v>89.222877511515264</v>
      </c>
      <c r="O650">
        <f t="shared" ca="1" si="689"/>
        <v>90.275976893939287</v>
      </c>
      <c r="P650">
        <f t="shared" ca="1" si="689"/>
        <v>84.880375050607512</v>
      </c>
      <c r="Q650">
        <f t="shared" ca="1" si="684"/>
        <v>97.629097076738972</v>
      </c>
      <c r="R650">
        <f t="shared" ca="1" si="685"/>
        <v>0</v>
      </c>
      <c r="S650">
        <f t="shared" ca="1" si="686"/>
        <v>0</v>
      </c>
    </row>
    <row r="651" spans="5:19" x14ac:dyDescent="0.75">
      <c r="E651">
        <v>646</v>
      </c>
      <c r="F651">
        <v>100</v>
      </c>
      <c r="G651">
        <f t="shared" ca="1" si="682"/>
        <v>89.537766097190001</v>
      </c>
      <c r="H651">
        <f t="shared" ca="1" si="682"/>
        <v>93.674065490729248</v>
      </c>
      <c r="I651">
        <f t="shared" ca="1" si="682"/>
        <v>99.284076553352591</v>
      </c>
      <c r="J651">
        <f t="shared" ca="1" si="682"/>
        <v>98.789957223894433</v>
      </c>
      <c r="K651">
        <f t="shared" ref="K651:P651" ca="1" si="690">J651*EXP(($C$4-0.5*$C$5^2)*$C$10+$C$5*SQRT($C$10)*NORMINV(RAND(),0,1))</f>
        <v>94.769202869541317</v>
      </c>
      <c r="L651">
        <f t="shared" ca="1" si="690"/>
        <v>92.747934702276424</v>
      </c>
      <c r="M651">
        <f t="shared" ca="1" si="690"/>
        <v>93.884394628821497</v>
      </c>
      <c r="N651">
        <f t="shared" ca="1" si="690"/>
        <v>85.266822951837028</v>
      </c>
      <c r="O651">
        <f t="shared" ca="1" si="690"/>
        <v>77.446573683314767</v>
      </c>
      <c r="P651">
        <f t="shared" ca="1" si="690"/>
        <v>77.187801914439305</v>
      </c>
      <c r="Q651">
        <f t="shared" ca="1" si="684"/>
        <v>91.144417828672431</v>
      </c>
      <c r="R651">
        <f t="shared" ca="1" si="685"/>
        <v>0</v>
      </c>
      <c r="S651">
        <f t="shared" ca="1" si="686"/>
        <v>0</v>
      </c>
    </row>
    <row r="652" spans="5:19" x14ac:dyDescent="0.75">
      <c r="E652">
        <v>647</v>
      </c>
      <c r="F652">
        <v>100</v>
      </c>
      <c r="G652">
        <f t="shared" ca="1" si="682"/>
        <v>106.77464765064344</v>
      </c>
      <c r="H652">
        <f t="shared" ca="1" si="682"/>
        <v>95.041168606062342</v>
      </c>
      <c r="I652">
        <f t="shared" ca="1" si="682"/>
        <v>91.837527345838112</v>
      </c>
      <c r="J652">
        <f t="shared" ca="1" si="682"/>
        <v>94.115713541209445</v>
      </c>
      <c r="K652">
        <f t="shared" ref="K652:P652" ca="1" si="691">J652*EXP(($C$4-0.5*$C$5^2)*$C$10+$C$5*SQRT($C$10)*NORMINV(RAND(),0,1))</f>
        <v>88.755149914006353</v>
      </c>
      <c r="L652">
        <f t="shared" ca="1" si="691"/>
        <v>84.222044986033652</v>
      </c>
      <c r="M652">
        <f t="shared" ca="1" si="691"/>
        <v>80.387633891837694</v>
      </c>
      <c r="N652">
        <f t="shared" ca="1" si="691"/>
        <v>82.194573163878147</v>
      </c>
      <c r="O652">
        <f t="shared" ca="1" si="691"/>
        <v>86.311655836647688</v>
      </c>
      <c r="P652">
        <f t="shared" ca="1" si="691"/>
        <v>91.975723935054148</v>
      </c>
      <c r="Q652">
        <f t="shared" ca="1" si="684"/>
        <v>91.055985351928271</v>
      </c>
      <c r="R652">
        <f t="shared" ca="1" si="685"/>
        <v>0</v>
      </c>
      <c r="S652">
        <f t="shared" ca="1" si="686"/>
        <v>0</v>
      </c>
    </row>
    <row r="653" spans="5:19" x14ac:dyDescent="0.75">
      <c r="E653">
        <v>648</v>
      </c>
      <c r="F653">
        <v>100</v>
      </c>
      <c r="G653">
        <f t="shared" ca="1" si="682"/>
        <v>94.564706725549271</v>
      </c>
      <c r="H653">
        <f t="shared" ca="1" si="682"/>
        <v>93.122277773958743</v>
      </c>
      <c r="I653">
        <f t="shared" ca="1" si="682"/>
        <v>83.823470649097146</v>
      </c>
      <c r="J653">
        <f t="shared" ca="1" si="682"/>
        <v>76.043812134504947</v>
      </c>
      <c r="K653">
        <f t="shared" ref="K653:P653" ca="1" si="692">J653*EXP(($C$4-0.5*$C$5^2)*$C$10+$C$5*SQRT($C$10)*NORMINV(RAND(),0,1))</f>
        <v>76.913025089156633</v>
      </c>
      <c r="L653">
        <f t="shared" ca="1" si="692"/>
        <v>74.736649467484114</v>
      </c>
      <c r="M653">
        <f t="shared" ca="1" si="692"/>
        <v>82.060652161306564</v>
      </c>
      <c r="N653">
        <f t="shared" ca="1" si="692"/>
        <v>88.61594919300957</v>
      </c>
      <c r="O653">
        <f t="shared" ca="1" si="692"/>
        <v>92.960040604911214</v>
      </c>
      <c r="P653">
        <f t="shared" ca="1" si="692"/>
        <v>83.923005764098775</v>
      </c>
      <c r="Q653">
        <f t="shared" ca="1" si="684"/>
        <v>86.069417233006988</v>
      </c>
      <c r="R653">
        <f t="shared" ca="1" si="685"/>
        <v>0</v>
      </c>
      <c r="S653">
        <f t="shared" ca="1" si="686"/>
        <v>0</v>
      </c>
    </row>
    <row r="654" spans="5:19" x14ac:dyDescent="0.75">
      <c r="E654">
        <v>649</v>
      </c>
      <c r="F654">
        <v>100</v>
      </c>
      <c r="G654">
        <f t="shared" ca="1" si="682"/>
        <v>99.652029321162885</v>
      </c>
      <c r="H654">
        <f t="shared" ca="1" si="682"/>
        <v>106.13888597645062</v>
      </c>
      <c r="I654">
        <f t="shared" ca="1" si="682"/>
        <v>108.60433453234066</v>
      </c>
      <c r="J654">
        <f t="shared" ca="1" si="682"/>
        <v>105.33141717665812</v>
      </c>
      <c r="K654">
        <f t="shared" ref="K654:P654" ca="1" si="693">J654*EXP(($C$4-0.5*$C$5^2)*$C$10+$C$5*SQRT($C$10)*NORMINV(RAND(),0,1))</f>
        <v>104.53904895185096</v>
      </c>
      <c r="L654">
        <f t="shared" ca="1" si="693"/>
        <v>100.30345532996161</v>
      </c>
      <c r="M654">
        <f t="shared" ca="1" si="693"/>
        <v>100.13139407268946</v>
      </c>
      <c r="N654">
        <f t="shared" ca="1" si="693"/>
        <v>107.13882556094448</v>
      </c>
      <c r="O654">
        <f t="shared" ca="1" si="693"/>
        <v>113.17215866326922</v>
      </c>
      <c r="P654">
        <f t="shared" ca="1" si="693"/>
        <v>120.66792374556566</v>
      </c>
      <c r="Q654">
        <f t="shared" ca="1" si="684"/>
        <v>105.97086121189942</v>
      </c>
      <c r="R654">
        <f t="shared" ca="1" si="685"/>
        <v>5.9708612118994182</v>
      </c>
      <c r="S654">
        <f t="shared" ca="1" si="686"/>
        <v>5.8526302384025746</v>
      </c>
    </row>
    <row r="655" spans="5:19" x14ac:dyDescent="0.75">
      <c r="E655">
        <v>650</v>
      </c>
      <c r="F655">
        <v>100</v>
      </c>
      <c r="G655">
        <f t="shared" ca="1" si="682"/>
        <v>101.96643142535038</v>
      </c>
      <c r="H655">
        <f t="shared" ca="1" si="682"/>
        <v>114.9597629394674</v>
      </c>
      <c r="I655">
        <f t="shared" ca="1" si="682"/>
        <v>127.69397763628687</v>
      </c>
      <c r="J655">
        <f t="shared" ca="1" si="682"/>
        <v>128.1573540587776</v>
      </c>
      <c r="K655">
        <f t="shared" ref="K655:P655" ca="1" si="694">J655*EXP(($C$4-0.5*$C$5^2)*$C$10+$C$5*SQRT($C$10)*NORMINV(RAND(),0,1))</f>
        <v>131.29985588060902</v>
      </c>
      <c r="L655">
        <f t="shared" ca="1" si="694"/>
        <v>150.0995857999626</v>
      </c>
      <c r="M655">
        <f t="shared" ca="1" si="694"/>
        <v>157.75913858556396</v>
      </c>
      <c r="N655">
        <f t="shared" ca="1" si="694"/>
        <v>143.47976466787665</v>
      </c>
      <c r="O655">
        <f t="shared" ca="1" si="694"/>
        <v>138.84101310328549</v>
      </c>
      <c r="P655">
        <f t="shared" ca="1" si="694"/>
        <v>136.81397897151834</v>
      </c>
      <c r="Q655">
        <f t="shared" ca="1" si="684"/>
        <v>130.09735118806347</v>
      </c>
      <c r="R655">
        <f t="shared" ca="1" si="685"/>
        <v>30.09735118806347</v>
      </c>
      <c r="S655">
        <f t="shared" ca="1" si="686"/>
        <v>29.501383704587308</v>
      </c>
    </row>
    <row r="656" spans="5:19" x14ac:dyDescent="0.75">
      <c r="E656">
        <v>651</v>
      </c>
      <c r="F656">
        <v>100</v>
      </c>
      <c r="G656">
        <f t="shared" ca="1" si="682"/>
        <v>90.386735259797319</v>
      </c>
      <c r="H656">
        <f t="shared" ca="1" si="682"/>
        <v>93.558843062972329</v>
      </c>
      <c r="I656">
        <f t="shared" ca="1" si="682"/>
        <v>93.851276622712177</v>
      </c>
      <c r="J656">
        <f t="shared" ca="1" si="682"/>
        <v>89.762943462970568</v>
      </c>
      <c r="K656">
        <f t="shared" ref="K656:P656" ca="1" si="695">J656*EXP(($C$4-0.5*$C$5^2)*$C$10+$C$5*SQRT($C$10)*NORMINV(RAND(),0,1))</f>
        <v>86.340264081825438</v>
      </c>
      <c r="L656">
        <f t="shared" ca="1" si="695"/>
        <v>87.288023941084575</v>
      </c>
      <c r="M656">
        <f t="shared" ca="1" si="695"/>
        <v>107.2938644881941</v>
      </c>
      <c r="N656">
        <f t="shared" ca="1" si="695"/>
        <v>123.32406413784651</v>
      </c>
      <c r="O656">
        <f t="shared" ca="1" si="695"/>
        <v>126.72558451657709</v>
      </c>
      <c r="P656">
        <f t="shared" ca="1" si="695"/>
        <v>139.05619736802089</v>
      </c>
      <c r="Q656">
        <f t="shared" ca="1" si="684"/>
        <v>103.41707244927284</v>
      </c>
      <c r="R656">
        <f t="shared" ca="1" si="685"/>
        <v>3.4170724492728368</v>
      </c>
      <c r="S656">
        <f t="shared" ca="1" si="686"/>
        <v>3.3494098813702995</v>
      </c>
    </row>
    <row r="657" spans="5:19" x14ac:dyDescent="0.75">
      <c r="E657">
        <v>652</v>
      </c>
      <c r="F657">
        <v>100</v>
      </c>
      <c r="G657">
        <f t="shared" ca="1" si="682"/>
        <v>96.205982805254436</v>
      </c>
      <c r="H657">
        <f t="shared" ca="1" si="682"/>
        <v>108.64891686421893</v>
      </c>
      <c r="I657">
        <f t="shared" ca="1" si="682"/>
        <v>94.226390141450253</v>
      </c>
      <c r="J657">
        <f t="shared" ca="1" si="682"/>
        <v>83.994928481602244</v>
      </c>
      <c r="K657">
        <f t="shared" ref="K657:P657" ca="1" si="696">J657*EXP(($C$4-0.5*$C$5^2)*$C$10+$C$5*SQRT($C$10)*NORMINV(RAND(),0,1))</f>
        <v>88.756609590516661</v>
      </c>
      <c r="L657">
        <f t="shared" ca="1" si="696"/>
        <v>84.6180536971642</v>
      </c>
      <c r="M657">
        <f t="shared" ca="1" si="696"/>
        <v>77.461014771427571</v>
      </c>
      <c r="N657">
        <f t="shared" ca="1" si="696"/>
        <v>68.581927978268922</v>
      </c>
      <c r="O657">
        <f t="shared" ca="1" si="696"/>
        <v>63.397164406478147</v>
      </c>
      <c r="P657">
        <f t="shared" ca="1" si="696"/>
        <v>62.615293884452967</v>
      </c>
      <c r="Q657">
        <f t="shared" ca="1" si="684"/>
        <v>84.409662056439501</v>
      </c>
      <c r="R657">
        <f t="shared" ca="1" si="685"/>
        <v>0</v>
      </c>
      <c r="S657">
        <f t="shared" ca="1" si="686"/>
        <v>0</v>
      </c>
    </row>
    <row r="658" spans="5:19" x14ac:dyDescent="0.75">
      <c r="E658">
        <v>653</v>
      </c>
      <c r="F658">
        <v>100</v>
      </c>
      <c r="G658">
        <f t="shared" ca="1" si="682"/>
        <v>103.02396709745751</v>
      </c>
      <c r="H658">
        <f t="shared" ca="1" si="682"/>
        <v>111.24935761673484</v>
      </c>
      <c r="I658">
        <f t="shared" ca="1" si="682"/>
        <v>105.5610178414659</v>
      </c>
      <c r="J658">
        <f t="shared" ca="1" si="682"/>
        <v>101.43307279734654</v>
      </c>
      <c r="K658">
        <f t="shared" ref="K658:P658" ca="1" si="697">J658*EXP(($C$4-0.5*$C$5^2)*$C$10+$C$5*SQRT($C$10)*NORMINV(RAND(),0,1))</f>
        <v>102.3410067195323</v>
      </c>
      <c r="L658">
        <f t="shared" ca="1" si="697"/>
        <v>103.13943421751092</v>
      </c>
      <c r="M658">
        <f t="shared" ca="1" si="697"/>
        <v>106.42110432975841</v>
      </c>
      <c r="N658">
        <f t="shared" ca="1" si="697"/>
        <v>103.03761072726849</v>
      </c>
      <c r="O658">
        <f t="shared" ca="1" si="697"/>
        <v>104.14287741794888</v>
      </c>
      <c r="P658">
        <f t="shared" ca="1" si="697"/>
        <v>103.47418780894581</v>
      </c>
      <c r="Q658">
        <f t="shared" ca="1" si="684"/>
        <v>103.98396696126996</v>
      </c>
      <c r="R658">
        <f t="shared" ca="1" si="685"/>
        <v>3.9839669612699566</v>
      </c>
      <c r="S658">
        <f t="shared" ca="1" si="686"/>
        <v>3.9050791299347565</v>
      </c>
    </row>
    <row r="659" spans="5:19" x14ac:dyDescent="0.75">
      <c r="E659">
        <v>654</v>
      </c>
      <c r="F659">
        <v>100</v>
      </c>
      <c r="G659">
        <f t="shared" ca="1" si="682"/>
        <v>93.892556603866453</v>
      </c>
      <c r="H659">
        <f t="shared" ca="1" si="682"/>
        <v>88.681033547329505</v>
      </c>
      <c r="I659">
        <f t="shared" ca="1" si="682"/>
        <v>83.052489009371868</v>
      </c>
      <c r="J659">
        <f t="shared" ca="1" si="682"/>
        <v>80.641756314907823</v>
      </c>
      <c r="K659">
        <f t="shared" ref="K659:P659" ca="1" si="698">J659*EXP(($C$4-0.5*$C$5^2)*$C$10+$C$5*SQRT($C$10)*NORMINV(RAND(),0,1))</f>
        <v>70.598443548038389</v>
      </c>
      <c r="L659">
        <f t="shared" ca="1" si="698"/>
        <v>76.843463013120214</v>
      </c>
      <c r="M659">
        <f t="shared" ca="1" si="698"/>
        <v>79.453329329489705</v>
      </c>
      <c r="N659">
        <f t="shared" ca="1" si="698"/>
        <v>76.277003434652215</v>
      </c>
      <c r="O659">
        <f t="shared" ca="1" si="698"/>
        <v>79.330290845120089</v>
      </c>
      <c r="P659">
        <f t="shared" ca="1" si="698"/>
        <v>82.263913991676517</v>
      </c>
      <c r="Q659">
        <f t="shared" ca="1" si="684"/>
        <v>82.821298148870255</v>
      </c>
      <c r="R659">
        <f t="shared" ca="1" si="685"/>
        <v>0</v>
      </c>
      <c r="S659">
        <f t="shared" ca="1" si="686"/>
        <v>0</v>
      </c>
    </row>
    <row r="660" spans="5:19" x14ac:dyDescent="0.75">
      <c r="E660">
        <v>655</v>
      </c>
      <c r="F660">
        <v>100</v>
      </c>
      <c r="G660">
        <f t="shared" ca="1" si="682"/>
        <v>90.071412118319103</v>
      </c>
      <c r="H660">
        <f t="shared" ca="1" si="682"/>
        <v>81.558199150444054</v>
      </c>
      <c r="I660">
        <f t="shared" ca="1" si="682"/>
        <v>82.645354025138474</v>
      </c>
      <c r="J660">
        <f t="shared" ca="1" si="682"/>
        <v>80.268107196621813</v>
      </c>
      <c r="K660">
        <f t="shared" ref="K660:P660" ca="1" si="699">J660*EXP(($C$4-0.5*$C$5^2)*$C$10+$C$5*SQRT($C$10)*NORMINV(RAND(),0,1))</f>
        <v>81.31157405026434</v>
      </c>
      <c r="L660">
        <f t="shared" ca="1" si="699"/>
        <v>74.130941819128097</v>
      </c>
      <c r="M660">
        <f t="shared" ca="1" si="699"/>
        <v>82.616386231528097</v>
      </c>
      <c r="N660">
        <f t="shared" ca="1" si="699"/>
        <v>84.700636254839225</v>
      </c>
      <c r="O660">
        <f t="shared" ca="1" si="699"/>
        <v>84.082750418174427</v>
      </c>
      <c r="P660">
        <f t="shared" ca="1" si="699"/>
        <v>88.666431721333538</v>
      </c>
      <c r="Q660">
        <f t="shared" ca="1" si="684"/>
        <v>84.550162998708288</v>
      </c>
      <c r="R660">
        <f t="shared" ca="1" si="685"/>
        <v>0</v>
      </c>
      <c r="S660">
        <f t="shared" ca="1" si="686"/>
        <v>0</v>
      </c>
    </row>
    <row r="661" spans="5:19" x14ac:dyDescent="0.75">
      <c r="E661">
        <v>656</v>
      </c>
      <c r="F661">
        <v>100</v>
      </c>
      <c r="G661">
        <f t="shared" ca="1" si="682"/>
        <v>94.740081535690564</v>
      </c>
      <c r="H661">
        <f t="shared" ca="1" si="682"/>
        <v>85.331444592137231</v>
      </c>
      <c r="I661">
        <f t="shared" ca="1" si="682"/>
        <v>88.730963106657583</v>
      </c>
      <c r="J661">
        <f t="shared" ca="1" si="682"/>
        <v>87.043609387688193</v>
      </c>
      <c r="K661">
        <f t="shared" ref="K661:P661" ca="1" si="700">J661*EXP(($C$4-0.5*$C$5^2)*$C$10+$C$5*SQRT($C$10)*NORMINV(RAND(),0,1))</f>
        <v>86.869032367232165</v>
      </c>
      <c r="L661">
        <f t="shared" ca="1" si="700"/>
        <v>89.822496136373772</v>
      </c>
      <c r="M661">
        <f t="shared" ca="1" si="700"/>
        <v>93.32495163498443</v>
      </c>
      <c r="N661">
        <f t="shared" ca="1" si="700"/>
        <v>87.308257102329094</v>
      </c>
      <c r="O661">
        <f t="shared" ca="1" si="700"/>
        <v>83.844732338237918</v>
      </c>
      <c r="P661">
        <f t="shared" ca="1" si="700"/>
        <v>90.06617915565316</v>
      </c>
      <c r="Q661">
        <f t="shared" ca="1" si="684"/>
        <v>89.734704305180372</v>
      </c>
      <c r="R661">
        <f t="shared" ca="1" si="685"/>
        <v>0</v>
      </c>
      <c r="S661">
        <f t="shared" ca="1" si="686"/>
        <v>0</v>
      </c>
    </row>
    <row r="662" spans="5:19" x14ac:dyDescent="0.75">
      <c r="E662">
        <v>657</v>
      </c>
      <c r="F662">
        <v>100</v>
      </c>
      <c r="G662">
        <f t="shared" ca="1" si="682"/>
        <v>94.409546159038555</v>
      </c>
      <c r="H662">
        <f t="shared" ca="1" si="682"/>
        <v>94.119618935335382</v>
      </c>
      <c r="I662">
        <f t="shared" ca="1" si="682"/>
        <v>100.56122344829745</v>
      </c>
      <c r="J662">
        <f t="shared" ca="1" si="682"/>
        <v>97.41654966905466</v>
      </c>
      <c r="K662">
        <f t="shared" ref="K662:P662" ca="1" si="701">J662*EXP(($C$4-0.5*$C$5^2)*$C$10+$C$5*SQRT($C$10)*NORMINV(RAND(),0,1))</f>
        <v>97.746267055381168</v>
      </c>
      <c r="L662">
        <f t="shared" ca="1" si="701"/>
        <v>108.34303272561426</v>
      </c>
      <c r="M662">
        <f t="shared" ca="1" si="701"/>
        <v>122.86044014777555</v>
      </c>
      <c r="N662">
        <f t="shared" ca="1" si="701"/>
        <v>127.23700085085156</v>
      </c>
      <c r="O662">
        <f t="shared" ca="1" si="701"/>
        <v>128.88614643789421</v>
      </c>
      <c r="P662">
        <f t="shared" ca="1" si="701"/>
        <v>121.69617464575477</v>
      </c>
      <c r="Q662">
        <f t="shared" ca="1" si="684"/>
        <v>108.47963637045433</v>
      </c>
      <c r="R662">
        <f t="shared" ca="1" si="685"/>
        <v>8.4796363704543296</v>
      </c>
      <c r="S662">
        <f t="shared" ca="1" si="686"/>
        <v>8.3117283204430432</v>
      </c>
    </row>
    <row r="663" spans="5:19" x14ac:dyDescent="0.75">
      <c r="E663">
        <v>658</v>
      </c>
      <c r="F663">
        <v>100</v>
      </c>
      <c r="G663">
        <f t="shared" ca="1" si="682"/>
        <v>106.13261736759173</v>
      </c>
      <c r="H663">
        <f t="shared" ca="1" si="682"/>
        <v>106.56315539963603</v>
      </c>
      <c r="I663">
        <f t="shared" ca="1" si="682"/>
        <v>106.5192341315051</v>
      </c>
      <c r="J663">
        <f t="shared" ca="1" si="682"/>
        <v>99.572756342032804</v>
      </c>
      <c r="K663">
        <f t="shared" ref="K663:P663" ca="1" si="702">J663*EXP(($C$4-0.5*$C$5^2)*$C$10+$C$5*SQRT($C$10)*NORMINV(RAND(),0,1))</f>
        <v>98.369481383070166</v>
      </c>
      <c r="L663">
        <f t="shared" ca="1" si="702"/>
        <v>99.057938268744039</v>
      </c>
      <c r="M663">
        <f t="shared" ca="1" si="702"/>
        <v>101.29271168893638</v>
      </c>
      <c r="N663">
        <f t="shared" ca="1" si="702"/>
        <v>108.7113121895685</v>
      </c>
      <c r="O663">
        <f t="shared" ca="1" si="702"/>
        <v>103.31822941225313</v>
      </c>
      <c r="P663">
        <f t="shared" ca="1" si="702"/>
        <v>105.71393819013586</v>
      </c>
      <c r="Q663">
        <f t="shared" ca="1" si="684"/>
        <v>103.20467039758852</v>
      </c>
      <c r="R663">
        <f t="shared" ca="1" si="685"/>
        <v>3.2046703975885151</v>
      </c>
      <c r="S663">
        <f t="shared" ca="1" si="686"/>
        <v>3.1412136721016943</v>
      </c>
    </row>
    <row r="664" spans="5:19" x14ac:dyDescent="0.75">
      <c r="E664">
        <v>659</v>
      </c>
      <c r="F664">
        <v>100</v>
      </c>
      <c r="G664">
        <f t="shared" ca="1" si="682"/>
        <v>98.137361061746233</v>
      </c>
      <c r="H664">
        <f t="shared" ca="1" si="682"/>
        <v>91.548928117190727</v>
      </c>
      <c r="I664">
        <f t="shared" ca="1" si="682"/>
        <v>93.552802514268862</v>
      </c>
      <c r="J664">
        <f t="shared" ca="1" si="682"/>
        <v>97.105010894523929</v>
      </c>
      <c r="K664">
        <f t="shared" ref="K664:P664" ca="1" si="703">J664*EXP(($C$4-0.5*$C$5^2)*$C$10+$C$5*SQRT($C$10)*NORMINV(RAND(),0,1))</f>
        <v>106.98695410187733</v>
      </c>
      <c r="L664">
        <f t="shared" ca="1" si="703"/>
        <v>107.31759846520163</v>
      </c>
      <c r="M664">
        <f t="shared" ca="1" si="703"/>
        <v>113.3755756003618</v>
      </c>
      <c r="N664">
        <f t="shared" ca="1" si="703"/>
        <v>116.70819520910757</v>
      </c>
      <c r="O664">
        <f t="shared" ca="1" si="703"/>
        <v>126.40973996606296</v>
      </c>
      <c r="P664">
        <f t="shared" ca="1" si="703"/>
        <v>109.32663445834295</v>
      </c>
      <c r="Q664">
        <f t="shared" ca="1" si="684"/>
        <v>105.49716367169854</v>
      </c>
      <c r="R664">
        <f t="shared" ca="1" si="685"/>
        <v>5.4971636716985444</v>
      </c>
      <c r="S664">
        <f t="shared" ca="1" si="686"/>
        <v>5.3883125379490044</v>
      </c>
    </row>
    <row r="665" spans="5:19" x14ac:dyDescent="0.75">
      <c r="E665">
        <v>660</v>
      </c>
      <c r="F665">
        <v>100</v>
      </c>
      <c r="G665">
        <f t="shared" ca="1" si="682"/>
        <v>99.607245787010712</v>
      </c>
      <c r="H665">
        <f t="shared" ca="1" si="682"/>
        <v>100.9940712520653</v>
      </c>
      <c r="I665">
        <f t="shared" ca="1" si="682"/>
        <v>103.41590113456176</v>
      </c>
      <c r="J665">
        <f t="shared" ca="1" si="682"/>
        <v>108.19596081265131</v>
      </c>
      <c r="K665">
        <f t="shared" ref="K665:P665" ca="1" si="704">J665*EXP(($C$4-0.5*$C$5^2)*$C$10+$C$5*SQRT($C$10)*NORMINV(RAND(),0,1))</f>
        <v>112.71304466845739</v>
      </c>
      <c r="L665">
        <f t="shared" ca="1" si="704"/>
        <v>111.58045990961041</v>
      </c>
      <c r="M665">
        <f t="shared" ca="1" si="704"/>
        <v>106.24985183935259</v>
      </c>
      <c r="N665">
        <f t="shared" ca="1" si="704"/>
        <v>103.54813196961666</v>
      </c>
      <c r="O665">
        <f t="shared" ca="1" si="704"/>
        <v>101.92094954368851</v>
      </c>
      <c r="P665">
        <f t="shared" ca="1" si="704"/>
        <v>102.90229177084957</v>
      </c>
      <c r="Q665">
        <f t="shared" ca="1" si="684"/>
        <v>104.64799169889675</v>
      </c>
      <c r="R665">
        <f t="shared" ca="1" si="685"/>
        <v>4.647991698896746</v>
      </c>
      <c r="S665">
        <f t="shared" ca="1" si="686"/>
        <v>4.5559552967994019</v>
      </c>
    </row>
    <row r="666" spans="5:19" x14ac:dyDescent="0.75">
      <c r="E666">
        <v>661</v>
      </c>
      <c r="F666">
        <v>100</v>
      </c>
      <c r="G666">
        <f t="shared" ca="1" si="682"/>
        <v>94.746211692570427</v>
      </c>
      <c r="H666">
        <f t="shared" ca="1" si="682"/>
        <v>100.21284824140101</v>
      </c>
      <c r="I666">
        <f t="shared" ca="1" si="682"/>
        <v>99.734155961749508</v>
      </c>
      <c r="J666">
        <f t="shared" ca="1" si="682"/>
        <v>100.69111313215537</v>
      </c>
      <c r="K666">
        <f t="shared" ref="K666:P666" ca="1" si="705">J666*EXP(($C$4-0.5*$C$5^2)*$C$10+$C$5*SQRT($C$10)*NORMINV(RAND(),0,1))</f>
        <v>108.6351322628574</v>
      </c>
      <c r="L666">
        <f t="shared" ca="1" si="705"/>
        <v>108.90347453684251</v>
      </c>
      <c r="M666">
        <f t="shared" ca="1" si="705"/>
        <v>108.77351010761693</v>
      </c>
      <c r="N666">
        <f t="shared" ca="1" si="705"/>
        <v>116.05424486357718</v>
      </c>
      <c r="O666">
        <f t="shared" ca="1" si="705"/>
        <v>112.96731868543557</v>
      </c>
      <c r="P666">
        <f t="shared" ca="1" si="705"/>
        <v>122.08302595517472</v>
      </c>
      <c r="Q666">
        <f t="shared" ca="1" si="684"/>
        <v>106.61827594903461</v>
      </c>
      <c r="R666">
        <f t="shared" ca="1" si="685"/>
        <v>6.6182759490346115</v>
      </c>
      <c r="S666">
        <f t="shared" ca="1" si="686"/>
        <v>6.4872253048217328</v>
      </c>
    </row>
    <row r="667" spans="5:19" x14ac:dyDescent="0.75">
      <c r="E667">
        <v>662</v>
      </c>
      <c r="F667">
        <v>100</v>
      </c>
      <c r="G667">
        <f t="shared" ca="1" si="682"/>
        <v>106.96049793534399</v>
      </c>
      <c r="H667">
        <f t="shared" ca="1" si="682"/>
        <v>110.88629548024801</v>
      </c>
      <c r="I667">
        <f t="shared" ca="1" si="682"/>
        <v>102.11773713717793</v>
      </c>
      <c r="J667">
        <f t="shared" ca="1" si="682"/>
        <v>110.76009389402907</v>
      </c>
      <c r="K667">
        <f t="shared" ref="K667:P667" ca="1" si="706">J667*EXP(($C$4-0.5*$C$5^2)*$C$10+$C$5*SQRT($C$10)*NORMINV(RAND(),0,1))</f>
        <v>102.28220729669076</v>
      </c>
      <c r="L667">
        <f t="shared" ca="1" si="706"/>
        <v>102.91282289290785</v>
      </c>
      <c r="M667">
        <f t="shared" ca="1" si="706"/>
        <v>106.31890353081614</v>
      </c>
      <c r="N667">
        <f t="shared" ca="1" si="706"/>
        <v>111.68795690163493</v>
      </c>
      <c r="O667">
        <f t="shared" ca="1" si="706"/>
        <v>125.89698862214669</v>
      </c>
      <c r="P667">
        <f t="shared" ca="1" si="706"/>
        <v>115.4017285101425</v>
      </c>
      <c r="Q667">
        <f t="shared" ca="1" si="684"/>
        <v>108.65683929101252</v>
      </c>
      <c r="R667">
        <f t="shared" ca="1" si="685"/>
        <v>8.6568392910125169</v>
      </c>
      <c r="S667">
        <f t="shared" ca="1" si="686"/>
        <v>8.4854223880802611</v>
      </c>
    </row>
    <row r="668" spans="5:19" x14ac:dyDescent="0.75">
      <c r="E668">
        <v>663</v>
      </c>
      <c r="F668">
        <v>100</v>
      </c>
      <c r="G668">
        <f t="shared" ca="1" si="682"/>
        <v>114.8518947404219</v>
      </c>
      <c r="H668">
        <f t="shared" ca="1" si="682"/>
        <v>109.57331763104332</v>
      </c>
      <c r="I668">
        <f t="shared" ca="1" si="682"/>
        <v>101.13829842658264</v>
      </c>
      <c r="J668">
        <f t="shared" ca="1" si="682"/>
        <v>107.81683893944455</v>
      </c>
      <c r="K668">
        <f t="shared" ref="K668:P668" ca="1" si="707">J668*EXP(($C$4-0.5*$C$5^2)*$C$10+$C$5*SQRT($C$10)*NORMINV(RAND(),0,1))</f>
        <v>109.55231766480526</v>
      </c>
      <c r="L668">
        <f t="shared" ca="1" si="707"/>
        <v>118.04625190447499</v>
      </c>
      <c r="M668">
        <f t="shared" ca="1" si="707"/>
        <v>107.91091379393674</v>
      </c>
      <c r="N668">
        <f t="shared" ca="1" si="707"/>
        <v>119.66597958556282</v>
      </c>
      <c r="O668">
        <f t="shared" ca="1" si="707"/>
        <v>111.2294457675504</v>
      </c>
      <c r="P668">
        <f t="shared" ca="1" si="707"/>
        <v>108.25551152146767</v>
      </c>
      <c r="Q668">
        <f t="shared" ca="1" si="684"/>
        <v>109.82188817957186</v>
      </c>
      <c r="R668">
        <f t="shared" ca="1" si="685"/>
        <v>9.8218881795718573</v>
      </c>
      <c r="S668">
        <f t="shared" ca="1" si="686"/>
        <v>9.6274017629836361</v>
      </c>
    </row>
    <row r="669" spans="5:19" x14ac:dyDescent="0.75">
      <c r="E669">
        <v>664</v>
      </c>
      <c r="F669">
        <v>100</v>
      </c>
      <c r="G669">
        <f t="shared" ca="1" si="682"/>
        <v>112.85829651510602</v>
      </c>
      <c r="H669">
        <f t="shared" ca="1" si="682"/>
        <v>111.60959340500177</v>
      </c>
      <c r="I669">
        <f t="shared" ca="1" si="682"/>
        <v>111.32305911275355</v>
      </c>
      <c r="J669">
        <f t="shared" ca="1" si="682"/>
        <v>117.04487046995619</v>
      </c>
      <c r="K669">
        <f t="shared" ref="K669:P669" ca="1" si="708">J669*EXP(($C$4-0.5*$C$5^2)*$C$10+$C$5*SQRT($C$10)*NORMINV(RAND(),0,1))</f>
        <v>118.29235859589379</v>
      </c>
      <c r="L669">
        <f t="shared" ca="1" si="708"/>
        <v>107.32622355956032</v>
      </c>
      <c r="M669">
        <f t="shared" ca="1" si="708"/>
        <v>93.125706073495977</v>
      </c>
      <c r="N669">
        <f t="shared" ca="1" si="708"/>
        <v>91.983377658870666</v>
      </c>
      <c r="O669">
        <f t="shared" ca="1" si="708"/>
        <v>88.048901558957667</v>
      </c>
      <c r="P669">
        <f t="shared" ca="1" si="708"/>
        <v>79.796867031590168</v>
      </c>
      <c r="Q669">
        <f t="shared" ca="1" si="684"/>
        <v>102.85538672556237</v>
      </c>
      <c r="R669">
        <f t="shared" ca="1" si="685"/>
        <v>2.8553867255623686</v>
      </c>
      <c r="S669">
        <f t="shared" ca="1" si="686"/>
        <v>2.798846280173954</v>
      </c>
    </row>
    <row r="670" spans="5:19" x14ac:dyDescent="0.75">
      <c r="E670">
        <v>665</v>
      </c>
      <c r="F670">
        <v>100</v>
      </c>
      <c r="G670">
        <f t="shared" ca="1" si="682"/>
        <v>100.34700508422485</v>
      </c>
      <c r="H670">
        <f t="shared" ca="1" si="682"/>
        <v>100.61898430012343</v>
      </c>
      <c r="I670">
        <f t="shared" ca="1" si="682"/>
        <v>91.494144484755211</v>
      </c>
      <c r="J670">
        <f t="shared" ca="1" si="682"/>
        <v>87.837208709146651</v>
      </c>
      <c r="K670">
        <f t="shared" ref="K670:P670" ca="1" si="709">J670*EXP(($C$4-0.5*$C$5^2)*$C$10+$C$5*SQRT($C$10)*NORMINV(RAND(),0,1))</f>
        <v>85.722987624392502</v>
      </c>
      <c r="L670">
        <f t="shared" ca="1" si="709"/>
        <v>89.791475616928111</v>
      </c>
      <c r="M670">
        <f t="shared" ca="1" si="709"/>
        <v>90.260154331743351</v>
      </c>
      <c r="N670">
        <f t="shared" ca="1" si="709"/>
        <v>98.810968551297478</v>
      </c>
      <c r="O670">
        <f t="shared" ca="1" si="709"/>
        <v>91.506074795286807</v>
      </c>
      <c r="P670">
        <f t="shared" ca="1" si="709"/>
        <v>88.753970922634664</v>
      </c>
      <c r="Q670">
        <f t="shared" ca="1" si="684"/>
        <v>93.194815856412106</v>
      </c>
      <c r="R670">
        <f t="shared" ca="1" si="685"/>
        <v>0</v>
      </c>
      <c r="S670">
        <f t="shared" ca="1" si="686"/>
        <v>0</v>
      </c>
    </row>
    <row r="671" spans="5:19" x14ac:dyDescent="0.75">
      <c r="E671">
        <v>666</v>
      </c>
      <c r="F671">
        <v>100</v>
      </c>
      <c r="G671">
        <f t="shared" ca="1" si="682"/>
        <v>112.28568474986484</v>
      </c>
      <c r="H671">
        <f t="shared" ca="1" si="682"/>
        <v>113.78897110349031</v>
      </c>
      <c r="I671">
        <f t="shared" ca="1" si="682"/>
        <v>114.06908036391167</v>
      </c>
      <c r="J671">
        <f t="shared" ca="1" si="682"/>
        <v>109.84912818698763</v>
      </c>
      <c r="K671">
        <f t="shared" ref="K671:P671" ca="1" si="710">J671*EXP(($C$4-0.5*$C$5^2)*$C$10+$C$5*SQRT($C$10)*NORMINV(RAND(),0,1))</f>
        <v>109.18099615845762</v>
      </c>
      <c r="L671">
        <f t="shared" ca="1" si="710"/>
        <v>109.00325202321864</v>
      </c>
      <c r="M671">
        <f t="shared" ca="1" si="710"/>
        <v>117.05163658029353</v>
      </c>
      <c r="N671">
        <f t="shared" ca="1" si="710"/>
        <v>129.67160355226838</v>
      </c>
      <c r="O671">
        <f t="shared" ca="1" si="710"/>
        <v>130.21933933852551</v>
      </c>
      <c r="P671">
        <f t="shared" ca="1" si="710"/>
        <v>142.97167201789796</v>
      </c>
      <c r="Q671">
        <f t="shared" ca="1" si="684"/>
        <v>117.09921491590148</v>
      </c>
      <c r="R671">
        <f t="shared" ca="1" si="685"/>
        <v>17.099214915901484</v>
      </c>
      <c r="S671">
        <f t="shared" ca="1" si="686"/>
        <v>16.760627775153715</v>
      </c>
    </row>
    <row r="672" spans="5:19" x14ac:dyDescent="0.75">
      <c r="E672">
        <v>667</v>
      </c>
      <c r="F672">
        <v>100</v>
      </c>
      <c r="G672">
        <f t="shared" ca="1" si="682"/>
        <v>104.10420472181011</v>
      </c>
      <c r="H672">
        <f t="shared" ca="1" si="682"/>
        <v>100.39652338315365</v>
      </c>
      <c r="I672">
        <f t="shared" ca="1" si="682"/>
        <v>111.9272908960609</v>
      </c>
      <c r="J672">
        <f t="shared" ca="1" si="682"/>
        <v>107.89234870930972</v>
      </c>
      <c r="K672">
        <f t="shared" ref="K672:P672" ca="1" si="711">J672*EXP(($C$4-0.5*$C$5^2)*$C$10+$C$5*SQRT($C$10)*NORMINV(RAND(),0,1))</f>
        <v>113.88194084926666</v>
      </c>
      <c r="L672">
        <f t="shared" ca="1" si="711"/>
        <v>111.39683335583607</v>
      </c>
      <c r="M672">
        <f t="shared" ca="1" si="711"/>
        <v>116.76190267745231</v>
      </c>
      <c r="N672">
        <f t="shared" ca="1" si="711"/>
        <v>120.71355720519087</v>
      </c>
      <c r="O672">
        <f t="shared" ca="1" si="711"/>
        <v>132.9732682356607</v>
      </c>
      <c r="P672">
        <f t="shared" ca="1" si="711"/>
        <v>125.86967821711454</v>
      </c>
      <c r="Q672">
        <f t="shared" ca="1" si="684"/>
        <v>113.26523165916869</v>
      </c>
      <c r="R672">
        <f t="shared" ca="1" si="685"/>
        <v>13.265231659168691</v>
      </c>
      <c r="S672">
        <f t="shared" ca="1" si="686"/>
        <v>13.002562473423918</v>
      </c>
    </row>
    <row r="673" spans="5:19" x14ac:dyDescent="0.75">
      <c r="E673">
        <v>668</v>
      </c>
      <c r="F673">
        <v>100</v>
      </c>
      <c r="G673">
        <f t="shared" ca="1" si="682"/>
        <v>97.944573315983618</v>
      </c>
      <c r="H673">
        <f t="shared" ca="1" si="682"/>
        <v>98.132708199027846</v>
      </c>
      <c r="I673">
        <f t="shared" ca="1" si="682"/>
        <v>99.930017385837758</v>
      </c>
      <c r="J673">
        <f t="shared" ca="1" si="682"/>
        <v>97.529334437744353</v>
      </c>
      <c r="K673">
        <f t="shared" ref="K673:P673" ca="1" si="712">J673*EXP(($C$4-0.5*$C$5^2)*$C$10+$C$5*SQRT($C$10)*NORMINV(RAND(),0,1))</f>
        <v>112.9716471801009</v>
      </c>
      <c r="L673">
        <f t="shared" ca="1" si="712"/>
        <v>110.73193191700334</v>
      </c>
      <c r="M673">
        <f t="shared" ca="1" si="712"/>
        <v>107.01797599625594</v>
      </c>
      <c r="N673">
        <f t="shared" ca="1" si="712"/>
        <v>99.130273318384425</v>
      </c>
      <c r="O673">
        <f t="shared" ca="1" si="712"/>
        <v>95.657636847888398</v>
      </c>
      <c r="P673">
        <f t="shared" ca="1" si="712"/>
        <v>96.096255247699787</v>
      </c>
      <c r="Q673">
        <f t="shared" ca="1" si="684"/>
        <v>101.37657762235693</v>
      </c>
      <c r="R673">
        <f t="shared" ca="1" si="685"/>
        <v>1.3765776223569333</v>
      </c>
      <c r="S673">
        <f t="shared" ca="1" si="686"/>
        <v>1.3493195591380336</v>
      </c>
    </row>
    <row r="674" spans="5:19" x14ac:dyDescent="0.75">
      <c r="E674">
        <v>669</v>
      </c>
      <c r="F674">
        <v>100</v>
      </c>
      <c r="G674">
        <f t="shared" ca="1" si="682"/>
        <v>102.27219124174434</v>
      </c>
      <c r="H674">
        <f t="shared" ca="1" si="682"/>
        <v>100.7673714015144</v>
      </c>
      <c r="I674">
        <f t="shared" ca="1" si="682"/>
        <v>101.27173406935893</v>
      </c>
      <c r="J674">
        <f t="shared" ca="1" si="682"/>
        <v>93.956712324803703</v>
      </c>
      <c r="K674">
        <f t="shared" ref="K674:P674" ca="1" si="713">J674*EXP(($C$4-0.5*$C$5^2)*$C$10+$C$5*SQRT($C$10)*NORMINV(RAND(),0,1))</f>
        <v>85.231958576432035</v>
      </c>
      <c r="L674">
        <f t="shared" ca="1" si="713"/>
        <v>81.598525644575545</v>
      </c>
      <c r="M674">
        <f t="shared" ca="1" si="713"/>
        <v>87.195922321219001</v>
      </c>
      <c r="N674">
        <f t="shared" ca="1" si="713"/>
        <v>87.156788534226621</v>
      </c>
      <c r="O674">
        <f t="shared" ca="1" si="713"/>
        <v>94.410806819349176</v>
      </c>
      <c r="P674">
        <f t="shared" ca="1" si="713"/>
        <v>93.989340392920994</v>
      </c>
      <c r="Q674">
        <f t="shared" ca="1" si="684"/>
        <v>93.441031938740423</v>
      </c>
      <c r="R674">
        <f t="shared" ca="1" si="685"/>
        <v>0</v>
      </c>
      <c r="S674">
        <f t="shared" ca="1" si="686"/>
        <v>0</v>
      </c>
    </row>
    <row r="675" spans="5:19" x14ac:dyDescent="0.75">
      <c r="E675">
        <v>670</v>
      </c>
      <c r="F675">
        <v>100</v>
      </c>
      <c r="G675">
        <f t="shared" ca="1" si="682"/>
        <v>110.2793686679762</v>
      </c>
      <c r="H675">
        <f t="shared" ca="1" si="682"/>
        <v>117.16074562512632</v>
      </c>
      <c r="I675">
        <f t="shared" ca="1" si="682"/>
        <v>117.28512929271736</v>
      </c>
      <c r="J675">
        <f t="shared" ca="1" si="682"/>
        <v>131.77397901538049</v>
      </c>
      <c r="K675">
        <f t="shared" ref="K675:P675" ca="1" si="714">J675*EXP(($C$4-0.5*$C$5^2)*$C$10+$C$5*SQRT($C$10)*NORMINV(RAND(),0,1))</f>
        <v>127.8266970475932</v>
      </c>
      <c r="L675">
        <f t="shared" ca="1" si="714"/>
        <v>128.32606285829411</v>
      </c>
      <c r="M675">
        <f t="shared" ca="1" si="714"/>
        <v>120.75259215611487</v>
      </c>
      <c r="N675">
        <f t="shared" ca="1" si="714"/>
        <v>119.8204200069891</v>
      </c>
      <c r="O675">
        <f t="shared" ca="1" si="714"/>
        <v>128.48683169225868</v>
      </c>
      <c r="P675">
        <f t="shared" ca="1" si="714"/>
        <v>128.67561507201469</v>
      </c>
      <c r="Q675">
        <f t="shared" ca="1" si="684"/>
        <v>120.94431285767864</v>
      </c>
      <c r="R675">
        <f t="shared" ca="1" si="685"/>
        <v>20.944312857678639</v>
      </c>
      <c r="S675">
        <f t="shared" ca="1" si="686"/>
        <v>20.529587676418217</v>
      </c>
    </row>
    <row r="676" spans="5:19" x14ac:dyDescent="0.75">
      <c r="E676">
        <v>671</v>
      </c>
      <c r="F676">
        <v>100</v>
      </c>
      <c r="G676">
        <f t="shared" ca="1" si="682"/>
        <v>97.932426060328595</v>
      </c>
      <c r="H676">
        <f t="shared" ca="1" si="682"/>
        <v>107.93244829598591</v>
      </c>
      <c r="I676">
        <f t="shared" ca="1" si="682"/>
        <v>105.33904233295893</v>
      </c>
      <c r="J676">
        <f t="shared" ca="1" si="682"/>
        <v>106.47120332262969</v>
      </c>
      <c r="K676">
        <f t="shared" ref="K676:P676" ca="1" si="715">J676*EXP(($C$4-0.5*$C$5^2)*$C$10+$C$5*SQRT($C$10)*NORMINV(RAND(),0,1))</f>
        <v>107.17104201030149</v>
      </c>
      <c r="L676">
        <f t="shared" ca="1" si="715"/>
        <v>108.11940953991349</v>
      </c>
      <c r="M676">
        <f t="shared" ca="1" si="715"/>
        <v>110.90458891110808</v>
      </c>
      <c r="N676">
        <f t="shared" ca="1" si="715"/>
        <v>107.44462069299125</v>
      </c>
      <c r="O676">
        <f t="shared" ca="1" si="715"/>
        <v>107.31399354328214</v>
      </c>
      <c r="P676">
        <f t="shared" ca="1" si="715"/>
        <v>109.31629579779617</v>
      </c>
      <c r="Q676">
        <f t="shared" ca="1" si="684"/>
        <v>106.17682459157233</v>
      </c>
      <c r="R676">
        <f t="shared" ca="1" si="685"/>
        <v>6.176824591572327</v>
      </c>
      <c r="S676">
        <f t="shared" ca="1" si="686"/>
        <v>6.0545152699077356</v>
      </c>
    </row>
    <row r="677" spans="5:19" x14ac:dyDescent="0.75">
      <c r="E677">
        <v>672</v>
      </c>
      <c r="F677">
        <v>100</v>
      </c>
      <c r="G677">
        <f t="shared" ca="1" si="682"/>
        <v>100.38092788031693</v>
      </c>
      <c r="H677">
        <f t="shared" ca="1" si="682"/>
        <v>104.10347556374269</v>
      </c>
      <c r="I677">
        <f t="shared" ca="1" si="682"/>
        <v>109.62240607569468</v>
      </c>
      <c r="J677">
        <f t="shared" ca="1" si="682"/>
        <v>117.16807724466243</v>
      </c>
      <c r="K677">
        <f t="shared" ref="K677:P677" ca="1" si="716">J677*EXP(($C$4-0.5*$C$5^2)*$C$10+$C$5*SQRT($C$10)*NORMINV(RAND(),0,1))</f>
        <v>108.00738902090785</v>
      </c>
      <c r="L677">
        <f t="shared" ca="1" si="716"/>
        <v>113.18659344318885</v>
      </c>
      <c r="M677">
        <f t="shared" ca="1" si="716"/>
        <v>115.64398351247301</v>
      </c>
      <c r="N677">
        <f t="shared" ca="1" si="716"/>
        <v>112.02763222923038</v>
      </c>
      <c r="O677">
        <f t="shared" ca="1" si="716"/>
        <v>106.81091130227702</v>
      </c>
      <c r="P677">
        <f t="shared" ca="1" si="716"/>
        <v>99.222248737312157</v>
      </c>
      <c r="Q677">
        <f t="shared" ca="1" si="684"/>
        <v>107.83396772816418</v>
      </c>
      <c r="R677">
        <f t="shared" ca="1" si="685"/>
        <v>7.8339677281641826</v>
      </c>
      <c r="S677">
        <f t="shared" ca="1" si="686"/>
        <v>7.6788447738744674</v>
      </c>
    </row>
    <row r="678" spans="5:19" x14ac:dyDescent="0.75">
      <c r="E678">
        <v>673</v>
      </c>
      <c r="F678">
        <v>100</v>
      </c>
      <c r="G678">
        <f t="shared" ca="1" si="682"/>
        <v>109.05544203786894</v>
      </c>
      <c r="H678">
        <f t="shared" ca="1" si="682"/>
        <v>102.74038369648892</v>
      </c>
      <c r="I678">
        <f t="shared" ca="1" si="682"/>
        <v>98.832802596852915</v>
      </c>
      <c r="J678">
        <f t="shared" ca="1" si="682"/>
        <v>106.61193204637527</v>
      </c>
      <c r="K678">
        <f t="shared" ref="K678:P678" ca="1" si="717">J678*EXP(($C$4-0.5*$C$5^2)*$C$10+$C$5*SQRT($C$10)*NORMINV(RAND(),0,1))</f>
        <v>105.12340579847617</v>
      </c>
      <c r="L678">
        <f t="shared" ca="1" si="717"/>
        <v>103.24909438204601</v>
      </c>
      <c r="M678">
        <f t="shared" ca="1" si="717"/>
        <v>102.73455439643452</v>
      </c>
      <c r="N678">
        <f t="shared" ca="1" si="717"/>
        <v>98.958504468107137</v>
      </c>
      <c r="O678">
        <f t="shared" ca="1" si="717"/>
        <v>93.261765377641268</v>
      </c>
      <c r="P678">
        <f t="shared" ca="1" si="717"/>
        <v>88.688941063099506</v>
      </c>
      <c r="Q678">
        <f t="shared" ca="1" si="684"/>
        <v>100.8415296239446</v>
      </c>
      <c r="R678">
        <f t="shared" ca="1" si="685"/>
        <v>0.84152962394459507</v>
      </c>
      <c r="S678">
        <f t="shared" ca="1" si="686"/>
        <v>0.82486622093882478</v>
      </c>
    </row>
    <row r="679" spans="5:19" x14ac:dyDescent="0.75">
      <c r="E679">
        <v>674</v>
      </c>
      <c r="F679">
        <v>100</v>
      </c>
      <c r="G679">
        <f t="shared" ca="1" si="682"/>
        <v>103.58882663852518</v>
      </c>
      <c r="H679">
        <f t="shared" ca="1" si="682"/>
        <v>116.27799669252002</v>
      </c>
      <c r="I679">
        <f t="shared" ca="1" si="682"/>
        <v>122.41529369241364</v>
      </c>
      <c r="J679">
        <f t="shared" ca="1" si="682"/>
        <v>130.82732490926455</v>
      </c>
      <c r="K679">
        <f t="shared" ref="K679:P679" ca="1" si="718">J679*EXP(($C$4-0.5*$C$5^2)*$C$10+$C$5*SQRT($C$10)*NORMINV(RAND(),0,1))</f>
        <v>115.40924301774329</v>
      </c>
      <c r="L679">
        <f t="shared" ca="1" si="718"/>
        <v>124.83020274025107</v>
      </c>
      <c r="M679">
        <f t="shared" ca="1" si="718"/>
        <v>125.55124093208383</v>
      </c>
      <c r="N679">
        <f t="shared" ca="1" si="718"/>
        <v>134.33770806510705</v>
      </c>
      <c r="O679">
        <f t="shared" ca="1" si="718"/>
        <v>134.7395897661884</v>
      </c>
      <c r="P679">
        <f t="shared" ca="1" si="718"/>
        <v>127.91248935812287</v>
      </c>
      <c r="Q679">
        <f t="shared" ca="1" si="684"/>
        <v>121.4445378011109</v>
      </c>
      <c r="R679">
        <f t="shared" ca="1" si="685"/>
        <v>21.444537801110897</v>
      </c>
      <c r="S679">
        <f t="shared" ca="1" si="686"/>
        <v>21.019907502325463</v>
      </c>
    </row>
    <row r="680" spans="5:19" x14ac:dyDescent="0.75">
      <c r="E680">
        <v>675</v>
      </c>
      <c r="F680">
        <v>100</v>
      </c>
      <c r="G680">
        <f t="shared" ca="1" si="682"/>
        <v>87.703892755495232</v>
      </c>
      <c r="H680">
        <f t="shared" ca="1" si="682"/>
        <v>92.880956900444048</v>
      </c>
      <c r="I680">
        <f t="shared" ca="1" si="682"/>
        <v>90.313239033590634</v>
      </c>
      <c r="J680">
        <f t="shared" ca="1" si="682"/>
        <v>95.24432874326601</v>
      </c>
      <c r="K680">
        <f t="shared" ref="K680:P680" ca="1" si="719">J680*EXP(($C$4-0.5*$C$5^2)*$C$10+$C$5*SQRT($C$10)*NORMINV(RAND(),0,1))</f>
        <v>93.363820634281424</v>
      </c>
      <c r="L680">
        <f t="shared" ca="1" si="719"/>
        <v>96.512885879530245</v>
      </c>
      <c r="M680">
        <f t="shared" ca="1" si="719"/>
        <v>84.501926521399312</v>
      </c>
      <c r="N680">
        <f t="shared" ca="1" si="719"/>
        <v>87.505197933281849</v>
      </c>
      <c r="O680">
        <f t="shared" ca="1" si="719"/>
        <v>82.834766096789977</v>
      </c>
      <c r="P680">
        <f t="shared" ca="1" si="719"/>
        <v>77.037676074681215</v>
      </c>
      <c r="Q680">
        <f t="shared" ca="1" si="684"/>
        <v>89.8089718702509</v>
      </c>
      <c r="R680">
        <f t="shared" ca="1" si="685"/>
        <v>0</v>
      </c>
      <c r="S680">
        <f t="shared" ca="1" si="686"/>
        <v>0</v>
      </c>
    </row>
    <row r="681" spans="5:19" x14ac:dyDescent="0.75">
      <c r="E681">
        <v>676</v>
      </c>
      <c r="F681">
        <v>100</v>
      </c>
      <c r="G681">
        <f t="shared" ca="1" si="682"/>
        <v>101.31376449136404</v>
      </c>
      <c r="H681">
        <f t="shared" ca="1" si="682"/>
        <v>94.355663103441984</v>
      </c>
      <c r="I681">
        <f t="shared" ca="1" si="682"/>
        <v>93.269850184399658</v>
      </c>
      <c r="J681">
        <f t="shared" ca="1" si="682"/>
        <v>97.004565568724473</v>
      </c>
      <c r="K681">
        <f t="shared" ref="K681:P681" ca="1" si="720">J681*EXP(($C$4-0.5*$C$5^2)*$C$10+$C$5*SQRT($C$10)*NORMINV(RAND(),0,1))</f>
        <v>84.10959595991757</v>
      </c>
      <c r="L681">
        <f t="shared" ca="1" si="720"/>
        <v>78.000879934533245</v>
      </c>
      <c r="M681">
        <f t="shared" ca="1" si="720"/>
        <v>79.945308158345171</v>
      </c>
      <c r="N681">
        <f t="shared" ca="1" si="720"/>
        <v>82.65938353821997</v>
      </c>
      <c r="O681">
        <f t="shared" ca="1" si="720"/>
        <v>86.041819645493391</v>
      </c>
      <c r="P681">
        <f t="shared" ca="1" si="720"/>
        <v>85.148476464591909</v>
      </c>
      <c r="Q681">
        <f t="shared" ca="1" si="684"/>
        <v>89.259027913548309</v>
      </c>
      <c r="R681">
        <f t="shared" ca="1" si="685"/>
        <v>0</v>
      </c>
      <c r="S681">
        <f t="shared" ca="1" si="686"/>
        <v>0</v>
      </c>
    </row>
    <row r="682" spans="5:19" x14ac:dyDescent="0.75">
      <c r="E682">
        <v>677</v>
      </c>
      <c r="F682">
        <v>100</v>
      </c>
      <c r="G682">
        <f t="shared" ca="1" si="682"/>
        <v>102.8516864331794</v>
      </c>
      <c r="H682">
        <f t="shared" ca="1" si="682"/>
        <v>97.771848672330833</v>
      </c>
      <c r="I682">
        <f t="shared" ca="1" si="682"/>
        <v>98.221787696844927</v>
      </c>
      <c r="J682">
        <f t="shared" ca="1" si="682"/>
        <v>101.75617610169299</v>
      </c>
      <c r="K682">
        <f t="shared" ref="K682:P682" ca="1" si="721">J682*EXP(($C$4-0.5*$C$5^2)*$C$10+$C$5*SQRT($C$10)*NORMINV(RAND(),0,1))</f>
        <v>94.626791974657351</v>
      </c>
      <c r="L682">
        <f t="shared" ca="1" si="721"/>
        <v>91.003373649093305</v>
      </c>
      <c r="M682">
        <f t="shared" ca="1" si="721"/>
        <v>90.53940100146103</v>
      </c>
      <c r="N682">
        <f t="shared" ca="1" si="721"/>
        <v>87.796173951993694</v>
      </c>
      <c r="O682">
        <f t="shared" ca="1" si="721"/>
        <v>91.037818886082334</v>
      </c>
      <c r="P682">
        <f t="shared" ca="1" si="721"/>
        <v>99.846832567847386</v>
      </c>
      <c r="Q682">
        <f t="shared" ca="1" si="684"/>
        <v>95.950171903198452</v>
      </c>
      <c r="R682">
        <f t="shared" ca="1" si="685"/>
        <v>0</v>
      </c>
      <c r="S682">
        <f t="shared" ca="1" si="686"/>
        <v>0</v>
      </c>
    </row>
    <row r="683" spans="5:19" x14ac:dyDescent="0.75">
      <c r="E683">
        <v>678</v>
      </c>
      <c r="F683">
        <v>100</v>
      </c>
      <c r="G683">
        <f t="shared" ca="1" si="682"/>
        <v>102.25693326253655</v>
      </c>
      <c r="H683">
        <f t="shared" ca="1" si="682"/>
        <v>89.425439644158942</v>
      </c>
      <c r="I683">
        <f t="shared" ca="1" si="682"/>
        <v>97.331224174572753</v>
      </c>
      <c r="J683">
        <f t="shared" ca="1" si="682"/>
        <v>108.76320724605372</v>
      </c>
      <c r="K683">
        <f t="shared" ref="K683:P683" ca="1" si="722">J683*EXP(($C$4-0.5*$C$5^2)*$C$10+$C$5*SQRT($C$10)*NORMINV(RAND(),0,1))</f>
        <v>95.912402237403327</v>
      </c>
      <c r="L683">
        <f t="shared" ca="1" si="722"/>
        <v>93.61862097310528</v>
      </c>
      <c r="M683">
        <f t="shared" ca="1" si="722"/>
        <v>101.91777327446503</v>
      </c>
      <c r="N683">
        <f t="shared" ca="1" si="722"/>
        <v>115.85117510004342</v>
      </c>
      <c r="O683">
        <f t="shared" ca="1" si="722"/>
        <v>124.42268066295439</v>
      </c>
      <c r="P683">
        <f t="shared" ca="1" si="722"/>
        <v>119.53739298599454</v>
      </c>
      <c r="Q683">
        <f t="shared" ca="1" si="684"/>
        <v>104.45789541466253</v>
      </c>
      <c r="R683">
        <f t="shared" ca="1" si="685"/>
        <v>4.4578954146625307</v>
      </c>
      <c r="S683">
        <f t="shared" ca="1" si="686"/>
        <v>4.3696231711924804</v>
      </c>
    </row>
    <row r="684" spans="5:19" x14ac:dyDescent="0.75">
      <c r="E684">
        <v>679</v>
      </c>
      <c r="F684">
        <v>100</v>
      </c>
      <c r="G684">
        <f t="shared" ca="1" si="682"/>
        <v>102.57961266052507</v>
      </c>
      <c r="H684">
        <f t="shared" ca="1" si="682"/>
        <v>103.42058330877337</v>
      </c>
      <c r="I684">
        <f t="shared" ca="1" si="682"/>
        <v>91.786589705539527</v>
      </c>
      <c r="J684">
        <f t="shared" ca="1" si="682"/>
        <v>97.14694969914224</v>
      </c>
      <c r="K684">
        <f t="shared" ref="K684:P684" ca="1" si="723">J684*EXP(($C$4-0.5*$C$5^2)*$C$10+$C$5*SQRT($C$10)*NORMINV(RAND(),0,1))</f>
        <v>90.921284649798238</v>
      </c>
      <c r="L684">
        <f t="shared" ca="1" si="723"/>
        <v>86.757742246575376</v>
      </c>
      <c r="M684">
        <f t="shared" ca="1" si="723"/>
        <v>79.071867575584918</v>
      </c>
      <c r="N684">
        <f t="shared" ca="1" si="723"/>
        <v>80.246945372355128</v>
      </c>
      <c r="O684">
        <f t="shared" ca="1" si="723"/>
        <v>80.289879345232862</v>
      </c>
      <c r="P684">
        <f t="shared" ca="1" si="723"/>
        <v>77.540316195587408</v>
      </c>
      <c r="Q684">
        <f t="shared" ca="1" si="684"/>
        <v>89.978342796283115</v>
      </c>
      <c r="R684">
        <f t="shared" ca="1" si="685"/>
        <v>0</v>
      </c>
      <c r="S684">
        <f t="shared" ca="1" si="686"/>
        <v>0</v>
      </c>
    </row>
    <row r="685" spans="5:19" x14ac:dyDescent="0.75">
      <c r="E685">
        <v>680</v>
      </c>
      <c r="F685">
        <v>100</v>
      </c>
      <c r="G685">
        <f t="shared" ca="1" si="682"/>
        <v>100.11457942361616</v>
      </c>
      <c r="H685">
        <f t="shared" ca="1" si="682"/>
        <v>104.93290304050218</v>
      </c>
      <c r="I685">
        <f t="shared" ca="1" si="682"/>
        <v>108.81985916818515</v>
      </c>
      <c r="J685">
        <f t="shared" ca="1" si="682"/>
        <v>115.10343907602578</v>
      </c>
      <c r="K685">
        <f t="shared" ref="K685:P685" ca="1" si="724">J685*EXP(($C$4-0.5*$C$5^2)*$C$10+$C$5*SQRT($C$10)*NORMINV(RAND(),0,1))</f>
        <v>112.29034834870431</v>
      </c>
      <c r="L685">
        <f t="shared" ca="1" si="724"/>
        <v>117.96088216220893</v>
      </c>
      <c r="M685">
        <f t="shared" ca="1" si="724"/>
        <v>124.99687220218941</v>
      </c>
      <c r="N685">
        <f t="shared" ca="1" si="724"/>
        <v>138.95640537084509</v>
      </c>
      <c r="O685">
        <f t="shared" ca="1" si="724"/>
        <v>142.40110271777269</v>
      </c>
      <c r="P685">
        <f t="shared" ca="1" si="724"/>
        <v>136.58556178182275</v>
      </c>
      <c r="Q685">
        <f t="shared" ca="1" si="684"/>
        <v>118.37835939017022</v>
      </c>
      <c r="R685">
        <f t="shared" ca="1" si="685"/>
        <v>18.378359390170218</v>
      </c>
      <c r="S685">
        <f t="shared" ca="1" si="686"/>
        <v>18.014443491799593</v>
      </c>
    </row>
    <row r="686" spans="5:19" x14ac:dyDescent="0.75">
      <c r="E686">
        <v>681</v>
      </c>
      <c r="F686">
        <v>100</v>
      </c>
      <c r="G686">
        <f t="shared" ca="1" si="682"/>
        <v>104.52426324657016</v>
      </c>
      <c r="H686">
        <f t="shared" ca="1" si="682"/>
        <v>114.95204462406868</v>
      </c>
      <c r="I686">
        <f t="shared" ca="1" si="682"/>
        <v>106.04889118362696</v>
      </c>
      <c r="J686">
        <f t="shared" ca="1" si="682"/>
        <v>105.63850064093053</v>
      </c>
      <c r="K686">
        <f t="shared" ref="K686:P686" ca="1" si="725">J686*EXP(($C$4-0.5*$C$5^2)*$C$10+$C$5*SQRT($C$10)*NORMINV(RAND(),0,1))</f>
        <v>106.75113696846969</v>
      </c>
      <c r="L686">
        <f t="shared" ca="1" si="725"/>
        <v>105.26874477176499</v>
      </c>
      <c r="M686">
        <f t="shared" ca="1" si="725"/>
        <v>101.09722109532788</v>
      </c>
      <c r="N686">
        <f t="shared" ca="1" si="725"/>
        <v>101.42825176073005</v>
      </c>
      <c r="O686">
        <f t="shared" ca="1" si="725"/>
        <v>95.543539825873609</v>
      </c>
      <c r="P686">
        <f t="shared" ca="1" si="725"/>
        <v>95.032608974874165</v>
      </c>
      <c r="Q686">
        <f t="shared" ca="1" si="684"/>
        <v>103.29865482656697</v>
      </c>
      <c r="R686">
        <f t="shared" ca="1" si="685"/>
        <v>3.298654826566974</v>
      </c>
      <c r="S686">
        <f t="shared" ca="1" si="686"/>
        <v>3.2333370846978728</v>
      </c>
    </row>
    <row r="687" spans="5:19" x14ac:dyDescent="0.75">
      <c r="E687">
        <v>682</v>
      </c>
      <c r="F687">
        <v>100</v>
      </c>
      <c r="G687">
        <f t="shared" ca="1" si="682"/>
        <v>96.415610612456575</v>
      </c>
      <c r="H687">
        <f t="shared" ca="1" si="682"/>
        <v>96.856336169702146</v>
      </c>
      <c r="I687">
        <f t="shared" ca="1" si="682"/>
        <v>88.090945659196493</v>
      </c>
      <c r="J687">
        <f t="shared" ca="1" si="682"/>
        <v>84.684224895991534</v>
      </c>
      <c r="K687">
        <f t="shared" ref="K687:P687" ca="1" si="726">J687*EXP(($C$4-0.5*$C$5^2)*$C$10+$C$5*SQRT($C$10)*NORMINV(RAND(),0,1))</f>
        <v>83.23238698833859</v>
      </c>
      <c r="L687">
        <f t="shared" ca="1" si="726"/>
        <v>88.888607334939209</v>
      </c>
      <c r="M687">
        <f t="shared" ca="1" si="726"/>
        <v>99.256982068394663</v>
      </c>
      <c r="N687">
        <f t="shared" ca="1" si="726"/>
        <v>93.107935690953227</v>
      </c>
      <c r="O687">
        <f t="shared" ca="1" si="726"/>
        <v>99.785571930261298</v>
      </c>
      <c r="P687">
        <f t="shared" ca="1" si="726"/>
        <v>105.19953980982855</v>
      </c>
      <c r="Q687">
        <f t="shared" ca="1" si="684"/>
        <v>94.138012832732954</v>
      </c>
      <c r="R687">
        <f t="shared" ca="1" si="685"/>
        <v>0</v>
      </c>
      <c r="S687">
        <f t="shared" ca="1" si="686"/>
        <v>0</v>
      </c>
    </row>
    <row r="688" spans="5:19" x14ac:dyDescent="0.75">
      <c r="E688">
        <v>683</v>
      </c>
      <c r="F688">
        <v>100</v>
      </c>
      <c r="G688">
        <f t="shared" ca="1" si="682"/>
        <v>106.53736459159073</v>
      </c>
      <c r="H688">
        <f t="shared" ca="1" si="682"/>
        <v>104.18128158321218</v>
      </c>
      <c r="I688">
        <f t="shared" ca="1" si="682"/>
        <v>102.22756849611437</v>
      </c>
      <c r="J688">
        <f t="shared" ca="1" si="682"/>
        <v>96.092339651236813</v>
      </c>
      <c r="K688">
        <f t="shared" ref="K688:P688" ca="1" si="727">J688*EXP(($C$4-0.5*$C$5^2)*$C$10+$C$5*SQRT($C$10)*NORMINV(RAND(),0,1))</f>
        <v>105.2320990276871</v>
      </c>
      <c r="L688">
        <f t="shared" ca="1" si="727"/>
        <v>100.74330214764915</v>
      </c>
      <c r="M688">
        <f t="shared" ca="1" si="727"/>
        <v>102.12139113952863</v>
      </c>
      <c r="N688">
        <f t="shared" ca="1" si="727"/>
        <v>107.05925532217918</v>
      </c>
      <c r="O688">
        <f t="shared" ca="1" si="727"/>
        <v>100.64251452771008</v>
      </c>
      <c r="P688">
        <f t="shared" ca="1" si="727"/>
        <v>100.06655380607313</v>
      </c>
      <c r="Q688">
        <f t="shared" ca="1" si="684"/>
        <v>102.26397002663469</v>
      </c>
      <c r="R688">
        <f t="shared" ca="1" si="685"/>
        <v>2.2639700266346949</v>
      </c>
      <c r="S688">
        <f t="shared" ca="1" si="686"/>
        <v>2.2191404165135875</v>
      </c>
    </row>
    <row r="689" spans="5:19" x14ac:dyDescent="0.75">
      <c r="E689">
        <v>684</v>
      </c>
      <c r="F689">
        <v>100</v>
      </c>
      <c r="G689">
        <f t="shared" ca="1" si="682"/>
        <v>96.670754078521284</v>
      </c>
      <c r="H689">
        <f t="shared" ca="1" si="682"/>
        <v>94.867703290074303</v>
      </c>
      <c r="I689">
        <f t="shared" ca="1" si="682"/>
        <v>96.350337617172485</v>
      </c>
      <c r="J689">
        <f t="shared" ca="1" si="682"/>
        <v>91.148008025865735</v>
      </c>
      <c r="K689">
        <f t="shared" ref="K689:P689" ca="1" si="728">J689*EXP(($C$4-0.5*$C$5^2)*$C$10+$C$5*SQRT($C$10)*NORMINV(RAND(),0,1))</f>
        <v>79.656853494583913</v>
      </c>
      <c r="L689">
        <f t="shared" ca="1" si="728"/>
        <v>74.812277744652761</v>
      </c>
      <c r="M689">
        <f t="shared" ca="1" si="728"/>
        <v>74.23696523149134</v>
      </c>
      <c r="N689">
        <f t="shared" ca="1" si="728"/>
        <v>65.169808359878445</v>
      </c>
      <c r="O689">
        <f t="shared" ca="1" si="728"/>
        <v>71.556034945502219</v>
      </c>
      <c r="P689">
        <f t="shared" ca="1" si="728"/>
        <v>74.702674841867463</v>
      </c>
      <c r="Q689">
        <f t="shared" ca="1" si="684"/>
        <v>83.561037966328186</v>
      </c>
      <c r="R689">
        <f t="shared" ca="1" si="685"/>
        <v>0</v>
      </c>
      <c r="S689">
        <f t="shared" ca="1" si="686"/>
        <v>0</v>
      </c>
    </row>
    <row r="690" spans="5:19" x14ac:dyDescent="0.75">
      <c r="E690">
        <v>685</v>
      </c>
      <c r="F690">
        <v>100</v>
      </c>
      <c r="G690">
        <f t="shared" ca="1" si="682"/>
        <v>103.81556700300378</v>
      </c>
      <c r="H690">
        <f t="shared" ca="1" si="682"/>
        <v>106.23492207563224</v>
      </c>
      <c r="I690">
        <f t="shared" ca="1" si="682"/>
        <v>106.98632433785268</v>
      </c>
      <c r="J690">
        <f t="shared" ca="1" si="682"/>
        <v>98.271650593538354</v>
      </c>
      <c r="K690">
        <f t="shared" ref="K690:P690" ca="1" si="729">J690*EXP(($C$4-0.5*$C$5^2)*$C$10+$C$5*SQRT($C$10)*NORMINV(RAND(),0,1))</f>
        <v>92.691981468674399</v>
      </c>
      <c r="L690">
        <f t="shared" ca="1" si="729"/>
        <v>95.197734241516599</v>
      </c>
      <c r="M690">
        <f t="shared" ca="1" si="729"/>
        <v>107.06692594043571</v>
      </c>
      <c r="N690">
        <f t="shared" ca="1" si="729"/>
        <v>97.947137678758153</v>
      </c>
      <c r="O690">
        <f t="shared" ca="1" si="729"/>
        <v>104.94743718177817</v>
      </c>
      <c r="P690">
        <f t="shared" ca="1" si="729"/>
        <v>107.36247943225867</v>
      </c>
      <c r="Q690">
        <f t="shared" ca="1" si="684"/>
        <v>101.86565090485897</v>
      </c>
      <c r="R690">
        <f t="shared" ca="1" si="685"/>
        <v>1.8656509048589669</v>
      </c>
      <c r="S690">
        <f t="shared" ca="1" si="686"/>
        <v>1.8287085417963067</v>
      </c>
    </row>
    <row r="691" spans="5:19" x14ac:dyDescent="0.75">
      <c r="E691">
        <v>686</v>
      </c>
      <c r="F691">
        <v>100</v>
      </c>
      <c r="G691">
        <f t="shared" ca="1" si="682"/>
        <v>99.684937646561892</v>
      </c>
      <c r="H691">
        <f t="shared" ca="1" si="682"/>
        <v>93.633630289830961</v>
      </c>
      <c r="I691">
        <f t="shared" ca="1" si="682"/>
        <v>96.792891012844322</v>
      </c>
      <c r="J691">
        <f t="shared" ca="1" si="682"/>
        <v>107.01284846985665</v>
      </c>
      <c r="K691">
        <f t="shared" ref="K691:P691" ca="1" si="730">J691*EXP(($C$4-0.5*$C$5^2)*$C$10+$C$5*SQRT($C$10)*NORMINV(RAND(),0,1))</f>
        <v>116.53429964958126</v>
      </c>
      <c r="L691">
        <f t="shared" ca="1" si="730"/>
        <v>128.69823297393572</v>
      </c>
      <c r="M691">
        <f t="shared" ca="1" si="730"/>
        <v>141.90330124506315</v>
      </c>
      <c r="N691">
        <f t="shared" ca="1" si="730"/>
        <v>133.1968840724376</v>
      </c>
      <c r="O691">
        <f t="shared" ca="1" si="730"/>
        <v>121.64435897365823</v>
      </c>
      <c r="P691">
        <f t="shared" ca="1" si="730"/>
        <v>109.62467655370517</v>
      </c>
      <c r="Q691">
        <f t="shared" ca="1" si="684"/>
        <v>113.52055098977044</v>
      </c>
      <c r="R691">
        <f t="shared" ca="1" si="685"/>
        <v>13.520550989770442</v>
      </c>
      <c r="S691">
        <f t="shared" ca="1" si="686"/>
        <v>13.252826142549324</v>
      </c>
    </row>
    <row r="692" spans="5:19" x14ac:dyDescent="0.75">
      <c r="E692">
        <v>687</v>
      </c>
      <c r="F692">
        <v>100</v>
      </c>
      <c r="G692">
        <f t="shared" ca="1" si="682"/>
        <v>97.396103767317783</v>
      </c>
      <c r="H692">
        <f t="shared" ca="1" si="682"/>
        <v>98.029659719151169</v>
      </c>
      <c r="I692">
        <f t="shared" ca="1" si="682"/>
        <v>98.622783730363182</v>
      </c>
      <c r="J692">
        <f t="shared" ca="1" si="682"/>
        <v>92.941293500824585</v>
      </c>
      <c r="K692">
        <f t="shared" ref="K692:P692" ca="1" si="731">J692*EXP(($C$4-0.5*$C$5^2)*$C$10+$C$5*SQRT($C$10)*NORMINV(RAND(),0,1))</f>
        <v>101.60343890419425</v>
      </c>
      <c r="L692">
        <f t="shared" ca="1" si="731"/>
        <v>106.9028168508749</v>
      </c>
      <c r="M692">
        <f t="shared" ca="1" si="731"/>
        <v>114.11906103770515</v>
      </c>
      <c r="N692">
        <f t="shared" ca="1" si="731"/>
        <v>109.90924501418755</v>
      </c>
      <c r="O692">
        <f t="shared" ca="1" si="731"/>
        <v>119.50755104125081</v>
      </c>
      <c r="P692">
        <f t="shared" ca="1" si="731"/>
        <v>111.03642294885519</v>
      </c>
      <c r="Q692">
        <f t="shared" ca="1" si="684"/>
        <v>104.55167059224769</v>
      </c>
      <c r="R692">
        <f t="shared" ca="1" si="685"/>
        <v>4.5516705922476888</v>
      </c>
      <c r="S692">
        <f t="shared" ca="1" si="686"/>
        <v>4.4615414758505576</v>
      </c>
    </row>
    <row r="693" spans="5:19" x14ac:dyDescent="0.75">
      <c r="E693">
        <v>688</v>
      </c>
      <c r="F693">
        <v>100</v>
      </c>
      <c r="G693">
        <f t="shared" ca="1" si="682"/>
        <v>106.42783944849003</v>
      </c>
      <c r="H693">
        <f t="shared" ca="1" si="682"/>
        <v>114.22575264647655</v>
      </c>
      <c r="I693">
        <f t="shared" ca="1" si="682"/>
        <v>101.70586543057595</v>
      </c>
      <c r="J693">
        <f t="shared" ca="1" si="682"/>
        <v>107.63598127152494</v>
      </c>
      <c r="K693">
        <f t="shared" ref="K693:P693" ca="1" si="732">J693*EXP(($C$4-0.5*$C$5^2)*$C$10+$C$5*SQRT($C$10)*NORMINV(RAND(),0,1))</f>
        <v>107.20400408941114</v>
      </c>
      <c r="L693">
        <f t="shared" ca="1" si="732"/>
        <v>115.9736468219277</v>
      </c>
      <c r="M693">
        <f t="shared" ca="1" si="732"/>
        <v>109.34807639783727</v>
      </c>
      <c r="N693">
        <f t="shared" ca="1" si="732"/>
        <v>107.33120636615944</v>
      </c>
      <c r="O693">
        <f t="shared" ca="1" si="732"/>
        <v>107.58634307474466</v>
      </c>
      <c r="P693">
        <f t="shared" ca="1" si="732"/>
        <v>112.09722923195361</v>
      </c>
      <c r="Q693">
        <f t="shared" ca="1" si="684"/>
        <v>108.13963134355467</v>
      </c>
      <c r="R693">
        <f t="shared" ca="1" si="685"/>
        <v>8.1396313435546688</v>
      </c>
      <c r="S693">
        <f t="shared" ca="1" si="686"/>
        <v>7.9784558441583684</v>
      </c>
    </row>
    <row r="694" spans="5:19" x14ac:dyDescent="0.75">
      <c r="E694">
        <v>689</v>
      </c>
      <c r="F694">
        <v>100</v>
      </c>
      <c r="G694">
        <f t="shared" ca="1" si="682"/>
        <v>99.337200256162745</v>
      </c>
      <c r="H694">
        <f t="shared" ca="1" si="682"/>
        <v>104.23281215127911</v>
      </c>
      <c r="I694">
        <f t="shared" ca="1" si="682"/>
        <v>106.39962762664294</v>
      </c>
      <c r="J694">
        <f t="shared" ca="1" si="682"/>
        <v>102.60003515456381</v>
      </c>
      <c r="K694">
        <f t="shared" ref="K694:P694" ca="1" si="733">J694*EXP(($C$4-0.5*$C$5^2)*$C$10+$C$5*SQRT($C$10)*NORMINV(RAND(),0,1))</f>
        <v>95.420569817579121</v>
      </c>
      <c r="L694">
        <f t="shared" ca="1" si="733"/>
        <v>92.035803130691249</v>
      </c>
      <c r="M694">
        <f t="shared" ca="1" si="733"/>
        <v>97.584266313901296</v>
      </c>
      <c r="N694">
        <f t="shared" ca="1" si="733"/>
        <v>91.901758119241961</v>
      </c>
      <c r="O694">
        <f t="shared" ca="1" si="733"/>
        <v>90.493253926267656</v>
      </c>
      <c r="P694">
        <f t="shared" ca="1" si="733"/>
        <v>97.186157815159262</v>
      </c>
      <c r="Q694">
        <f t="shared" ca="1" si="684"/>
        <v>97.926498573771738</v>
      </c>
      <c r="R694">
        <f t="shared" ca="1" si="685"/>
        <v>0</v>
      </c>
      <c r="S694">
        <f t="shared" ca="1" si="686"/>
        <v>0</v>
      </c>
    </row>
    <row r="695" spans="5:19" x14ac:dyDescent="0.75">
      <c r="E695">
        <v>690</v>
      </c>
      <c r="F695">
        <v>100</v>
      </c>
      <c r="G695">
        <f t="shared" ca="1" si="682"/>
        <v>106.21532226078352</v>
      </c>
      <c r="H695">
        <f t="shared" ca="1" si="682"/>
        <v>100.78255124636607</v>
      </c>
      <c r="I695">
        <f t="shared" ca="1" si="682"/>
        <v>97.948873870527251</v>
      </c>
      <c r="J695">
        <f t="shared" ca="1" si="682"/>
        <v>91.194476423616265</v>
      </c>
      <c r="K695">
        <f t="shared" ref="K695:P695" ca="1" si="734">J695*EXP(($C$4-0.5*$C$5^2)*$C$10+$C$5*SQRT($C$10)*NORMINV(RAND(),0,1))</f>
        <v>89.257047947935092</v>
      </c>
      <c r="L695">
        <f t="shared" ca="1" si="734"/>
        <v>85.764677099087564</v>
      </c>
      <c r="M695">
        <f t="shared" ca="1" si="734"/>
        <v>79.362597138341258</v>
      </c>
      <c r="N695">
        <f t="shared" ca="1" si="734"/>
        <v>75.621262538717929</v>
      </c>
      <c r="O695">
        <f t="shared" ca="1" si="734"/>
        <v>74.46382416103296</v>
      </c>
      <c r="P695">
        <f t="shared" ca="1" si="734"/>
        <v>74.874877876993082</v>
      </c>
      <c r="Q695">
        <f t="shared" ca="1" si="684"/>
        <v>88.680500960309175</v>
      </c>
      <c r="R695">
        <f t="shared" ca="1" si="685"/>
        <v>0</v>
      </c>
      <c r="S695">
        <f t="shared" ca="1" si="686"/>
        <v>0</v>
      </c>
    </row>
    <row r="696" spans="5:19" x14ac:dyDescent="0.75">
      <c r="E696">
        <v>691</v>
      </c>
      <c r="F696">
        <v>100</v>
      </c>
      <c r="G696">
        <f t="shared" ca="1" si="682"/>
        <v>102.35355306365619</v>
      </c>
      <c r="H696">
        <f t="shared" ca="1" si="682"/>
        <v>100.72605346170762</v>
      </c>
      <c r="I696">
        <f t="shared" ca="1" si="682"/>
        <v>99.075233154666307</v>
      </c>
      <c r="J696">
        <f t="shared" ca="1" si="682"/>
        <v>97.912347577345926</v>
      </c>
      <c r="K696">
        <f t="shared" ref="K696:P696" ca="1" si="735">J696*EXP(($C$4-0.5*$C$5^2)*$C$10+$C$5*SQRT($C$10)*NORMINV(RAND(),0,1))</f>
        <v>88.359252686514779</v>
      </c>
      <c r="L696">
        <f t="shared" ca="1" si="735"/>
        <v>85.310917390468788</v>
      </c>
      <c r="M696">
        <f t="shared" ca="1" si="735"/>
        <v>79.569636665895842</v>
      </c>
      <c r="N696">
        <f t="shared" ca="1" si="735"/>
        <v>83.41187438105176</v>
      </c>
      <c r="O696">
        <f t="shared" ca="1" si="735"/>
        <v>74.857432350983117</v>
      </c>
      <c r="P696">
        <f t="shared" ca="1" si="735"/>
        <v>76.324127178626185</v>
      </c>
      <c r="Q696">
        <f t="shared" ca="1" si="684"/>
        <v>89.809129810083334</v>
      </c>
      <c r="R696">
        <f t="shared" ca="1" si="685"/>
        <v>0</v>
      </c>
      <c r="S696">
        <f t="shared" ca="1" si="686"/>
        <v>0</v>
      </c>
    </row>
    <row r="697" spans="5:19" x14ac:dyDescent="0.75">
      <c r="E697">
        <v>692</v>
      </c>
      <c r="F697">
        <v>100</v>
      </c>
      <c r="G697">
        <f t="shared" ca="1" si="682"/>
        <v>89.769209430352177</v>
      </c>
      <c r="H697">
        <f t="shared" ca="1" si="682"/>
        <v>80.614813496643436</v>
      </c>
      <c r="I697">
        <f t="shared" ca="1" si="682"/>
        <v>90.44327880692579</v>
      </c>
      <c r="J697">
        <f t="shared" ca="1" si="682"/>
        <v>99.185693236916919</v>
      </c>
      <c r="K697">
        <f t="shared" ref="K697:P697" ca="1" si="736">J697*EXP(($C$4-0.5*$C$5^2)*$C$10+$C$5*SQRT($C$10)*NORMINV(RAND(),0,1))</f>
        <v>119.18134800707342</v>
      </c>
      <c r="L697">
        <f t="shared" ca="1" si="736"/>
        <v>122.61890592861735</v>
      </c>
      <c r="M697">
        <f t="shared" ca="1" si="736"/>
        <v>131.24600826988856</v>
      </c>
      <c r="N697">
        <f t="shared" ca="1" si="736"/>
        <v>143.66673978053316</v>
      </c>
      <c r="O697">
        <f t="shared" ca="1" si="736"/>
        <v>138.09608541030596</v>
      </c>
      <c r="P697">
        <f t="shared" ca="1" si="736"/>
        <v>135.12282331136899</v>
      </c>
      <c r="Q697">
        <f t="shared" ca="1" si="684"/>
        <v>113.63135506169324</v>
      </c>
      <c r="R697">
        <f t="shared" ca="1" si="685"/>
        <v>13.631355061693242</v>
      </c>
      <c r="S697">
        <f t="shared" ca="1" si="686"/>
        <v>13.361436146845039</v>
      </c>
    </row>
    <row r="698" spans="5:19" x14ac:dyDescent="0.75">
      <c r="E698">
        <v>693</v>
      </c>
      <c r="F698">
        <v>100</v>
      </c>
      <c r="G698">
        <f t="shared" ca="1" si="682"/>
        <v>110.46458742243681</v>
      </c>
      <c r="H698">
        <f t="shared" ca="1" si="682"/>
        <v>123.66096078740678</v>
      </c>
      <c r="I698">
        <f t="shared" ca="1" si="682"/>
        <v>116.89640939156439</v>
      </c>
      <c r="J698">
        <f t="shared" ca="1" si="682"/>
        <v>113.28883611953782</v>
      </c>
      <c r="K698">
        <f t="shared" ref="K698:P698" ca="1" si="737">J698*EXP(($C$4-0.5*$C$5^2)*$C$10+$C$5*SQRT($C$10)*NORMINV(RAND(),0,1))</f>
        <v>124.51694494452188</v>
      </c>
      <c r="L698">
        <f t="shared" ca="1" si="737"/>
        <v>130.06492373476414</v>
      </c>
      <c r="M698">
        <f t="shared" ca="1" si="737"/>
        <v>126.14635796206647</v>
      </c>
      <c r="N698">
        <f t="shared" ca="1" si="737"/>
        <v>134.04046354694796</v>
      </c>
      <c r="O698">
        <f t="shared" ca="1" si="737"/>
        <v>137.02491463608831</v>
      </c>
      <c r="P698">
        <f t="shared" ca="1" si="737"/>
        <v>143.32279185331242</v>
      </c>
      <c r="Q698">
        <f t="shared" ca="1" si="684"/>
        <v>123.58429003624063</v>
      </c>
      <c r="R698">
        <f t="shared" ca="1" si="685"/>
        <v>23.584290036240631</v>
      </c>
      <c r="S698">
        <f t="shared" ca="1" si="686"/>
        <v>23.117289804404795</v>
      </c>
    </row>
    <row r="699" spans="5:19" x14ac:dyDescent="0.75">
      <c r="E699">
        <v>694</v>
      </c>
      <c r="F699">
        <v>100</v>
      </c>
      <c r="G699">
        <f t="shared" ca="1" si="682"/>
        <v>104.9036620241355</v>
      </c>
      <c r="H699">
        <f t="shared" ca="1" si="682"/>
        <v>96.2018814393154</v>
      </c>
      <c r="I699">
        <f t="shared" ca="1" si="682"/>
        <v>88.087194434441983</v>
      </c>
      <c r="J699">
        <f t="shared" ca="1" si="682"/>
        <v>77.95083132959266</v>
      </c>
      <c r="K699">
        <f t="shared" ref="K699:P699" ca="1" si="738">J699*EXP(($C$4-0.5*$C$5^2)*$C$10+$C$5*SQRT($C$10)*NORMINV(RAND(),0,1))</f>
        <v>75.320050888059129</v>
      </c>
      <c r="L699">
        <f t="shared" ca="1" si="738"/>
        <v>72.02002649154781</v>
      </c>
      <c r="M699">
        <f t="shared" ca="1" si="738"/>
        <v>64.3012903226887</v>
      </c>
      <c r="N699">
        <f t="shared" ca="1" si="738"/>
        <v>61.495168488306042</v>
      </c>
      <c r="O699">
        <f t="shared" ca="1" si="738"/>
        <v>59.690602764472317</v>
      </c>
      <c r="P699">
        <f t="shared" ca="1" si="738"/>
        <v>62.732910989733909</v>
      </c>
      <c r="Q699">
        <f t="shared" ca="1" si="684"/>
        <v>78.427601742935764</v>
      </c>
      <c r="R699">
        <f t="shared" ca="1" si="685"/>
        <v>0</v>
      </c>
      <c r="S699">
        <f t="shared" ca="1" si="686"/>
        <v>0</v>
      </c>
    </row>
    <row r="700" spans="5:19" x14ac:dyDescent="0.75">
      <c r="E700">
        <v>695</v>
      </c>
      <c r="F700">
        <v>100</v>
      </c>
      <c r="G700">
        <f t="shared" ca="1" si="682"/>
        <v>95.434034932050338</v>
      </c>
      <c r="H700">
        <f t="shared" ca="1" si="682"/>
        <v>100.45922757778929</v>
      </c>
      <c r="I700">
        <f t="shared" ca="1" si="682"/>
        <v>109.86195517279999</v>
      </c>
      <c r="J700">
        <f t="shared" ca="1" si="682"/>
        <v>99.976161051665486</v>
      </c>
      <c r="K700">
        <f t="shared" ref="K700:P700" ca="1" si="739">J700*EXP(($C$4-0.5*$C$5^2)*$C$10+$C$5*SQRT($C$10)*NORMINV(RAND(),0,1))</f>
        <v>101.38488587826836</v>
      </c>
      <c r="L700">
        <f t="shared" ca="1" si="739"/>
        <v>102.46735898987554</v>
      </c>
      <c r="M700">
        <f t="shared" ca="1" si="739"/>
        <v>111.160679431796</v>
      </c>
      <c r="N700">
        <f t="shared" ca="1" si="739"/>
        <v>114.28325009991717</v>
      </c>
      <c r="O700">
        <f t="shared" ca="1" si="739"/>
        <v>116.68796220071951</v>
      </c>
      <c r="P700">
        <f t="shared" ca="1" si="739"/>
        <v>112.75721675308392</v>
      </c>
      <c r="Q700">
        <f t="shared" ca="1" si="684"/>
        <v>105.86115746254231</v>
      </c>
      <c r="R700">
        <f t="shared" ca="1" si="685"/>
        <v>5.8611574625423088</v>
      </c>
      <c r="S700">
        <f t="shared" ca="1" si="686"/>
        <v>5.7450987688259589</v>
      </c>
    </row>
    <row r="701" spans="5:19" x14ac:dyDescent="0.75">
      <c r="E701">
        <v>696</v>
      </c>
      <c r="F701">
        <v>100</v>
      </c>
      <c r="G701">
        <f t="shared" ca="1" si="682"/>
        <v>90.121495546224097</v>
      </c>
      <c r="H701">
        <f t="shared" ca="1" si="682"/>
        <v>78.66019247242744</v>
      </c>
      <c r="I701">
        <f t="shared" ca="1" si="682"/>
        <v>78.069235749757013</v>
      </c>
      <c r="J701">
        <f t="shared" ca="1" si="682"/>
        <v>81.985379884644047</v>
      </c>
      <c r="K701">
        <f t="shared" ref="K701:P701" ca="1" si="740">J701*EXP(($C$4-0.5*$C$5^2)*$C$10+$C$5*SQRT($C$10)*NORMINV(RAND(),0,1))</f>
        <v>80.011837973312296</v>
      </c>
      <c r="L701">
        <f t="shared" ca="1" si="740"/>
        <v>80.405278256218068</v>
      </c>
      <c r="M701">
        <f t="shared" ca="1" si="740"/>
        <v>91.68312295608122</v>
      </c>
      <c r="N701">
        <f t="shared" ca="1" si="740"/>
        <v>86.748439174584192</v>
      </c>
      <c r="O701">
        <f t="shared" ca="1" si="740"/>
        <v>97.476566341910356</v>
      </c>
      <c r="P701">
        <f t="shared" ca="1" si="740"/>
        <v>101.57711146259894</v>
      </c>
      <c r="Q701">
        <f t="shared" ca="1" si="684"/>
        <v>87.885332710705242</v>
      </c>
      <c r="R701">
        <f t="shared" ca="1" si="685"/>
        <v>0</v>
      </c>
      <c r="S701">
        <f t="shared" ca="1" si="686"/>
        <v>0</v>
      </c>
    </row>
    <row r="702" spans="5:19" x14ac:dyDescent="0.75">
      <c r="E702">
        <v>697</v>
      </c>
      <c r="F702">
        <v>100</v>
      </c>
      <c r="G702">
        <f t="shared" ca="1" si="682"/>
        <v>100.16965285548905</v>
      </c>
      <c r="H702">
        <f t="shared" ca="1" si="682"/>
        <v>88.735423364040543</v>
      </c>
      <c r="I702">
        <f t="shared" ca="1" si="682"/>
        <v>79.677851685467985</v>
      </c>
      <c r="J702">
        <f t="shared" ca="1" si="682"/>
        <v>83.878231746821882</v>
      </c>
      <c r="K702">
        <f t="shared" ref="K702:P702" ca="1" si="741">J702*EXP(($C$4-0.5*$C$5^2)*$C$10+$C$5*SQRT($C$10)*NORMINV(RAND(),0,1))</f>
        <v>91.606455269919948</v>
      </c>
      <c r="L702">
        <f t="shared" ca="1" si="741"/>
        <v>85.382849247667707</v>
      </c>
      <c r="M702">
        <f t="shared" ca="1" si="741"/>
        <v>88.852178770056213</v>
      </c>
      <c r="N702">
        <f t="shared" ca="1" si="741"/>
        <v>91.70437786271512</v>
      </c>
      <c r="O702">
        <f t="shared" ca="1" si="741"/>
        <v>100.09611204353054</v>
      </c>
      <c r="P702">
        <f t="shared" ca="1" si="741"/>
        <v>90.392152411444755</v>
      </c>
      <c r="Q702">
        <f t="shared" ca="1" si="684"/>
        <v>90.95411684155944</v>
      </c>
      <c r="R702">
        <f t="shared" ca="1" si="685"/>
        <v>0</v>
      </c>
      <c r="S702">
        <f t="shared" ca="1" si="686"/>
        <v>0</v>
      </c>
    </row>
    <row r="703" spans="5:19" x14ac:dyDescent="0.75">
      <c r="E703">
        <v>698</v>
      </c>
      <c r="F703">
        <v>100</v>
      </c>
      <c r="G703">
        <f t="shared" ca="1" si="682"/>
        <v>89.048628381201482</v>
      </c>
      <c r="H703">
        <f t="shared" ca="1" si="682"/>
        <v>91.419278029516079</v>
      </c>
      <c r="I703">
        <f t="shared" ca="1" si="682"/>
        <v>107.55151187924514</v>
      </c>
      <c r="J703">
        <f t="shared" ca="1" si="682"/>
        <v>106.45391216809747</v>
      </c>
      <c r="K703">
        <f t="shared" ref="K703:P703" ca="1" si="742">J703*EXP(($C$4-0.5*$C$5^2)*$C$10+$C$5*SQRT($C$10)*NORMINV(RAND(),0,1))</f>
        <v>113.38751335975994</v>
      </c>
      <c r="L703">
        <f t="shared" ca="1" si="742"/>
        <v>107.73106372248907</v>
      </c>
      <c r="M703">
        <f t="shared" ca="1" si="742"/>
        <v>96.659776884866162</v>
      </c>
      <c r="N703">
        <f t="shared" ca="1" si="742"/>
        <v>90.488992340430329</v>
      </c>
      <c r="O703">
        <f t="shared" ca="1" si="742"/>
        <v>93.206046654565071</v>
      </c>
      <c r="P703">
        <f t="shared" ca="1" si="742"/>
        <v>93.399734121945585</v>
      </c>
      <c r="Q703">
        <f t="shared" ca="1" si="684"/>
        <v>99.031496140192388</v>
      </c>
      <c r="R703">
        <f t="shared" ca="1" si="685"/>
        <v>0</v>
      </c>
      <c r="S703">
        <f t="shared" ca="1" si="686"/>
        <v>0</v>
      </c>
    </row>
    <row r="704" spans="5:19" x14ac:dyDescent="0.75">
      <c r="E704">
        <v>699</v>
      </c>
      <c r="F704">
        <v>100</v>
      </c>
      <c r="G704">
        <f t="shared" ca="1" si="682"/>
        <v>109.42155934728417</v>
      </c>
      <c r="H704">
        <f t="shared" ca="1" si="682"/>
        <v>101.78957765203714</v>
      </c>
      <c r="I704">
        <f t="shared" ca="1" si="682"/>
        <v>107.76336439130161</v>
      </c>
      <c r="J704">
        <f t="shared" ca="1" si="682"/>
        <v>103.73443262290976</v>
      </c>
      <c r="K704">
        <f t="shared" ref="K704:P704" ca="1" si="743">J704*EXP(($C$4-0.5*$C$5^2)*$C$10+$C$5*SQRT($C$10)*NORMINV(RAND(),0,1))</f>
        <v>98.199252764598199</v>
      </c>
      <c r="L704">
        <f t="shared" ca="1" si="743"/>
        <v>97.04695336639162</v>
      </c>
      <c r="M704">
        <f t="shared" ca="1" si="743"/>
        <v>96.582994775132647</v>
      </c>
      <c r="N704">
        <f t="shared" ca="1" si="743"/>
        <v>99.976901449366878</v>
      </c>
      <c r="O704">
        <f t="shared" ca="1" si="743"/>
        <v>103.67841337015781</v>
      </c>
      <c r="P704">
        <f t="shared" ca="1" si="743"/>
        <v>100.34669440517065</v>
      </c>
      <c r="Q704">
        <f t="shared" ca="1" si="684"/>
        <v>101.68546764948641</v>
      </c>
      <c r="R704">
        <f t="shared" ca="1" si="685"/>
        <v>1.6854676494864123</v>
      </c>
      <c r="S704">
        <f t="shared" ca="1" si="686"/>
        <v>1.6520931539280366</v>
      </c>
    </row>
    <row r="705" spans="5:19" x14ac:dyDescent="0.75">
      <c r="E705">
        <v>700</v>
      </c>
      <c r="F705">
        <v>100</v>
      </c>
      <c r="G705">
        <f t="shared" ca="1" si="682"/>
        <v>98.461572528211178</v>
      </c>
      <c r="H705">
        <f t="shared" ca="1" si="682"/>
        <v>89.471608688499614</v>
      </c>
      <c r="I705">
        <f t="shared" ca="1" si="682"/>
        <v>97.019426609587384</v>
      </c>
      <c r="J705">
        <f t="shared" ca="1" si="682"/>
        <v>92.618758890953771</v>
      </c>
      <c r="K705">
        <f t="shared" ref="K705:P705" ca="1" si="744">J705*EXP(($C$4-0.5*$C$5^2)*$C$10+$C$5*SQRT($C$10)*NORMINV(RAND(),0,1))</f>
        <v>87.382830139075949</v>
      </c>
      <c r="L705">
        <f t="shared" ca="1" si="744"/>
        <v>91.749154320889431</v>
      </c>
      <c r="M705">
        <f t="shared" ca="1" si="744"/>
        <v>87.5802020502652</v>
      </c>
      <c r="N705">
        <f t="shared" ca="1" si="744"/>
        <v>87.389096569100388</v>
      </c>
      <c r="O705">
        <f t="shared" ca="1" si="744"/>
        <v>82.394056221603421</v>
      </c>
      <c r="P705">
        <f t="shared" ca="1" si="744"/>
        <v>93.479052930273838</v>
      </c>
      <c r="Q705">
        <f t="shared" ca="1" si="684"/>
        <v>91.595068995314534</v>
      </c>
      <c r="R705">
        <f t="shared" ca="1" si="685"/>
        <v>0</v>
      </c>
      <c r="S705">
        <f t="shared" ca="1" si="686"/>
        <v>0</v>
      </c>
    </row>
    <row r="706" spans="5:19" x14ac:dyDescent="0.75">
      <c r="E706">
        <v>701</v>
      </c>
      <c r="F706">
        <v>100</v>
      </c>
      <c r="G706">
        <f t="shared" ca="1" si="682"/>
        <v>97.316216132927252</v>
      </c>
      <c r="H706">
        <f t="shared" ca="1" si="682"/>
        <v>89.683374986582464</v>
      </c>
      <c r="I706">
        <f t="shared" ca="1" si="682"/>
        <v>92.657403068575306</v>
      </c>
      <c r="J706">
        <f t="shared" ca="1" si="682"/>
        <v>87.916088390003722</v>
      </c>
      <c r="K706">
        <f t="shared" ref="K706:P706" ca="1" si="745">J706*EXP(($C$4-0.5*$C$5^2)*$C$10+$C$5*SQRT($C$10)*NORMINV(RAND(),0,1))</f>
        <v>87.949936133069301</v>
      </c>
      <c r="L706">
        <f t="shared" ca="1" si="745"/>
        <v>84.179238196968427</v>
      </c>
      <c r="M706">
        <f t="shared" ca="1" si="745"/>
        <v>88.329074027194665</v>
      </c>
      <c r="N706">
        <f t="shared" ca="1" si="745"/>
        <v>92.21004706735016</v>
      </c>
      <c r="O706">
        <f t="shared" ca="1" si="745"/>
        <v>94.566288640230184</v>
      </c>
      <c r="P706">
        <f t="shared" ca="1" si="745"/>
        <v>92.790076343216739</v>
      </c>
      <c r="Q706">
        <f t="shared" ca="1" si="684"/>
        <v>91.599794816919839</v>
      </c>
      <c r="R706">
        <f t="shared" ca="1" si="685"/>
        <v>0</v>
      </c>
      <c r="S706">
        <f t="shared" ca="1" si="686"/>
        <v>0</v>
      </c>
    </row>
    <row r="707" spans="5:19" x14ac:dyDescent="0.75">
      <c r="E707">
        <v>702</v>
      </c>
      <c r="F707">
        <v>100</v>
      </c>
      <c r="G707">
        <f t="shared" ca="1" si="682"/>
        <v>101.85317706306751</v>
      </c>
      <c r="H707">
        <f t="shared" ca="1" si="682"/>
        <v>106.33011324043873</v>
      </c>
      <c r="I707">
        <f t="shared" ca="1" si="682"/>
        <v>99.501967788226167</v>
      </c>
      <c r="J707">
        <f t="shared" ca="1" si="682"/>
        <v>106.11514567154749</v>
      </c>
      <c r="K707">
        <f t="shared" ref="K707:P707" ca="1" si="746">J707*EXP(($C$4-0.5*$C$5^2)*$C$10+$C$5*SQRT($C$10)*NORMINV(RAND(),0,1))</f>
        <v>112.93204408865213</v>
      </c>
      <c r="L707">
        <f t="shared" ca="1" si="746"/>
        <v>106.56115603049976</v>
      </c>
      <c r="M707">
        <f t="shared" ca="1" si="746"/>
        <v>101.25214445658571</v>
      </c>
      <c r="N707">
        <f t="shared" ca="1" si="746"/>
        <v>99.668770721094162</v>
      </c>
      <c r="O707">
        <f t="shared" ca="1" si="746"/>
        <v>85.486978732278502</v>
      </c>
      <c r="P707">
        <f t="shared" ca="1" si="746"/>
        <v>79.715013373631805</v>
      </c>
      <c r="Q707">
        <f t="shared" ca="1" si="684"/>
        <v>99.946955560547451</v>
      </c>
      <c r="R707">
        <f t="shared" ca="1" si="685"/>
        <v>0</v>
      </c>
      <c r="S707">
        <f t="shared" ca="1" si="686"/>
        <v>0</v>
      </c>
    </row>
    <row r="708" spans="5:19" x14ac:dyDescent="0.75">
      <c r="E708">
        <v>703</v>
      </c>
      <c r="F708">
        <v>100</v>
      </c>
      <c r="G708">
        <f t="shared" ca="1" si="682"/>
        <v>107.69525767311538</v>
      </c>
      <c r="H708">
        <f t="shared" ca="1" si="682"/>
        <v>94.955164176038352</v>
      </c>
      <c r="I708">
        <f t="shared" ca="1" si="682"/>
        <v>95.966910642047182</v>
      </c>
      <c r="J708">
        <f t="shared" ca="1" si="682"/>
        <v>91.449999774819034</v>
      </c>
      <c r="K708">
        <f t="shared" ref="K708:P708" ca="1" si="747">J708*EXP(($C$4-0.5*$C$5^2)*$C$10+$C$5*SQRT($C$10)*NORMINV(RAND(),0,1))</f>
        <v>94.828651175404062</v>
      </c>
      <c r="L708">
        <f t="shared" ca="1" si="747"/>
        <v>100.42542256926758</v>
      </c>
      <c r="M708">
        <f t="shared" ca="1" si="747"/>
        <v>95.034684742278415</v>
      </c>
      <c r="N708">
        <f t="shared" ca="1" si="747"/>
        <v>109.47204384662891</v>
      </c>
      <c r="O708">
        <f t="shared" ca="1" si="747"/>
        <v>98.634468801154071</v>
      </c>
      <c r="P708">
        <f t="shared" ca="1" si="747"/>
        <v>102.2526274499054</v>
      </c>
      <c r="Q708">
        <f t="shared" ca="1" si="684"/>
        <v>99.155930077332584</v>
      </c>
      <c r="R708">
        <f t="shared" ca="1" si="685"/>
        <v>0</v>
      </c>
      <c r="S708">
        <f t="shared" ca="1" si="686"/>
        <v>0</v>
      </c>
    </row>
    <row r="709" spans="5:19" x14ac:dyDescent="0.75">
      <c r="E709">
        <v>704</v>
      </c>
      <c r="F709">
        <v>100</v>
      </c>
      <c r="G709">
        <f t="shared" ca="1" si="682"/>
        <v>90.649616637005764</v>
      </c>
      <c r="H709">
        <f t="shared" ca="1" si="682"/>
        <v>87.424351427665087</v>
      </c>
      <c r="I709">
        <f t="shared" ca="1" si="682"/>
        <v>86.848213230437693</v>
      </c>
      <c r="J709">
        <f t="shared" ca="1" si="682"/>
        <v>90.485818825296931</v>
      </c>
      <c r="K709">
        <f t="shared" ref="K709:P709" ca="1" si="748">J709*EXP(($C$4-0.5*$C$5^2)*$C$10+$C$5*SQRT($C$10)*NORMINV(RAND(),0,1))</f>
        <v>95.743728051797049</v>
      </c>
      <c r="L709">
        <f t="shared" ca="1" si="748"/>
        <v>93.377565661570998</v>
      </c>
      <c r="M709">
        <f t="shared" ca="1" si="748"/>
        <v>88.875974108096372</v>
      </c>
      <c r="N709">
        <f t="shared" ca="1" si="748"/>
        <v>86.894155043416902</v>
      </c>
      <c r="O709">
        <f t="shared" ca="1" si="748"/>
        <v>88.10723372835723</v>
      </c>
      <c r="P709">
        <f t="shared" ca="1" si="748"/>
        <v>85.996799326471972</v>
      </c>
      <c r="Q709">
        <f t="shared" ca="1" si="684"/>
        <v>90.400314185465092</v>
      </c>
      <c r="R709">
        <f t="shared" ca="1" si="685"/>
        <v>0</v>
      </c>
      <c r="S709">
        <f t="shared" ca="1" si="686"/>
        <v>0</v>
      </c>
    </row>
    <row r="710" spans="5:19" x14ac:dyDescent="0.75">
      <c r="E710">
        <v>705</v>
      </c>
      <c r="F710">
        <v>100</v>
      </c>
      <c r="G710">
        <f t="shared" ca="1" si="682"/>
        <v>102.87791237695534</v>
      </c>
      <c r="H710">
        <f t="shared" ca="1" si="682"/>
        <v>98.682769635600494</v>
      </c>
      <c r="I710">
        <f t="shared" ca="1" si="682"/>
        <v>100.15493534774508</v>
      </c>
      <c r="J710">
        <f t="shared" ref="J710:P710" ca="1" si="749">I710*EXP(($C$4-0.5*$C$5^2)*$C$10+$C$5*SQRT($C$10)*NORMINV(RAND(),0,1))</f>
        <v>102.12918865446356</v>
      </c>
      <c r="K710">
        <f t="shared" ca="1" si="749"/>
        <v>103.98787704648059</v>
      </c>
      <c r="L710">
        <f t="shared" ca="1" si="749"/>
        <v>98.175785967346812</v>
      </c>
      <c r="M710">
        <f t="shared" ca="1" si="749"/>
        <v>92.234040255153147</v>
      </c>
      <c r="N710">
        <f t="shared" ca="1" si="749"/>
        <v>91.166379141157378</v>
      </c>
      <c r="O710">
        <f t="shared" ca="1" si="749"/>
        <v>84.371781630593389</v>
      </c>
      <c r="P710">
        <f t="shared" ca="1" si="749"/>
        <v>82.338843642849895</v>
      </c>
      <c r="Q710">
        <f t="shared" ca="1" si="684"/>
        <v>96.010864881667786</v>
      </c>
      <c r="R710">
        <f t="shared" ca="1" si="685"/>
        <v>0</v>
      </c>
      <c r="S710">
        <f t="shared" ca="1" si="686"/>
        <v>0</v>
      </c>
    </row>
    <row r="711" spans="5:19" x14ac:dyDescent="0.75">
      <c r="E711">
        <v>706</v>
      </c>
      <c r="F711">
        <v>100</v>
      </c>
      <c r="G711">
        <f t="shared" ref="G711:J774" ca="1" si="750">F711*EXP(($C$4-0.5*$C$5^2)*$C$10+$C$5*SQRT($C$10)*NORMINV(RAND(),0,1))</f>
        <v>96.127926712233773</v>
      </c>
      <c r="H711">
        <f t="shared" ca="1" si="750"/>
        <v>86.145581883649541</v>
      </c>
      <c r="I711">
        <f t="shared" ca="1" si="750"/>
        <v>84.495288625103797</v>
      </c>
      <c r="J711">
        <f t="shared" ca="1" si="750"/>
        <v>86.232716352805781</v>
      </c>
      <c r="K711">
        <f t="shared" ref="K711:P711" ca="1" si="751">J711*EXP(($C$4-0.5*$C$5^2)*$C$10+$C$5*SQRT($C$10)*NORMINV(RAND(),0,1))</f>
        <v>84.904217378634726</v>
      </c>
      <c r="L711">
        <f t="shared" ca="1" si="751"/>
        <v>83.49606331187023</v>
      </c>
      <c r="M711">
        <f t="shared" ca="1" si="751"/>
        <v>79.520379020821323</v>
      </c>
      <c r="N711">
        <f t="shared" ca="1" si="751"/>
        <v>83.051672916341261</v>
      </c>
      <c r="O711">
        <f t="shared" ca="1" si="751"/>
        <v>85.677795482207188</v>
      </c>
      <c r="P711">
        <f t="shared" ca="1" si="751"/>
        <v>85.236098677582106</v>
      </c>
      <c r="Q711">
        <f t="shared" ref="Q711:Q774" ca="1" si="752">AVERAGE(F711:P711)</f>
        <v>86.807976396477258</v>
      </c>
      <c r="R711">
        <f t="shared" ref="R711:R774" ca="1" si="753">MAX(Q711-$C$7,0)</f>
        <v>0</v>
      </c>
      <c r="S711">
        <f t="shared" ref="S711:S774" ca="1" si="754">EXP(-$C$4*$C$6)*R711</f>
        <v>0</v>
      </c>
    </row>
    <row r="712" spans="5:19" x14ac:dyDescent="0.75">
      <c r="E712">
        <v>707</v>
      </c>
      <c r="F712">
        <v>100</v>
      </c>
      <c r="G712">
        <f t="shared" ca="1" si="750"/>
        <v>95.803984478687795</v>
      </c>
      <c r="H712">
        <f t="shared" ca="1" si="750"/>
        <v>98.20425038824942</v>
      </c>
      <c r="I712">
        <f t="shared" ca="1" si="750"/>
        <v>107.39764644719483</v>
      </c>
      <c r="J712">
        <f t="shared" ca="1" si="750"/>
        <v>107.81193019057827</v>
      </c>
      <c r="K712">
        <f t="shared" ref="K712:P712" ca="1" si="755">J712*EXP(($C$4-0.5*$C$5^2)*$C$10+$C$5*SQRT($C$10)*NORMINV(RAND(),0,1))</f>
        <v>114.77614905994244</v>
      </c>
      <c r="L712">
        <f t="shared" ca="1" si="755"/>
        <v>109.49546163038613</v>
      </c>
      <c r="M712">
        <f t="shared" ca="1" si="755"/>
        <v>108.05356574916981</v>
      </c>
      <c r="N712">
        <f t="shared" ca="1" si="755"/>
        <v>115.19288932451769</v>
      </c>
      <c r="O712">
        <f t="shared" ca="1" si="755"/>
        <v>114.91219161969342</v>
      </c>
      <c r="P712">
        <f t="shared" ca="1" si="755"/>
        <v>109.67380036874512</v>
      </c>
      <c r="Q712">
        <f t="shared" ca="1" si="752"/>
        <v>107.39289720519682</v>
      </c>
      <c r="R712">
        <f t="shared" ca="1" si="753"/>
        <v>7.3928972051968174</v>
      </c>
      <c r="S712">
        <f t="shared" ca="1" si="754"/>
        <v>7.2465080324271387</v>
      </c>
    </row>
    <row r="713" spans="5:19" x14ac:dyDescent="0.75">
      <c r="E713">
        <v>708</v>
      </c>
      <c r="F713">
        <v>100</v>
      </c>
      <c r="G713">
        <f t="shared" ca="1" si="750"/>
        <v>94.085538452853754</v>
      </c>
      <c r="H713">
        <f t="shared" ca="1" si="750"/>
        <v>87.326021381730499</v>
      </c>
      <c r="I713">
        <f t="shared" ca="1" si="750"/>
        <v>88.784826637308839</v>
      </c>
      <c r="J713">
        <f t="shared" ca="1" si="750"/>
        <v>85.112658765197494</v>
      </c>
      <c r="K713">
        <f t="shared" ref="K713:P713" ca="1" si="756">J713*EXP(($C$4-0.5*$C$5^2)*$C$10+$C$5*SQRT($C$10)*NORMINV(RAND(),0,1))</f>
        <v>81.380196463664333</v>
      </c>
      <c r="L713">
        <f t="shared" ca="1" si="756"/>
        <v>77.3221606152334</v>
      </c>
      <c r="M713">
        <f t="shared" ca="1" si="756"/>
        <v>79.150806513501053</v>
      </c>
      <c r="N713">
        <f t="shared" ca="1" si="756"/>
        <v>82.002041692564021</v>
      </c>
      <c r="O713">
        <f t="shared" ca="1" si="756"/>
        <v>82.264315644653678</v>
      </c>
      <c r="P713">
        <f t="shared" ca="1" si="756"/>
        <v>69.684044231611935</v>
      </c>
      <c r="Q713">
        <f t="shared" ca="1" si="752"/>
        <v>84.282964581665368</v>
      </c>
      <c r="R713">
        <f t="shared" ca="1" si="753"/>
        <v>0</v>
      </c>
      <c r="S713">
        <f t="shared" ca="1" si="754"/>
        <v>0</v>
      </c>
    </row>
    <row r="714" spans="5:19" x14ac:dyDescent="0.75">
      <c r="E714">
        <v>709</v>
      </c>
      <c r="F714">
        <v>100</v>
      </c>
      <c r="G714">
        <f t="shared" ca="1" si="750"/>
        <v>101.05412182100517</v>
      </c>
      <c r="H714">
        <f t="shared" ca="1" si="750"/>
        <v>108.47469573479238</v>
      </c>
      <c r="I714">
        <f t="shared" ca="1" si="750"/>
        <v>96.722326973940284</v>
      </c>
      <c r="J714">
        <f t="shared" ca="1" si="750"/>
        <v>103.42685483252644</v>
      </c>
      <c r="K714">
        <f t="shared" ref="K714:P714" ca="1" si="757">J714*EXP(($C$4-0.5*$C$5^2)*$C$10+$C$5*SQRT($C$10)*NORMINV(RAND(),0,1))</f>
        <v>97.853347013870732</v>
      </c>
      <c r="L714">
        <f t="shared" ca="1" si="757"/>
        <v>99.587506963788925</v>
      </c>
      <c r="M714">
        <f t="shared" ca="1" si="757"/>
        <v>104.39131717173913</v>
      </c>
      <c r="N714">
        <f t="shared" ca="1" si="757"/>
        <v>96.263860376745811</v>
      </c>
      <c r="O714">
        <f t="shared" ca="1" si="757"/>
        <v>106.64317294056524</v>
      </c>
      <c r="P714">
        <f t="shared" ca="1" si="757"/>
        <v>108.0365434739462</v>
      </c>
      <c r="Q714">
        <f t="shared" ca="1" si="752"/>
        <v>102.04124975481095</v>
      </c>
      <c r="R714">
        <f t="shared" ca="1" si="753"/>
        <v>2.0412497548109485</v>
      </c>
      <c r="S714">
        <f t="shared" ca="1" si="754"/>
        <v>2.0008303015534312</v>
      </c>
    </row>
    <row r="715" spans="5:19" x14ac:dyDescent="0.75">
      <c r="E715">
        <v>710</v>
      </c>
      <c r="F715">
        <v>100</v>
      </c>
      <c r="G715">
        <f t="shared" ca="1" si="750"/>
        <v>95.823147041898565</v>
      </c>
      <c r="H715">
        <f t="shared" ca="1" si="750"/>
        <v>99.855715742271471</v>
      </c>
      <c r="I715">
        <f t="shared" ca="1" si="750"/>
        <v>98.459381431741861</v>
      </c>
      <c r="J715">
        <f t="shared" ca="1" si="750"/>
        <v>103.56948016515494</v>
      </c>
      <c r="K715">
        <f t="shared" ref="K715:P715" ca="1" si="758">J715*EXP(($C$4-0.5*$C$5^2)*$C$10+$C$5*SQRT($C$10)*NORMINV(RAND(),0,1))</f>
        <v>108.24243306241378</v>
      </c>
      <c r="L715">
        <f t="shared" ca="1" si="758"/>
        <v>97.412416656765686</v>
      </c>
      <c r="M715">
        <f t="shared" ca="1" si="758"/>
        <v>103.48968661656461</v>
      </c>
      <c r="N715">
        <f t="shared" ca="1" si="758"/>
        <v>101.14747442328922</v>
      </c>
      <c r="O715">
        <f t="shared" ca="1" si="758"/>
        <v>100.63849595956931</v>
      </c>
      <c r="P715">
        <f t="shared" ca="1" si="758"/>
        <v>99.274604925719075</v>
      </c>
      <c r="Q715">
        <f t="shared" ca="1" si="752"/>
        <v>100.71934872958077</v>
      </c>
      <c r="R715">
        <f t="shared" ca="1" si="753"/>
        <v>0.71934872958077278</v>
      </c>
      <c r="S715">
        <f t="shared" ca="1" si="754"/>
        <v>0.70510467037997338</v>
      </c>
    </row>
    <row r="716" spans="5:19" x14ac:dyDescent="0.75">
      <c r="E716">
        <v>711</v>
      </c>
      <c r="F716">
        <v>100</v>
      </c>
      <c r="G716">
        <f t="shared" ca="1" si="750"/>
        <v>105.98677539897008</v>
      </c>
      <c r="H716">
        <f t="shared" ca="1" si="750"/>
        <v>121.07002593349037</v>
      </c>
      <c r="I716">
        <f t="shared" ca="1" si="750"/>
        <v>110.42312220426403</v>
      </c>
      <c r="J716">
        <f t="shared" ca="1" si="750"/>
        <v>122.34526809907462</v>
      </c>
      <c r="K716">
        <f t="shared" ref="K716:P716" ca="1" si="759">J716*EXP(($C$4-0.5*$C$5^2)*$C$10+$C$5*SQRT($C$10)*NORMINV(RAND(),0,1))</f>
        <v>117.19404955303376</v>
      </c>
      <c r="L716">
        <f t="shared" ca="1" si="759"/>
        <v>114.51578084745204</v>
      </c>
      <c r="M716">
        <f t="shared" ca="1" si="759"/>
        <v>116.54205368009561</v>
      </c>
      <c r="N716">
        <f t="shared" ca="1" si="759"/>
        <v>114.19189807505755</v>
      </c>
      <c r="O716">
        <f t="shared" ca="1" si="759"/>
        <v>126.69996993879644</v>
      </c>
      <c r="P716">
        <f t="shared" ca="1" si="759"/>
        <v>128.12269407386989</v>
      </c>
      <c r="Q716">
        <f t="shared" ca="1" si="752"/>
        <v>116.09923980037314</v>
      </c>
      <c r="R716">
        <f t="shared" ca="1" si="753"/>
        <v>16.099239800373141</v>
      </c>
      <c r="S716">
        <f t="shared" ca="1" si="754"/>
        <v>15.780453493573065</v>
      </c>
    </row>
    <row r="717" spans="5:19" x14ac:dyDescent="0.75">
      <c r="E717">
        <v>712</v>
      </c>
      <c r="F717">
        <v>100</v>
      </c>
      <c r="G717">
        <f t="shared" ca="1" si="750"/>
        <v>97.857011084921794</v>
      </c>
      <c r="H717">
        <f t="shared" ca="1" si="750"/>
        <v>93.318574038739527</v>
      </c>
      <c r="I717">
        <f t="shared" ca="1" si="750"/>
        <v>93.002117428899297</v>
      </c>
      <c r="J717">
        <f t="shared" ca="1" si="750"/>
        <v>80.662925358845001</v>
      </c>
      <c r="K717">
        <f t="shared" ref="K717:P717" ca="1" si="760">J717*EXP(($C$4-0.5*$C$5^2)*$C$10+$C$5*SQRT($C$10)*NORMINV(RAND(),0,1))</f>
        <v>81.402944930477517</v>
      </c>
      <c r="L717">
        <f t="shared" ca="1" si="760"/>
        <v>71.138853137144324</v>
      </c>
      <c r="M717">
        <f t="shared" ca="1" si="760"/>
        <v>67.48220818916927</v>
      </c>
      <c r="N717">
        <f t="shared" ca="1" si="760"/>
        <v>63.119798966560332</v>
      </c>
      <c r="O717">
        <f t="shared" ca="1" si="760"/>
        <v>65.466294168113365</v>
      </c>
      <c r="P717">
        <f t="shared" ca="1" si="760"/>
        <v>66.918275971588471</v>
      </c>
      <c r="Q717">
        <f t="shared" ca="1" si="752"/>
        <v>80.033545752223532</v>
      </c>
      <c r="R717">
        <f t="shared" ca="1" si="753"/>
        <v>0</v>
      </c>
      <c r="S717">
        <f t="shared" ca="1" si="754"/>
        <v>0</v>
      </c>
    </row>
    <row r="718" spans="5:19" x14ac:dyDescent="0.75">
      <c r="E718">
        <v>713</v>
      </c>
      <c r="F718">
        <v>100</v>
      </c>
      <c r="G718">
        <f t="shared" ca="1" si="750"/>
        <v>105.01151532376549</v>
      </c>
      <c r="H718">
        <f t="shared" ca="1" si="750"/>
        <v>120.62630030928165</v>
      </c>
      <c r="I718">
        <f t="shared" ca="1" si="750"/>
        <v>109.00018134390257</v>
      </c>
      <c r="J718">
        <f t="shared" ca="1" si="750"/>
        <v>107.34372917458889</v>
      </c>
      <c r="K718">
        <f t="shared" ref="K718:P718" ca="1" si="761">J718*EXP(($C$4-0.5*$C$5^2)*$C$10+$C$5*SQRT($C$10)*NORMINV(RAND(),0,1))</f>
        <v>111.80428470036476</v>
      </c>
      <c r="L718">
        <f t="shared" ca="1" si="761"/>
        <v>125.95003701268577</v>
      </c>
      <c r="M718">
        <f t="shared" ca="1" si="761"/>
        <v>129.86494013675642</v>
      </c>
      <c r="N718">
        <f t="shared" ca="1" si="761"/>
        <v>123.18443571536363</v>
      </c>
      <c r="O718">
        <f t="shared" ca="1" si="761"/>
        <v>123.09000847117466</v>
      </c>
      <c r="P718">
        <f t="shared" ca="1" si="761"/>
        <v>116.94999834555036</v>
      </c>
      <c r="Q718">
        <f t="shared" ca="1" si="752"/>
        <v>115.71140277576677</v>
      </c>
      <c r="R718">
        <f t="shared" ca="1" si="753"/>
        <v>15.711402775766771</v>
      </c>
      <c r="S718">
        <f t="shared" ca="1" si="754"/>
        <v>15.400296156594662</v>
      </c>
    </row>
    <row r="719" spans="5:19" x14ac:dyDescent="0.75">
      <c r="E719">
        <v>714</v>
      </c>
      <c r="F719">
        <v>100</v>
      </c>
      <c r="G719">
        <f t="shared" ca="1" si="750"/>
        <v>102.23859858292637</v>
      </c>
      <c r="H719">
        <f t="shared" ca="1" si="750"/>
        <v>108.6526295004665</v>
      </c>
      <c r="I719">
        <f t="shared" ca="1" si="750"/>
        <v>116.34904756687766</v>
      </c>
      <c r="J719">
        <f t="shared" ca="1" si="750"/>
        <v>114.28119710583636</v>
      </c>
      <c r="K719">
        <f t="shared" ref="K719:P719" ca="1" si="762">J719*EXP(($C$4-0.5*$C$5^2)*$C$10+$C$5*SQRT($C$10)*NORMINV(RAND(),0,1))</f>
        <v>127.22056753062331</v>
      </c>
      <c r="L719">
        <f t="shared" ca="1" si="762"/>
        <v>122.72068208920838</v>
      </c>
      <c r="M719">
        <f t="shared" ca="1" si="762"/>
        <v>137.55092612369589</v>
      </c>
      <c r="N719">
        <f t="shared" ca="1" si="762"/>
        <v>123.74077690306133</v>
      </c>
      <c r="O719">
        <f t="shared" ca="1" si="762"/>
        <v>122.81929338477576</v>
      </c>
      <c r="P719">
        <f t="shared" ca="1" si="762"/>
        <v>121.89522309534544</v>
      </c>
      <c r="Q719">
        <f t="shared" ca="1" si="752"/>
        <v>117.95172198934701</v>
      </c>
      <c r="R719">
        <f t="shared" ca="1" si="753"/>
        <v>17.951721989347007</v>
      </c>
      <c r="S719">
        <f t="shared" ca="1" si="754"/>
        <v>17.596254077529643</v>
      </c>
    </row>
    <row r="720" spans="5:19" x14ac:dyDescent="0.75">
      <c r="E720">
        <v>715</v>
      </c>
      <c r="F720">
        <v>100</v>
      </c>
      <c r="G720">
        <f t="shared" ca="1" si="750"/>
        <v>87.62191624420295</v>
      </c>
      <c r="H720">
        <f t="shared" ca="1" si="750"/>
        <v>90.557902191725063</v>
      </c>
      <c r="I720">
        <f t="shared" ca="1" si="750"/>
        <v>91.959816360992676</v>
      </c>
      <c r="J720">
        <f t="shared" ca="1" si="750"/>
        <v>103.06845828577329</v>
      </c>
      <c r="K720">
        <f t="shared" ref="K720:P720" ca="1" si="763">J720*EXP(($C$4-0.5*$C$5^2)*$C$10+$C$5*SQRT($C$10)*NORMINV(RAND(),0,1))</f>
        <v>98.132294457959532</v>
      </c>
      <c r="L720">
        <f t="shared" ca="1" si="763"/>
        <v>94.338692679573967</v>
      </c>
      <c r="M720">
        <f t="shared" ca="1" si="763"/>
        <v>101.6463938670949</v>
      </c>
      <c r="N720">
        <f t="shared" ca="1" si="763"/>
        <v>110.44998712111487</v>
      </c>
      <c r="O720">
        <f t="shared" ca="1" si="763"/>
        <v>106.59655678988305</v>
      </c>
      <c r="P720">
        <f t="shared" ca="1" si="763"/>
        <v>103.58405983307506</v>
      </c>
      <c r="Q720">
        <f t="shared" ca="1" si="752"/>
        <v>98.905097984672324</v>
      </c>
      <c r="R720">
        <f t="shared" ca="1" si="753"/>
        <v>0</v>
      </c>
      <c r="S720">
        <f t="shared" ca="1" si="754"/>
        <v>0</v>
      </c>
    </row>
    <row r="721" spans="5:19" x14ac:dyDescent="0.75">
      <c r="E721">
        <v>716</v>
      </c>
      <c r="F721">
        <v>100</v>
      </c>
      <c r="G721">
        <f t="shared" ca="1" si="750"/>
        <v>100.1314799985594</v>
      </c>
      <c r="H721">
        <f t="shared" ca="1" si="750"/>
        <v>98.399745093943366</v>
      </c>
      <c r="I721">
        <f t="shared" ca="1" si="750"/>
        <v>95.085685979579466</v>
      </c>
      <c r="J721">
        <f t="shared" ca="1" si="750"/>
        <v>87.591593896003317</v>
      </c>
      <c r="K721">
        <f t="shared" ref="K721:P721" ca="1" si="764">J721*EXP(($C$4-0.5*$C$5^2)*$C$10+$C$5*SQRT($C$10)*NORMINV(RAND(),0,1))</f>
        <v>87.485154873244426</v>
      </c>
      <c r="L721">
        <f t="shared" ca="1" si="764"/>
        <v>93.652199420824658</v>
      </c>
      <c r="M721">
        <f t="shared" ca="1" si="764"/>
        <v>103.37027131655609</v>
      </c>
      <c r="N721">
        <f t="shared" ca="1" si="764"/>
        <v>105.81024658532206</v>
      </c>
      <c r="O721">
        <f t="shared" ca="1" si="764"/>
        <v>110.46857287373462</v>
      </c>
      <c r="P721">
        <f t="shared" ca="1" si="764"/>
        <v>107.39536066768605</v>
      </c>
      <c r="Q721">
        <f t="shared" ca="1" si="752"/>
        <v>99.03548279140486</v>
      </c>
      <c r="R721">
        <f t="shared" ca="1" si="753"/>
        <v>0</v>
      </c>
      <c r="S721">
        <f t="shared" ca="1" si="754"/>
        <v>0</v>
      </c>
    </row>
    <row r="722" spans="5:19" x14ac:dyDescent="0.75">
      <c r="E722">
        <v>717</v>
      </c>
      <c r="F722">
        <v>100</v>
      </c>
      <c r="G722">
        <f t="shared" ca="1" si="750"/>
        <v>115.89589222499174</v>
      </c>
      <c r="H722">
        <f t="shared" ca="1" si="750"/>
        <v>112.61097121747052</v>
      </c>
      <c r="I722">
        <f t="shared" ca="1" si="750"/>
        <v>124.98646935898083</v>
      </c>
      <c r="J722">
        <f t="shared" ca="1" si="750"/>
        <v>117.29832452170014</v>
      </c>
      <c r="K722">
        <f t="shared" ref="K722:P722" ca="1" si="765">J722*EXP(($C$4-0.5*$C$5^2)*$C$10+$C$5*SQRT($C$10)*NORMINV(RAND(),0,1))</f>
        <v>118.14366821294627</v>
      </c>
      <c r="L722">
        <f t="shared" ca="1" si="765"/>
        <v>129.39019093625214</v>
      </c>
      <c r="M722">
        <f t="shared" ca="1" si="765"/>
        <v>135.08964286271149</v>
      </c>
      <c r="N722">
        <f t="shared" ca="1" si="765"/>
        <v>131.90083121028593</v>
      </c>
      <c r="O722">
        <f t="shared" ca="1" si="765"/>
        <v>136.68610194309156</v>
      </c>
      <c r="P722">
        <f t="shared" ca="1" si="765"/>
        <v>144.67891666088107</v>
      </c>
      <c r="Q722">
        <f t="shared" ca="1" si="752"/>
        <v>124.24372810448288</v>
      </c>
      <c r="R722">
        <f t="shared" ca="1" si="753"/>
        <v>24.243728104482884</v>
      </c>
      <c r="S722">
        <f t="shared" ca="1" si="754"/>
        <v>23.763670124023818</v>
      </c>
    </row>
    <row r="723" spans="5:19" x14ac:dyDescent="0.75">
      <c r="E723">
        <v>718</v>
      </c>
      <c r="F723">
        <v>100</v>
      </c>
      <c r="G723">
        <f t="shared" ca="1" si="750"/>
        <v>103.6931571912707</v>
      </c>
      <c r="H723">
        <f t="shared" ca="1" si="750"/>
        <v>97.729802864642267</v>
      </c>
      <c r="I723">
        <f t="shared" ca="1" si="750"/>
        <v>92.912898175357014</v>
      </c>
      <c r="J723">
        <f t="shared" ca="1" si="750"/>
        <v>99.260394658034699</v>
      </c>
      <c r="K723">
        <f t="shared" ref="K723:P723" ca="1" si="766">J723*EXP(($C$4-0.5*$C$5^2)*$C$10+$C$5*SQRT($C$10)*NORMINV(RAND(),0,1))</f>
        <v>102.11055081044638</v>
      </c>
      <c r="L723">
        <f t="shared" ca="1" si="766"/>
        <v>103.27983973442686</v>
      </c>
      <c r="M723">
        <f t="shared" ca="1" si="766"/>
        <v>109.56382648694246</v>
      </c>
      <c r="N723">
        <f t="shared" ca="1" si="766"/>
        <v>110.66686327064123</v>
      </c>
      <c r="O723">
        <f t="shared" ca="1" si="766"/>
        <v>103.85236516797252</v>
      </c>
      <c r="P723">
        <f t="shared" ca="1" si="766"/>
        <v>109.26814932882121</v>
      </c>
      <c r="Q723">
        <f t="shared" ca="1" si="752"/>
        <v>102.93980433532323</v>
      </c>
      <c r="R723">
        <f t="shared" ca="1" si="753"/>
        <v>2.939804335323231</v>
      </c>
      <c r="S723">
        <f t="shared" ca="1" si="754"/>
        <v>2.8815923092652787</v>
      </c>
    </row>
    <row r="724" spans="5:19" x14ac:dyDescent="0.75">
      <c r="E724">
        <v>719</v>
      </c>
      <c r="F724">
        <v>100</v>
      </c>
      <c r="G724">
        <f t="shared" ca="1" si="750"/>
        <v>101.1058082937637</v>
      </c>
      <c r="H724">
        <f t="shared" ca="1" si="750"/>
        <v>101.93825648726484</v>
      </c>
      <c r="I724">
        <f t="shared" ca="1" si="750"/>
        <v>93.884343173646485</v>
      </c>
      <c r="J724">
        <f t="shared" ca="1" si="750"/>
        <v>98.346099065466419</v>
      </c>
      <c r="K724">
        <f t="shared" ref="K724:P724" ca="1" si="767">J724*EXP(($C$4-0.5*$C$5^2)*$C$10+$C$5*SQRT($C$10)*NORMINV(RAND(),0,1))</f>
        <v>94.118641856747431</v>
      </c>
      <c r="L724">
        <f t="shared" ca="1" si="767"/>
        <v>102.37080170954677</v>
      </c>
      <c r="M724">
        <f t="shared" ca="1" si="767"/>
        <v>99.931379702466401</v>
      </c>
      <c r="N724">
        <f t="shared" ca="1" si="767"/>
        <v>109.26854910624208</v>
      </c>
      <c r="O724">
        <f t="shared" ca="1" si="767"/>
        <v>115.32740503187078</v>
      </c>
      <c r="P724">
        <f t="shared" ca="1" si="767"/>
        <v>125.08530094274357</v>
      </c>
      <c r="Q724">
        <f t="shared" ca="1" si="752"/>
        <v>103.76150776088713</v>
      </c>
      <c r="R724">
        <f t="shared" ca="1" si="753"/>
        <v>3.7615077608871275</v>
      </c>
      <c r="S724">
        <f t="shared" ca="1" si="754"/>
        <v>3.6870249168546261</v>
      </c>
    </row>
    <row r="725" spans="5:19" x14ac:dyDescent="0.75">
      <c r="E725">
        <v>720</v>
      </c>
      <c r="F725">
        <v>100</v>
      </c>
      <c r="G725">
        <f t="shared" ca="1" si="750"/>
        <v>105.49428823494145</v>
      </c>
      <c r="H725">
        <f t="shared" ca="1" si="750"/>
        <v>103.4447433916489</v>
      </c>
      <c r="I725">
        <f t="shared" ca="1" si="750"/>
        <v>111.13661540041537</v>
      </c>
      <c r="J725">
        <f t="shared" ca="1" si="750"/>
        <v>110.78468794863252</v>
      </c>
      <c r="K725">
        <f t="shared" ref="K725:P725" ca="1" si="768">J725*EXP(($C$4-0.5*$C$5^2)*$C$10+$C$5*SQRT($C$10)*NORMINV(RAND(),0,1))</f>
        <v>110.61270040795505</v>
      </c>
      <c r="L725">
        <f t="shared" ca="1" si="768"/>
        <v>124.55389469822489</v>
      </c>
      <c r="M725">
        <f t="shared" ca="1" si="768"/>
        <v>136.95438552479462</v>
      </c>
      <c r="N725">
        <f t="shared" ca="1" si="768"/>
        <v>138.05705027373207</v>
      </c>
      <c r="O725">
        <f t="shared" ca="1" si="768"/>
        <v>139.11698260919897</v>
      </c>
      <c r="P725">
        <f t="shared" ca="1" si="768"/>
        <v>127.28068962909511</v>
      </c>
      <c r="Q725">
        <f t="shared" ca="1" si="752"/>
        <v>118.85782164714898</v>
      </c>
      <c r="R725">
        <f t="shared" ca="1" si="753"/>
        <v>18.857821647148981</v>
      </c>
      <c r="S725">
        <f t="shared" ca="1" si="754"/>
        <v>18.484411759990842</v>
      </c>
    </row>
    <row r="726" spans="5:19" x14ac:dyDescent="0.75">
      <c r="E726">
        <v>721</v>
      </c>
      <c r="F726">
        <v>100</v>
      </c>
      <c r="G726">
        <f t="shared" ca="1" si="750"/>
        <v>101.81580659701869</v>
      </c>
      <c r="H726">
        <f t="shared" ca="1" si="750"/>
        <v>99.033903183803105</v>
      </c>
      <c r="I726">
        <f t="shared" ca="1" si="750"/>
        <v>104.38624830962678</v>
      </c>
      <c r="J726">
        <f t="shared" ca="1" si="750"/>
        <v>108.96049232240314</v>
      </c>
      <c r="K726">
        <f t="shared" ref="K726:P726" ca="1" si="769">J726*EXP(($C$4-0.5*$C$5^2)*$C$10+$C$5*SQRT($C$10)*NORMINV(RAND(),0,1))</f>
        <v>115.25147055598606</v>
      </c>
      <c r="L726">
        <f t="shared" ca="1" si="769"/>
        <v>118.01122604302475</v>
      </c>
      <c r="M726">
        <f t="shared" ca="1" si="769"/>
        <v>128.05221107514896</v>
      </c>
      <c r="N726">
        <f t="shared" ca="1" si="769"/>
        <v>123.31152248240797</v>
      </c>
      <c r="O726">
        <f t="shared" ca="1" si="769"/>
        <v>123.89274810564766</v>
      </c>
      <c r="P726">
        <f t="shared" ca="1" si="769"/>
        <v>130.96810464788751</v>
      </c>
      <c r="Q726">
        <f t="shared" ca="1" si="752"/>
        <v>113.97124848390496</v>
      </c>
      <c r="R726">
        <f t="shared" ca="1" si="753"/>
        <v>13.971248483904958</v>
      </c>
      <c r="S726">
        <f t="shared" ca="1" si="754"/>
        <v>13.694599228362655</v>
      </c>
    </row>
    <row r="727" spans="5:19" x14ac:dyDescent="0.75">
      <c r="E727">
        <v>722</v>
      </c>
      <c r="F727">
        <v>100</v>
      </c>
      <c r="G727">
        <f t="shared" ca="1" si="750"/>
        <v>101.50657186962755</v>
      </c>
      <c r="H727">
        <f t="shared" ca="1" si="750"/>
        <v>102.22081496401435</v>
      </c>
      <c r="I727">
        <f t="shared" ca="1" si="750"/>
        <v>105.55783149573182</v>
      </c>
      <c r="J727">
        <f t="shared" ca="1" si="750"/>
        <v>108.4559892715196</v>
      </c>
      <c r="K727">
        <f t="shared" ref="K727:P727" ca="1" si="770">J727*EXP(($C$4-0.5*$C$5^2)*$C$10+$C$5*SQRT($C$10)*NORMINV(RAND(),0,1))</f>
        <v>113.47476252081923</v>
      </c>
      <c r="L727">
        <f t="shared" ca="1" si="770"/>
        <v>117.72660051494547</v>
      </c>
      <c r="M727">
        <f t="shared" ca="1" si="770"/>
        <v>113.77439559615961</v>
      </c>
      <c r="N727">
        <f t="shared" ca="1" si="770"/>
        <v>113.33843231482153</v>
      </c>
      <c r="O727">
        <f t="shared" ca="1" si="770"/>
        <v>115.28270987241093</v>
      </c>
      <c r="P727">
        <f t="shared" ca="1" si="770"/>
        <v>112.39943340471437</v>
      </c>
      <c r="Q727">
        <f t="shared" ca="1" si="752"/>
        <v>109.43068562043312</v>
      </c>
      <c r="R727">
        <f t="shared" ca="1" si="753"/>
        <v>9.430685620433124</v>
      </c>
      <c r="S727">
        <f t="shared" ca="1" si="754"/>
        <v>9.2439455335216429</v>
      </c>
    </row>
    <row r="728" spans="5:19" x14ac:dyDescent="0.75">
      <c r="E728">
        <v>723</v>
      </c>
      <c r="F728">
        <v>100</v>
      </c>
      <c r="G728">
        <f t="shared" ca="1" si="750"/>
        <v>104.99622563697524</v>
      </c>
      <c r="H728">
        <f t="shared" ca="1" si="750"/>
        <v>110.59521729716801</v>
      </c>
      <c r="I728">
        <f t="shared" ca="1" si="750"/>
        <v>106.15268109040895</v>
      </c>
      <c r="J728">
        <f t="shared" ca="1" si="750"/>
        <v>104.99655376824356</v>
      </c>
      <c r="K728">
        <f t="shared" ref="K728:P728" ca="1" si="771">J728*EXP(($C$4-0.5*$C$5^2)*$C$10+$C$5*SQRT($C$10)*NORMINV(RAND(),0,1))</f>
        <v>101.71001962202247</v>
      </c>
      <c r="L728">
        <f t="shared" ca="1" si="771"/>
        <v>102.8221854768816</v>
      </c>
      <c r="M728">
        <f t="shared" ca="1" si="771"/>
        <v>118.484589229612</v>
      </c>
      <c r="N728">
        <f t="shared" ca="1" si="771"/>
        <v>122.43711883659836</v>
      </c>
      <c r="O728">
        <f t="shared" ca="1" si="771"/>
        <v>124.20608531006704</v>
      </c>
      <c r="P728">
        <f t="shared" ca="1" si="771"/>
        <v>116.33788453877401</v>
      </c>
      <c r="Q728">
        <f t="shared" ca="1" si="752"/>
        <v>110.24896007334101</v>
      </c>
      <c r="R728">
        <f t="shared" ca="1" si="753"/>
        <v>10.24896007334101</v>
      </c>
      <c r="S728">
        <f t="shared" ca="1" si="754"/>
        <v>10.046017066662763</v>
      </c>
    </row>
    <row r="729" spans="5:19" x14ac:dyDescent="0.75">
      <c r="E729">
        <v>724</v>
      </c>
      <c r="F729">
        <v>100</v>
      </c>
      <c r="G729">
        <f t="shared" ca="1" si="750"/>
        <v>87.081322864025552</v>
      </c>
      <c r="H729">
        <f t="shared" ca="1" si="750"/>
        <v>89.933926268441979</v>
      </c>
      <c r="I729">
        <f t="shared" ca="1" si="750"/>
        <v>105.26645145265447</v>
      </c>
      <c r="J729">
        <f t="shared" ca="1" si="750"/>
        <v>119.62406186667945</v>
      </c>
      <c r="K729">
        <f t="shared" ref="K729:P729" ca="1" si="772">J729*EXP(($C$4-0.5*$C$5^2)*$C$10+$C$5*SQRT($C$10)*NORMINV(RAND(),0,1))</f>
        <v>110.43266494507058</v>
      </c>
      <c r="L729">
        <f t="shared" ca="1" si="772"/>
        <v>109.38686433254905</v>
      </c>
      <c r="M729">
        <f t="shared" ca="1" si="772"/>
        <v>98.873629997003164</v>
      </c>
      <c r="N729">
        <f t="shared" ca="1" si="772"/>
        <v>88.021079712917967</v>
      </c>
      <c r="O729">
        <f t="shared" ca="1" si="772"/>
        <v>81.219882740476663</v>
      </c>
      <c r="P729">
        <f t="shared" ca="1" si="772"/>
        <v>80.597861037880236</v>
      </c>
      <c r="Q729">
        <f t="shared" ca="1" si="752"/>
        <v>97.312522292518096</v>
      </c>
      <c r="R729">
        <f t="shared" ca="1" si="753"/>
        <v>0</v>
      </c>
      <c r="S729">
        <f t="shared" ca="1" si="754"/>
        <v>0</v>
      </c>
    </row>
    <row r="730" spans="5:19" x14ac:dyDescent="0.75">
      <c r="E730">
        <v>725</v>
      </c>
      <c r="F730">
        <v>100</v>
      </c>
      <c r="G730">
        <f t="shared" ca="1" si="750"/>
        <v>101.88298874003038</v>
      </c>
      <c r="H730">
        <f t="shared" ca="1" si="750"/>
        <v>104.29818665008399</v>
      </c>
      <c r="I730">
        <f t="shared" ca="1" si="750"/>
        <v>111.84368148413284</v>
      </c>
      <c r="J730">
        <f t="shared" ca="1" si="750"/>
        <v>115.20092471897989</v>
      </c>
      <c r="K730">
        <f t="shared" ref="K730:P730" ca="1" si="773">J730*EXP(($C$4-0.5*$C$5^2)*$C$10+$C$5*SQRT($C$10)*NORMINV(RAND(),0,1))</f>
        <v>116.10587717875219</v>
      </c>
      <c r="L730">
        <f t="shared" ca="1" si="773"/>
        <v>112.53190956219082</v>
      </c>
      <c r="M730">
        <f t="shared" ca="1" si="773"/>
        <v>116.20757980216158</v>
      </c>
      <c r="N730">
        <f t="shared" ca="1" si="773"/>
        <v>115.2022344887389</v>
      </c>
      <c r="O730">
        <f t="shared" ca="1" si="773"/>
        <v>118.67272953623045</v>
      </c>
      <c r="P730">
        <f t="shared" ca="1" si="773"/>
        <v>118.93701715060021</v>
      </c>
      <c r="Q730">
        <f t="shared" ca="1" si="752"/>
        <v>111.89846630108194</v>
      </c>
      <c r="R730">
        <f t="shared" ca="1" si="753"/>
        <v>11.898466301081939</v>
      </c>
      <c r="S730">
        <f t="shared" ca="1" si="754"/>
        <v>11.662860882705653</v>
      </c>
    </row>
    <row r="731" spans="5:19" x14ac:dyDescent="0.75">
      <c r="E731">
        <v>726</v>
      </c>
      <c r="F731">
        <v>100</v>
      </c>
      <c r="G731">
        <f t="shared" ca="1" si="750"/>
        <v>95.84351721080148</v>
      </c>
      <c r="H731">
        <f t="shared" ca="1" si="750"/>
        <v>95.324219402020972</v>
      </c>
      <c r="I731">
        <f t="shared" ca="1" si="750"/>
        <v>91.756907071703225</v>
      </c>
      <c r="J731">
        <f t="shared" ca="1" si="750"/>
        <v>90.282802887021248</v>
      </c>
      <c r="K731">
        <f t="shared" ref="K731:P731" ca="1" si="774">J731*EXP(($C$4-0.5*$C$5^2)*$C$10+$C$5*SQRT($C$10)*NORMINV(RAND(),0,1))</f>
        <v>99.171796726543334</v>
      </c>
      <c r="L731">
        <f t="shared" ca="1" si="774"/>
        <v>101.81542187124138</v>
      </c>
      <c r="M731">
        <f t="shared" ca="1" si="774"/>
        <v>90.748001596986953</v>
      </c>
      <c r="N731">
        <f t="shared" ca="1" si="774"/>
        <v>88.364098517903557</v>
      </c>
      <c r="O731">
        <f t="shared" ca="1" si="774"/>
        <v>88.433026748023352</v>
      </c>
      <c r="P731">
        <f t="shared" ca="1" si="774"/>
        <v>93.775372339279798</v>
      </c>
      <c r="Q731">
        <f t="shared" ca="1" si="752"/>
        <v>94.137742215593207</v>
      </c>
      <c r="R731">
        <f t="shared" ca="1" si="753"/>
        <v>0</v>
      </c>
      <c r="S731">
        <f t="shared" ca="1" si="754"/>
        <v>0</v>
      </c>
    </row>
    <row r="732" spans="5:19" x14ac:dyDescent="0.75">
      <c r="E732">
        <v>727</v>
      </c>
      <c r="F732">
        <v>100</v>
      </c>
      <c r="G732">
        <f t="shared" ca="1" si="750"/>
        <v>97.867279998228042</v>
      </c>
      <c r="H732">
        <f t="shared" ca="1" si="750"/>
        <v>101.13049249028757</v>
      </c>
      <c r="I732">
        <f t="shared" ca="1" si="750"/>
        <v>107.20627168316784</v>
      </c>
      <c r="J732">
        <f t="shared" ca="1" si="750"/>
        <v>102.8912921325321</v>
      </c>
      <c r="K732">
        <f t="shared" ref="K732:P732" ca="1" si="775">J732*EXP(($C$4-0.5*$C$5^2)*$C$10+$C$5*SQRT($C$10)*NORMINV(RAND(),0,1))</f>
        <v>105.81885592783971</v>
      </c>
      <c r="L732">
        <f t="shared" ca="1" si="775"/>
        <v>95.499620727888342</v>
      </c>
      <c r="M732">
        <f t="shared" ca="1" si="775"/>
        <v>100.81077295120956</v>
      </c>
      <c r="N732">
        <f t="shared" ca="1" si="775"/>
        <v>100.47012219162345</v>
      </c>
      <c r="O732">
        <f t="shared" ca="1" si="775"/>
        <v>101.6262752202001</v>
      </c>
      <c r="P732">
        <f t="shared" ca="1" si="775"/>
        <v>101.96482556544559</v>
      </c>
      <c r="Q732">
        <f t="shared" ca="1" si="752"/>
        <v>101.38961898985657</v>
      </c>
      <c r="R732">
        <f t="shared" ca="1" si="753"/>
        <v>1.3896189898565723</v>
      </c>
      <c r="S732">
        <f t="shared" ca="1" si="754"/>
        <v>1.3621026902592854</v>
      </c>
    </row>
    <row r="733" spans="5:19" x14ac:dyDescent="0.75">
      <c r="E733">
        <v>728</v>
      </c>
      <c r="F733">
        <v>100</v>
      </c>
      <c r="G733">
        <f t="shared" ca="1" si="750"/>
        <v>109.45494636564274</v>
      </c>
      <c r="H733">
        <f t="shared" ca="1" si="750"/>
        <v>107.35792192466081</v>
      </c>
      <c r="I733">
        <f t="shared" ca="1" si="750"/>
        <v>105.48374207872799</v>
      </c>
      <c r="J733">
        <f t="shared" ca="1" si="750"/>
        <v>111.60530874436604</v>
      </c>
      <c r="K733">
        <f t="shared" ref="K733:P733" ca="1" si="776">J733*EXP(($C$4-0.5*$C$5^2)*$C$10+$C$5*SQRT($C$10)*NORMINV(RAND(),0,1))</f>
        <v>120.04209263928061</v>
      </c>
      <c r="L733">
        <f t="shared" ca="1" si="776"/>
        <v>133.80872910115241</v>
      </c>
      <c r="M733">
        <f t="shared" ca="1" si="776"/>
        <v>135.15685038356392</v>
      </c>
      <c r="N733">
        <f t="shared" ca="1" si="776"/>
        <v>127.74489655569559</v>
      </c>
      <c r="O733">
        <f t="shared" ca="1" si="776"/>
        <v>137.08772725092172</v>
      </c>
      <c r="P733">
        <f t="shared" ca="1" si="776"/>
        <v>117.69257984613689</v>
      </c>
      <c r="Q733">
        <f t="shared" ca="1" si="752"/>
        <v>118.67589044455895</v>
      </c>
      <c r="R733">
        <f t="shared" ca="1" si="753"/>
        <v>18.675890444558945</v>
      </c>
      <c r="S733">
        <f t="shared" ca="1" si="754"/>
        <v>18.306083036578986</v>
      </c>
    </row>
    <row r="734" spans="5:19" x14ac:dyDescent="0.75">
      <c r="E734">
        <v>729</v>
      </c>
      <c r="F734">
        <v>100</v>
      </c>
      <c r="G734">
        <f t="shared" ca="1" si="750"/>
        <v>98.859557712055334</v>
      </c>
      <c r="H734">
        <f t="shared" ca="1" si="750"/>
        <v>102.46502524964684</v>
      </c>
      <c r="I734">
        <f t="shared" ca="1" si="750"/>
        <v>86.244386488385672</v>
      </c>
      <c r="J734">
        <f t="shared" ca="1" si="750"/>
        <v>88.984087979296731</v>
      </c>
      <c r="K734">
        <f t="shared" ref="K734:P734" ca="1" si="777">J734*EXP(($C$4-0.5*$C$5^2)*$C$10+$C$5*SQRT($C$10)*NORMINV(RAND(),0,1))</f>
        <v>78.713228082578013</v>
      </c>
      <c r="L734">
        <f t="shared" ca="1" si="777"/>
        <v>77.347060212177169</v>
      </c>
      <c r="M734">
        <f t="shared" ca="1" si="777"/>
        <v>76.679275379056165</v>
      </c>
      <c r="N734">
        <f t="shared" ca="1" si="777"/>
        <v>72.208185833929093</v>
      </c>
      <c r="O734">
        <f t="shared" ca="1" si="777"/>
        <v>74.255476908136444</v>
      </c>
      <c r="P734">
        <f t="shared" ca="1" si="777"/>
        <v>62.637703399367624</v>
      </c>
      <c r="Q734">
        <f t="shared" ca="1" si="752"/>
        <v>83.490362476784469</v>
      </c>
      <c r="R734">
        <f t="shared" ca="1" si="753"/>
        <v>0</v>
      </c>
      <c r="S734">
        <f t="shared" ca="1" si="754"/>
        <v>0</v>
      </c>
    </row>
    <row r="735" spans="5:19" x14ac:dyDescent="0.75">
      <c r="E735">
        <v>730</v>
      </c>
      <c r="F735">
        <v>100</v>
      </c>
      <c r="G735">
        <f t="shared" ca="1" si="750"/>
        <v>96.99700637530232</v>
      </c>
      <c r="H735">
        <f t="shared" ca="1" si="750"/>
        <v>100.8965457889757</v>
      </c>
      <c r="I735">
        <f t="shared" ca="1" si="750"/>
        <v>98.028081421736545</v>
      </c>
      <c r="J735">
        <f t="shared" ca="1" si="750"/>
        <v>113.37244472749609</v>
      </c>
      <c r="K735">
        <f t="shared" ref="K735:P735" ca="1" si="778">J735*EXP(($C$4-0.5*$C$5^2)*$C$10+$C$5*SQRT($C$10)*NORMINV(RAND(),0,1))</f>
        <v>129.94478155214193</v>
      </c>
      <c r="L735">
        <f t="shared" ca="1" si="778"/>
        <v>135.45162978270514</v>
      </c>
      <c r="M735">
        <f t="shared" ca="1" si="778"/>
        <v>149.41118397182103</v>
      </c>
      <c r="N735">
        <f t="shared" ca="1" si="778"/>
        <v>160.09516382013283</v>
      </c>
      <c r="O735">
        <f t="shared" ca="1" si="778"/>
        <v>167.04639644606848</v>
      </c>
      <c r="P735">
        <f t="shared" ca="1" si="778"/>
        <v>166.93036498820632</v>
      </c>
      <c r="Q735">
        <f t="shared" ca="1" si="752"/>
        <v>128.9248726249624</v>
      </c>
      <c r="R735">
        <f t="shared" ca="1" si="753"/>
        <v>28.924872624962404</v>
      </c>
      <c r="S735">
        <f t="shared" ca="1" si="754"/>
        <v>28.352121772555034</v>
      </c>
    </row>
    <row r="736" spans="5:19" x14ac:dyDescent="0.75">
      <c r="E736">
        <v>731</v>
      </c>
      <c r="F736">
        <v>100</v>
      </c>
      <c r="G736">
        <f t="shared" ca="1" si="750"/>
        <v>95.091892909162581</v>
      </c>
      <c r="H736">
        <f t="shared" ca="1" si="750"/>
        <v>91.227207500003942</v>
      </c>
      <c r="I736">
        <f t="shared" ca="1" si="750"/>
        <v>91.509617364502489</v>
      </c>
      <c r="J736">
        <f t="shared" ca="1" si="750"/>
        <v>90.218206967462294</v>
      </c>
      <c r="K736">
        <f t="shared" ref="K736:P736" ca="1" si="779">J736*EXP(($C$4-0.5*$C$5^2)*$C$10+$C$5*SQRT($C$10)*NORMINV(RAND(),0,1))</f>
        <v>98.20117847903397</v>
      </c>
      <c r="L736">
        <f t="shared" ca="1" si="779"/>
        <v>97.563293900187801</v>
      </c>
      <c r="M736">
        <f t="shared" ca="1" si="779"/>
        <v>96.150459191968253</v>
      </c>
      <c r="N736">
        <f t="shared" ca="1" si="779"/>
        <v>103.93733415272763</v>
      </c>
      <c r="O736">
        <f t="shared" ca="1" si="779"/>
        <v>101.16309142279172</v>
      </c>
      <c r="P736">
        <f t="shared" ca="1" si="779"/>
        <v>107.39292133835359</v>
      </c>
      <c r="Q736">
        <f t="shared" ca="1" si="752"/>
        <v>97.495927566017656</v>
      </c>
      <c r="R736">
        <f t="shared" ca="1" si="753"/>
        <v>0</v>
      </c>
      <c r="S736">
        <f t="shared" ca="1" si="754"/>
        <v>0</v>
      </c>
    </row>
    <row r="737" spans="5:19" x14ac:dyDescent="0.75">
      <c r="E737">
        <v>732</v>
      </c>
      <c r="F737">
        <v>100</v>
      </c>
      <c r="G737">
        <f t="shared" ca="1" si="750"/>
        <v>95.193626944265702</v>
      </c>
      <c r="H737">
        <f t="shared" ca="1" si="750"/>
        <v>99.56938365281286</v>
      </c>
      <c r="I737">
        <f t="shared" ca="1" si="750"/>
        <v>96.529566512092813</v>
      </c>
      <c r="J737">
        <f t="shared" ca="1" si="750"/>
        <v>90.1881558874571</v>
      </c>
      <c r="K737">
        <f t="shared" ref="K737:P737" ca="1" si="780">J737*EXP(($C$4-0.5*$C$5^2)*$C$10+$C$5*SQRT($C$10)*NORMINV(RAND(),0,1))</f>
        <v>90.493127677490932</v>
      </c>
      <c r="L737">
        <f t="shared" ca="1" si="780"/>
        <v>100.25332002502796</v>
      </c>
      <c r="M737">
        <f t="shared" ca="1" si="780"/>
        <v>96.371721649855587</v>
      </c>
      <c r="N737">
        <f t="shared" ca="1" si="780"/>
        <v>92.466245548703426</v>
      </c>
      <c r="O737">
        <f t="shared" ca="1" si="780"/>
        <v>95.811053805848047</v>
      </c>
      <c r="P737">
        <f t="shared" ca="1" si="780"/>
        <v>95.16939674837063</v>
      </c>
      <c r="Q737">
        <f t="shared" ca="1" si="752"/>
        <v>95.640508950175004</v>
      </c>
      <c r="R737">
        <f t="shared" ca="1" si="753"/>
        <v>0</v>
      </c>
      <c r="S737">
        <f t="shared" ca="1" si="754"/>
        <v>0</v>
      </c>
    </row>
    <row r="738" spans="5:19" x14ac:dyDescent="0.75">
      <c r="E738">
        <v>733</v>
      </c>
      <c r="F738">
        <v>100</v>
      </c>
      <c r="G738">
        <f t="shared" ca="1" si="750"/>
        <v>102.03006059806539</v>
      </c>
      <c r="H738">
        <f t="shared" ca="1" si="750"/>
        <v>90.728054445072203</v>
      </c>
      <c r="I738">
        <f t="shared" ca="1" si="750"/>
        <v>81.585988243444234</v>
      </c>
      <c r="J738">
        <f t="shared" ca="1" si="750"/>
        <v>89.893520448916135</v>
      </c>
      <c r="K738">
        <f t="shared" ref="K738:P738" ca="1" si="781">J738*EXP(($C$4-0.5*$C$5^2)*$C$10+$C$5*SQRT($C$10)*NORMINV(RAND(),0,1))</f>
        <v>82.555081546077687</v>
      </c>
      <c r="L738">
        <f t="shared" ca="1" si="781"/>
        <v>77.073410117201959</v>
      </c>
      <c r="M738">
        <f t="shared" ca="1" si="781"/>
        <v>81.108036533121577</v>
      </c>
      <c r="N738">
        <f t="shared" ca="1" si="781"/>
        <v>87.390661157617203</v>
      </c>
      <c r="O738">
        <f t="shared" ca="1" si="781"/>
        <v>88.024865573791118</v>
      </c>
      <c r="P738">
        <f t="shared" ca="1" si="781"/>
        <v>87.271727181573922</v>
      </c>
      <c r="Q738">
        <f t="shared" ca="1" si="752"/>
        <v>87.969218713171031</v>
      </c>
      <c r="R738">
        <f t="shared" ca="1" si="753"/>
        <v>0</v>
      </c>
      <c r="S738">
        <f t="shared" ca="1" si="754"/>
        <v>0</v>
      </c>
    </row>
    <row r="739" spans="5:19" x14ac:dyDescent="0.75">
      <c r="E739">
        <v>734</v>
      </c>
      <c r="F739">
        <v>100</v>
      </c>
      <c r="G739">
        <f t="shared" ca="1" si="750"/>
        <v>104.8806596911908</v>
      </c>
      <c r="H739">
        <f t="shared" ca="1" si="750"/>
        <v>99.893964073218541</v>
      </c>
      <c r="I739">
        <f t="shared" ca="1" si="750"/>
        <v>85.159562071564693</v>
      </c>
      <c r="J739">
        <f t="shared" ca="1" si="750"/>
        <v>88.85766055451856</v>
      </c>
      <c r="K739">
        <f t="shared" ref="K739:P739" ca="1" si="782">J739*EXP(($C$4-0.5*$C$5^2)*$C$10+$C$5*SQRT($C$10)*NORMINV(RAND(),0,1))</f>
        <v>98.430840586546267</v>
      </c>
      <c r="L739">
        <f t="shared" ca="1" si="782"/>
        <v>97.738784215635391</v>
      </c>
      <c r="M739">
        <f t="shared" ca="1" si="782"/>
        <v>93.230212894563266</v>
      </c>
      <c r="N739">
        <f t="shared" ca="1" si="782"/>
        <v>91.505093107801926</v>
      </c>
      <c r="O739">
        <f t="shared" ca="1" si="782"/>
        <v>94.724612188383404</v>
      </c>
      <c r="P739">
        <f t="shared" ca="1" si="782"/>
        <v>93.619515419404266</v>
      </c>
      <c r="Q739">
        <f t="shared" ca="1" si="752"/>
        <v>95.276445891166119</v>
      </c>
      <c r="R739">
        <f t="shared" ca="1" si="753"/>
        <v>0</v>
      </c>
      <c r="S739">
        <f t="shared" ca="1" si="754"/>
        <v>0</v>
      </c>
    </row>
    <row r="740" spans="5:19" x14ac:dyDescent="0.75">
      <c r="E740">
        <v>735</v>
      </c>
      <c r="F740">
        <v>100</v>
      </c>
      <c r="G740">
        <f t="shared" ca="1" si="750"/>
        <v>83.806626733216603</v>
      </c>
      <c r="H740">
        <f t="shared" ca="1" si="750"/>
        <v>85.461833321361979</v>
      </c>
      <c r="I740">
        <f t="shared" ca="1" si="750"/>
        <v>89.180335259902989</v>
      </c>
      <c r="J740">
        <f t="shared" ca="1" si="750"/>
        <v>86.080423517695266</v>
      </c>
      <c r="K740">
        <f t="shared" ref="K740:P740" ca="1" si="783">J740*EXP(($C$4-0.5*$C$5^2)*$C$10+$C$5*SQRT($C$10)*NORMINV(RAND(),0,1))</f>
        <v>85.365558717129289</v>
      </c>
      <c r="L740">
        <f t="shared" ca="1" si="783"/>
        <v>82.734358969654409</v>
      </c>
      <c r="M740">
        <f t="shared" ca="1" si="783"/>
        <v>74.403449112305751</v>
      </c>
      <c r="N740">
        <f t="shared" ca="1" si="783"/>
        <v>71.09856966766003</v>
      </c>
      <c r="O740">
        <f t="shared" ca="1" si="783"/>
        <v>72.140201180558108</v>
      </c>
      <c r="P740">
        <f t="shared" ca="1" si="783"/>
        <v>71.007248052604439</v>
      </c>
      <c r="Q740">
        <f t="shared" ca="1" si="752"/>
        <v>81.934418593826251</v>
      </c>
      <c r="R740">
        <f t="shared" ca="1" si="753"/>
        <v>0</v>
      </c>
      <c r="S740">
        <f t="shared" ca="1" si="754"/>
        <v>0</v>
      </c>
    </row>
    <row r="741" spans="5:19" x14ac:dyDescent="0.75">
      <c r="E741">
        <v>736</v>
      </c>
      <c r="F741">
        <v>100</v>
      </c>
      <c r="G741">
        <f t="shared" ca="1" si="750"/>
        <v>92.24054133507515</v>
      </c>
      <c r="H741">
        <f t="shared" ca="1" si="750"/>
        <v>78.348410542153928</v>
      </c>
      <c r="I741">
        <f t="shared" ca="1" si="750"/>
        <v>73.093942283257832</v>
      </c>
      <c r="J741">
        <f t="shared" ca="1" si="750"/>
        <v>81.680242796284375</v>
      </c>
      <c r="K741">
        <f t="shared" ref="K741:P741" ca="1" si="784">J741*EXP(($C$4-0.5*$C$5^2)*$C$10+$C$5*SQRT($C$10)*NORMINV(RAND(),0,1))</f>
        <v>83.462011134524232</v>
      </c>
      <c r="L741">
        <f t="shared" ca="1" si="784"/>
        <v>76.460975225825152</v>
      </c>
      <c r="M741">
        <f t="shared" ca="1" si="784"/>
        <v>74.737994452523466</v>
      </c>
      <c r="N741">
        <f t="shared" ca="1" si="784"/>
        <v>74.885990367166897</v>
      </c>
      <c r="O741">
        <f t="shared" ca="1" si="784"/>
        <v>78.14999930449892</v>
      </c>
      <c r="P741">
        <f t="shared" ca="1" si="784"/>
        <v>86.019744828080718</v>
      </c>
      <c r="Q741">
        <f t="shared" ca="1" si="752"/>
        <v>81.734532024490051</v>
      </c>
      <c r="R741">
        <f t="shared" ca="1" si="753"/>
        <v>0</v>
      </c>
      <c r="S741">
        <f t="shared" ca="1" si="754"/>
        <v>0</v>
      </c>
    </row>
    <row r="742" spans="5:19" x14ac:dyDescent="0.75">
      <c r="E742">
        <v>737</v>
      </c>
      <c r="F742">
        <v>100</v>
      </c>
      <c r="G742">
        <f t="shared" ca="1" si="750"/>
        <v>123.36408758644875</v>
      </c>
      <c r="H742">
        <f t="shared" ca="1" si="750"/>
        <v>118.53097028677146</v>
      </c>
      <c r="I742">
        <f t="shared" ca="1" si="750"/>
        <v>128.26513938925615</v>
      </c>
      <c r="J742">
        <f t="shared" ca="1" si="750"/>
        <v>134.35853505307415</v>
      </c>
      <c r="K742">
        <f t="shared" ref="K742:P742" ca="1" si="785">J742*EXP(($C$4-0.5*$C$5^2)*$C$10+$C$5*SQRT($C$10)*NORMINV(RAND(),0,1))</f>
        <v>135.59993882082082</v>
      </c>
      <c r="L742">
        <f t="shared" ca="1" si="785"/>
        <v>132.99519690861149</v>
      </c>
      <c r="M742">
        <f t="shared" ca="1" si="785"/>
        <v>127.05824415223267</v>
      </c>
      <c r="N742">
        <f t="shared" ca="1" si="785"/>
        <v>121.31318341629276</v>
      </c>
      <c r="O742">
        <f t="shared" ca="1" si="785"/>
        <v>128.04916574767486</v>
      </c>
      <c r="P742">
        <f t="shared" ca="1" si="785"/>
        <v>120.10083621639394</v>
      </c>
      <c r="Q742">
        <f t="shared" ca="1" si="752"/>
        <v>124.51229977977972</v>
      </c>
      <c r="R742">
        <f t="shared" ca="1" si="753"/>
        <v>24.512299779779724</v>
      </c>
      <c r="S742">
        <f t="shared" ca="1" si="754"/>
        <v>24.026923723837555</v>
      </c>
    </row>
    <row r="743" spans="5:19" x14ac:dyDescent="0.75">
      <c r="E743">
        <v>738</v>
      </c>
      <c r="F743">
        <v>100</v>
      </c>
      <c r="G743">
        <f t="shared" ca="1" si="750"/>
        <v>102.73574371331367</v>
      </c>
      <c r="H743">
        <f t="shared" ca="1" si="750"/>
        <v>105.41958183897135</v>
      </c>
      <c r="I743">
        <f t="shared" ca="1" si="750"/>
        <v>100.32971077075341</v>
      </c>
      <c r="J743">
        <f t="shared" ca="1" si="750"/>
        <v>106.76320078311387</v>
      </c>
      <c r="K743">
        <f t="shared" ref="K743:P743" ca="1" si="786">J743*EXP(($C$4-0.5*$C$5^2)*$C$10+$C$5*SQRT($C$10)*NORMINV(RAND(),0,1))</f>
        <v>109.60340821384051</v>
      </c>
      <c r="L743">
        <f t="shared" ca="1" si="786"/>
        <v>117.55463704772161</v>
      </c>
      <c r="M743">
        <f t="shared" ca="1" si="786"/>
        <v>120.28021671871085</v>
      </c>
      <c r="N743">
        <f t="shared" ca="1" si="786"/>
        <v>115.11389564770076</v>
      </c>
      <c r="O743">
        <f t="shared" ca="1" si="786"/>
        <v>115.133025584029</v>
      </c>
      <c r="P743">
        <f t="shared" ca="1" si="786"/>
        <v>109.85195171930162</v>
      </c>
      <c r="Q743">
        <f t="shared" ca="1" si="752"/>
        <v>109.34412473067788</v>
      </c>
      <c r="R743">
        <f t="shared" ca="1" si="753"/>
        <v>9.3441247306778763</v>
      </c>
      <c r="S743">
        <f t="shared" ca="1" si="754"/>
        <v>9.1590986642232952</v>
      </c>
    </row>
    <row r="744" spans="5:19" x14ac:dyDescent="0.75">
      <c r="E744">
        <v>739</v>
      </c>
      <c r="F744">
        <v>100</v>
      </c>
      <c r="G744">
        <f t="shared" ca="1" si="750"/>
        <v>112.59883177272513</v>
      </c>
      <c r="H744">
        <f t="shared" ca="1" si="750"/>
        <v>106.40380425547178</v>
      </c>
      <c r="I744">
        <f t="shared" ca="1" si="750"/>
        <v>109.69009041946251</v>
      </c>
      <c r="J744">
        <f t="shared" ca="1" si="750"/>
        <v>100.31592619018095</v>
      </c>
      <c r="K744">
        <f t="shared" ref="K744:P744" ca="1" si="787">J744*EXP(($C$4-0.5*$C$5^2)*$C$10+$C$5*SQRT($C$10)*NORMINV(RAND(),0,1))</f>
        <v>104.88744557468245</v>
      </c>
      <c r="L744">
        <f t="shared" ca="1" si="787"/>
        <v>111.34514023067109</v>
      </c>
      <c r="M744">
        <f t="shared" ca="1" si="787"/>
        <v>105.1817542847554</v>
      </c>
      <c r="N744">
        <f t="shared" ca="1" si="787"/>
        <v>94.194729709851799</v>
      </c>
      <c r="O744">
        <f t="shared" ca="1" si="787"/>
        <v>95.612807292003851</v>
      </c>
      <c r="P744">
        <f t="shared" ca="1" si="787"/>
        <v>99.052021916128822</v>
      </c>
      <c r="Q744">
        <f t="shared" ca="1" si="752"/>
        <v>103.57114105872124</v>
      </c>
      <c r="R744">
        <f t="shared" ca="1" si="753"/>
        <v>3.5711410587212384</v>
      </c>
      <c r="S744">
        <f t="shared" ca="1" si="754"/>
        <v>3.5004277279498393</v>
      </c>
    </row>
    <row r="745" spans="5:19" x14ac:dyDescent="0.75">
      <c r="E745">
        <v>740</v>
      </c>
      <c r="F745">
        <v>100</v>
      </c>
      <c r="G745">
        <f t="shared" ca="1" si="750"/>
        <v>98.49207217972598</v>
      </c>
      <c r="H745">
        <f t="shared" ca="1" si="750"/>
        <v>92.824643929401276</v>
      </c>
      <c r="I745">
        <f t="shared" ca="1" si="750"/>
        <v>96.836452286501512</v>
      </c>
      <c r="J745">
        <f t="shared" ca="1" si="750"/>
        <v>108.34831433731672</v>
      </c>
      <c r="K745">
        <f t="shared" ref="K745:P745" ca="1" si="788">J745*EXP(($C$4-0.5*$C$5^2)*$C$10+$C$5*SQRT($C$10)*NORMINV(RAND(),0,1))</f>
        <v>119.39072218403295</v>
      </c>
      <c r="L745">
        <f t="shared" ca="1" si="788"/>
        <v>121.18544049682154</v>
      </c>
      <c r="M745">
        <f t="shared" ca="1" si="788"/>
        <v>115.42965739936012</v>
      </c>
      <c r="N745">
        <f t="shared" ca="1" si="788"/>
        <v>113.97520432080476</v>
      </c>
      <c r="O745">
        <f t="shared" ca="1" si="788"/>
        <v>122.38400133810805</v>
      </c>
      <c r="P745">
        <f t="shared" ca="1" si="788"/>
        <v>110.00423893322508</v>
      </c>
      <c r="Q745">
        <f t="shared" ca="1" si="752"/>
        <v>108.98824976411801</v>
      </c>
      <c r="R745">
        <f t="shared" ca="1" si="753"/>
        <v>8.9882497641180095</v>
      </c>
      <c r="S745">
        <f t="shared" ca="1" si="754"/>
        <v>8.8102704941382282</v>
      </c>
    </row>
    <row r="746" spans="5:19" x14ac:dyDescent="0.75">
      <c r="E746">
        <v>741</v>
      </c>
      <c r="F746">
        <v>100</v>
      </c>
      <c r="G746">
        <f t="shared" ca="1" si="750"/>
        <v>97.956666083068157</v>
      </c>
      <c r="H746">
        <f t="shared" ca="1" si="750"/>
        <v>95.874091248398045</v>
      </c>
      <c r="I746">
        <f t="shared" ca="1" si="750"/>
        <v>88.295246279495387</v>
      </c>
      <c r="J746">
        <f t="shared" ca="1" si="750"/>
        <v>92.97907019765762</v>
      </c>
      <c r="K746">
        <f t="shared" ref="K746:P746" ca="1" si="789">J746*EXP(($C$4-0.5*$C$5^2)*$C$10+$C$5*SQRT($C$10)*NORMINV(RAND(),0,1))</f>
        <v>103.22622983002694</v>
      </c>
      <c r="L746">
        <f t="shared" ca="1" si="789"/>
        <v>103.93523095295373</v>
      </c>
      <c r="M746">
        <f t="shared" ca="1" si="789"/>
        <v>103.69474379358547</v>
      </c>
      <c r="N746">
        <f t="shared" ca="1" si="789"/>
        <v>105.06520880337064</v>
      </c>
      <c r="O746">
        <f t="shared" ca="1" si="789"/>
        <v>96.000168829958923</v>
      </c>
      <c r="P746">
        <f t="shared" ca="1" si="789"/>
        <v>88.233266674932437</v>
      </c>
      <c r="Q746">
        <f t="shared" ca="1" si="752"/>
        <v>97.75090206304067</v>
      </c>
      <c r="R746">
        <f t="shared" ca="1" si="753"/>
        <v>0</v>
      </c>
      <c r="S746">
        <f t="shared" ca="1" si="754"/>
        <v>0</v>
      </c>
    </row>
    <row r="747" spans="5:19" x14ac:dyDescent="0.75">
      <c r="E747">
        <v>742</v>
      </c>
      <c r="F747">
        <v>100</v>
      </c>
      <c r="G747">
        <f t="shared" ca="1" si="750"/>
        <v>83.257890574344344</v>
      </c>
      <c r="H747">
        <f t="shared" ca="1" si="750"/>
        <v>83.896715125928068</v>
      </c>
      <c r="I747">
        <f t="shared" ca="1" si="750"/>
        <v>80.514769295697334</v>
      </c>
      <c r="J747">
        <f t="shared" ca="1" si="750"/>
        <v>82.133988196327635</v>
      </c>
      <c r="K747">
        <f t="shared" ref="K747:P747" ca="1" si="790">J747*EXP(($C$4-0.5*$C$5^2)*$C$10+$C$5*SQRT($C$10)*NORMINV(RAND(),0,1))</f>
        <v>84.316171266129572</v>
      </c>
      <c r="L747">
        <f t="shared" ca="1" si="790"/>
        <v>83.675391946261641</v>
      </c>
      <c r="M747">
        <f t="shared" ca="1" si="790"/>
        <v>78.508670028935114</v>
      </c>
      <c r="N747">
        <f t="shared" ca="1" si="790"/>
        <v>77.710485563842454</v>
      </c>
      <c r="O747">
        <f t="shared" ca="1" si="790"/>
        <v>74.595545935947399</v>
      </c>
      <c r="P747">
        <f t="shared" ca="1" si="790"/>
        <v>76.002584467965519</v>
      </c>
      <c r="Q747">
        <f t="shared" ca="1" si="752"/>
        <v>82.237473854670824</v>
      </c>
      <c r="R747">
        <f t="shared" ca="1" si="753"/>
        <v>0</v>
      </c>
      <c r="S747">
        <f t="shared" ca="1" si="754"/>
        <v>0</v>
      </c>
    </row>
    <row r="748" spans="5:19" x14ac:dyDescent="0.75">
      <c r="E748">
        <v>743</v>
      </c>
      <c r="F748">
        <v>100</v>
      </c>
      <c r="G748">
        <f t="shared" ca="1" si="750"/>
        <v>99.357738834612704</v>
      </c>
      <c r="H748">
        <f t="shared" ca="1" si="750"/>
        <v>100.51848523108551</v>
      </c>
      <c r="I748">
        <f t="shared" ca="1" si="750"/>
        <v>93.52664289701066</v>
      </c>
      <c r="J748">
        <f t="shared" ca="1" si="750"/>
        <v>98.060206573526955</v>
      </c>
      <c r="K748">
        <f t="shared" ref="K748:P748" ca="1" si="791">J748*EXP(($C$4-0.5*$C$5^2)*$C$10+$C$5*SQRT($C$10)*NORMINV(RAND(),0,1))</f>
        <v>104.14836004873112</v>
      </c>
      <c r="L748">
        <f t="shared" ca="1" si="791"/>
        <v>109.29127686830374</v>
      </c>
      <c r="M748">
        <f t="shared" ca="1" si="791"/>
        <v>106.63442854219507</v>
      </c>
      <c r="N748">
        <f t="shared" ca="1" si="791"/>
        <v>113.82108574917048</v>
      </c>
      <c r="O748">
        <f t="shared" ca="1" si="791"/>
        <v>104.43330019308961</v>
      </c>
      <c r="P748">
        <f t="shared" ca="1" si="791"/>
        <v>99.928717307651254</v>
      </c>
      <c r="Q748">
        <f t="shared" ca="1" si="752"/>
        <v>102.70184020412518</v>
      </c>
      <c r="R748">
        <f t="shared" ca="1" si="753"/>
        <v>2.7018402041251761</v>
      </c>
      <c r="S748">
        <f t="shared" ca="1" si="754"/>
        <v>2.6483401835703506</v>
      </c>
    </row>
    <row r="749" spans="5:19" x14ac:dyDescent="0.75">
      <c r="E749">
        <v>744</v>
      </c>
      <c r="F749">
        <v>100</v>
      </c>
      <c r="G749">
        <f t="shared" ca="1" si="750"/>
        <v>108.64863452758257</v>
      </c>
      <c r="H749">
        <f t="shared" ca="1" si="750"/>
        <v>101.31517410548328</v>
      </c>
      <c r="I749">
        <f t="shared" ca="1" si="750"/>
        <v>103.87895687005553</v>
      </c>
      <c r="J749">
        <f t="shared" ca="1" si="750"/>
        <v>99.065789099759712</v>
      </c>
      <c r="K749">
        <f t="shared" ref="K749:P749" ca="1" si="792">J749*EXP(($C$4-0.5*$C$5^2)*$C$10+$C$5*SQRT($C$10)*NORMINV(RAND(),0,1))</f>
        <v>98.958839364920834</v>
      </c>
      <c r="L749">
        <f t="shared" ca="1" si="792"/>
        <v>98.254599456769995</v>
      </c>
      <c r="M749">
        <f t="shared" ca="1" si="792"/>
        <v>96.899559467252558</v>
      </c>
      <c r="N749">
        <f t="shared" ca="1" si="792"/>
        <v>101.05206756616815</v>
      </c>
      <c r="O749">
        <f t="shared" ca="1" si="792"/>
        <v>106.35441724933436</v>
      </c>
      <c r="P749">
        <f t="shared" ca="1" si="792"/>
        <v>106.49754653294791</v>
      </c>
      <c r="Q749">
        <f t="shared" ca="1" si="752"/>
        <v>101.90232584002497</v>
      </c>
      <c r="R749">
        <f t="shared" ca="1" si="753"/>
        <v>1.9023258400249716</v>
      </c>
      <c r="S749">
        <f t="shared" ca="1" si="754"/>
        <v>1.864657264589636</v>
      </c>
    </row>
    <row r="750" spans="5:19" x14ac:dyDescent="0.75">
      <c r="E750">
        <v>745</v>
      </c>
      <c r="F750">
        <v>100</v>
      </c>
      <c r="G750">
        <f t="shared" ca="1" si="750"/>
        <v>98.929953011873138</v>
      </c>
      <c r="H750">
        <f t="shared" ca="1" si="750"/>
        <v>98.676303462741174</v>
      </c>
      <c r="I750">
        <f t="shared" ca="1" si="750"/>
        <v>91.476817834758961</v>
      </c>
      <c r="J750">
        <f t="shared" ca="1" si="750"/>
        <v>96.791466126908148</v>
      </c>
      <c r="K750">
        <f t="shared" ref="K750:P750" ca="1" si="793">J750*EXP(($C$4-0.5*$C$5^2)*$C$10+$C$5*SQRT($C$10)*NORMINV(RAND(),0,1))</f>
        <v>109.91500936656</v>
      </c>
      <c r="L750">
        <f t="shared" ca="1" si="793"/>
        <v>105.83877553454792</v>
      </c>
      <c r="M750">
        <f t="shared" ca="1" si="793"/>
        <v>111.95251666931664</v>
      </c>
      <c r="N750">
        <f t="shared" ca="1" si="793"/>
        <v>112.31901854450847</v>
      </c>
      <c r="O750">
        <f t="shared" ca="1" si="793"/>
        <v>108.59348880953597</v>
      </c>
      <c r="P750">
        <f t="shared" ca="1" si="793"/>
        <v>102.55475625689898</v>
      </c>
      <c r="Q750">
        <f t="shared" ca="1" si="752"/>
        <v>103.36800960160448</v>
      </c>
      <c r="R750">
        <f t="shared" ca="1" si="753"/>
        <v>3.3680096016044843</v>
      </c>
      <c r="S750">
        <f t="shared" ca="1" si="754"/>
        <v>3.3013185431771288</v>
      </c>
    </row>
    <row r="751" spans="5:19" x14ac:dyDescent="0.75">
      <c r="E751">
        <v>746</v>
      </c>
      <c r="F751">
        <v>100</v>
      </c>
      <c r="G751">
        <f t="shared" ca="1" si="750"/>
        <v>96.378367941484228</v>
      </c>
      <c r="H751">
        <f t="shared" ca="1" si="750"/>
        <v>91.111548947411137</v>
      </c>
      <c r="I751">
        <f t="shared" ca="1" si="750"/>
        <v>103.74280119617946</v>
      </c>
      <c r="J751">
        <f t="shared" ca="1" si="750"/>
        <v>104.86831242105882</v>
      </c>
      <c r="K751">
        <f t="shared" ref="K751:P751" ca="1" si="794">J751*EXP(($C$4-0.5*$C$5^2)*$C$10+$C$5*SQRT($C$10)*NORMINV(RAND(),0,1))</f>
        <v>106.34555673406813</v>
      </c>
      <c r="L751">
        <f t="shared" ca="1" si="794"/>
        <v>101.09681446409901</v>
      </c>
      <c r="M751">
        <f t="shared" ca="1" si="794"/>
        <v>98.863508494500252</v>
      </c>
      <c r="N751">
        <f t="shared" ca="1" si="794"/>
        <v>95.5299644753634</v>
      </c>
      <c r="O751">
        <f t="shared" ca="1" si="794"/>
        <v>101.61044558518196</v>
      </c>
      <c r="P751">
        <f t="shared" ca="1" si="794"/>
        <v>105.44967211222259</v>
      </c>
      <c r="Q751">
        <f t="shared" ca="1" si="752"/>
        <v>100.45427203377899</v>
      </c>
      <c r="R751">
        <f t="shared" ca="1" si="753"/>
        <v>0.45427203377899161</v>
      </c>
      <c r="S751">
        <f t="shared" ca="1" si="754"/>
        <v>0.44527684483052909</v>
      </c>
    </row>
    <row r="752" spans="5:19" x14ac:dyDescent="0.75">
      <c r="E752">
        <v>747</v>
      </c>
      <c r="F752">
        <v>100</v>
      </c>
      <c r="G752">
        <f t="shared" ca="1" si="750"/>
        <v>95.456972505074035</v>
      </c>
      <c r="H752">
        <f t="shared" ca="1" si="750"/>
        <v>102.22659739785837</v>
      </c>
      <c r="I752">
        <f t="shared" ca="1" si="750"/>
        <v>107.38415617086935</v>
      </c>
      <c r="J752">
        <f t="shared" ca="1" si="750"/>
        <v>100.65084163119224</v>
      </c>
      <c r="K752">
        <f t="shared" ref="K752:P752" ca="1" si="795">J752*EXP(($C$4-0.5*$C$5^2)*$C$10+$C$5*SQRT($C$10)*NORMINV(RAND(),0,1))</f>
        <v>95.71931130697061</v>
      </c>
      <c r="L752">
        <f t="shared" ca="1" si="795"/>
        <v>83.931557269292981</v>
      </c>
      <c r="M752">
        <f t="shared" ca="1" si="795"/>
        <v>84.816899792320868</v>
      </c>
      <c r="N752">
        <f t="shared" ca="1" si="795"/>
        <v>90.589963881405254</v>
      </c>
      <c r="O752">
        <f t="shared" ca="1" si="795"/>
        <v>86.618955672206397</v>
      </c>
      <c r="P752">
        <f t="shared" ca="1" si="795"/>
        <v>87.764211954688221</v>
      </c>
      <c r="Q752">
        <f t="shared" ca="1" si="752"/>
        <v>94.105406143807116</v>
      </c>
      <c r="R752">
        <f t="shared" ca="1" si="753"/>
        <v>0</v>
      </c>
      <c r="S752">
        <f t="shared" ca="1" si="754"/>
        <v>0</v>
      </c>
    </row>
    <row r="753" spans="5:19" x14ac:dyDescent="0.75">
      <c r="E753">
        <v>748</v>
      </c>
      <c r="F753">
        <v>100</v>
      </c>
      <c r="G753">
        <f t="shared" ca="1" si="750"/>
        <v>100.75633553703575</v>
      </c>
      <c r="H753">
        <f t="shared" ca="1" si="750"/>
        <v>100.96141443730465</v>
      </c>
      <c r="I753">
        <f t="shared" ca="1" si="750"/>
        <v>107.55900803486215</v>
      </c>
      <c r="J753">
        <f t="shared" ca="1" si="750"/>
        <v>107.60750484867164</v>
      </c>
      <c r="K753">
        <f t="shared" ref="K753:P753" ca="1" si="796">J753*EXP(($C$4-0.5*$C$5^2)*$C$10+$C$5*SQRT($C$10)*NORMINV(RAND(),0,1))</f>
        <v>113.50532647148245</v>
      </c>
      <c r="L753">
        <f t="shared" ca="1" si="796"/>
        <v>105.65852319228094</v>
      </c>
      <c r="M753">
        <f t="shared" ca="1" si="796"/>
        <v>115.51682608476287</v>
      </c>
      <c r="N753">
        <f t="shared" ca="1" si="796"/>
        <v>122.38793458918238</v>
      </c>
      <c r="O753">
        <f t="shared" ca="1" si="796"/>
        <v>125.63596229768292</v>
      </c>
      <c r="P753">
        <f t="shared" ca="1" si="796"/>
        <v>108.49931666570419</v>
      </c>
      <c r="Q753">
        <f t="shared" ca="1" si="752"/>
        <v>109.82619565081545</v>
      </c>
      <c r="R753">
        <f t="shared" ca="1" si="753"/>
        <v>9.8261956508154498</v>
      </c>
      <c r="S753">
        <f t="shared" ca="1" si="754"/>
        <v>9.6316239405819122</v>
      </c>
    </row>
    <row r="754" spans="5:19" x14ac:dyDescent="0.75">
      <c r="E754">
        <v>749</v>
      </c>
      <c r="F754">
        <v>100</v>
      </c>
      <c r="G754">
        <f t="shared" ca="1" si="750"/>
        <v>102.82955608730387</v>
      </c>
      <c r="H754">
        <f t="shared" ca="1" si="750"/>
        <v>107.16005091080184</v>
      </c>
      <c r="I754">
        <f t="shared" ca="1" si="750"/>
        <v>108.77439482875381</v>
      </c>
      <c r="J754">
        <f t="shared" ca="1" si="750"/>
        <v>102.444761857453</v>
      </c>
      <c r="K754">
        <f t="shared" ref="K754:P754" ca="1" si="797">J754*EXP(($C$4-0.5*$C$5^2)*$C$10+$C$5*SQRT($C$10)*NORMINV(RAND(),0,1))</f>
        <v>103.07341108514404</v>
      </c>
      <c r="L754">
        <f t="shared" ca="1" si="797"/>
        <v>101.93974740405605</v>
      </c>
      <c r="M754">
        <f t="shared" ca="1" si="797"/>
        <v>94.999060118791007</v>
      </c>
      <c r="N754">
        <f t="shared" ca="1" si="797"/>
        <v>94.455280343217837</v>
      </c>
      <c r="O754">
        <f t="shared" ca="1" si="797"/>
        <v>91.714731718668048</v>
      </c>
      <c r="P754">
        <f t="shared" ca="1" si="797"/>
        <v>98.066596182296522</v>
      </c>
      <c r="Q754">
        <f t="shared" ca="1" si="752"/>
        <v>100.49614459422601</v>
      </c>
      <c r="R754">
        <f t="shared" ca="1" si="753"/>
        <v>0.49614459422600987</v>
      </c>
      <c r="S754">
        <f t="shared" ca="1" si="754"/>
        <v>0.48632027302865327</v>
      </c>
    </row>
    <row r="755" spans="5:19" x14ac:dyDescent="0.75">
      <c r="E755">
        <v>750</v>
      </c>
      <c r="F755">
        <v>100</v>
      </c>
      <c r="G755">
        <f t="shared" ca="1" si="750"/>
        <v>108.02970747623436</v>
      </c>
      <c r="H755">
        <f t="shared" ca="1" si="750"/>
        <v>100.21850317537144</v>
      </c>
      <c r="I755">
        <f t="shared" ca="1" si="750"/>
        <v>91.586066337811687</v>
      </c>
      <c r="J755">
        <f t="shared" ca="1" si="750"/>
        <v>94.515666239081256</v>
      </c>
      <c r="K755">
        <f t="shared" ref="K755:P755" ca="1" si="798">J755*EXP(($C$4-0.5*$C$5^2)*$C$10+$C$5*SQRT($C$10)*NORMINV(RAND(),0,1))</f>
        <v>98.521664689937879</v>
      </c>
      <c r="L755">
        <f t="shared" ca="1" si="798"/>
        <v>95.867360914842877</v>
      </c>
      <c r="M755">
        <f t="shared" ca="1" si="798"/>
        <v>93.048261583979212</v>
      </c>
      <c r="N755">
        <f t="shared" ca="1" si="798"/>
        <v>88.68544066074422</v>
      </c>
      <c r="O755">
        <f t="shared" ca="1" si="798"/>
        <v>83.706591152312868</v>
      </c>
      <c r="P755">
        <f t="shared" ca="1" si="798"/>
        <v>82.19055063510055</v>
      </c>
      <c r="Q755">
        <f t="shared" ca="1" si="752"/>
        <v>94.215437533219671</v>
      </c>
      <c r="R755">
        <f t="shared" ca="1" si="753"/>
        <v>0</v>
      </c>
      <c r="S755">
        <f t="shared" ca="1" si="754"/>
        <v>0</v>
      </c>
    </row>
    <row r="756" spans="5:19" x14ac:dyDescent="0.75">
      <c r="E756">
        <v>751</v>
      </c>
      <c r="F756">
        <v>100</v>
      </c>
      <c r="G756">
        <f t="shared" ca="1" si="750"/>
        <v>103.35678707991072</v>
      </c>
      <c r="H756">
        <f t="shared" ca="1" si="750"/>
        <v>112.6372023792338</v>
      </c>
      <c r="I756">
        <f t="shared" ca="1" si="750"/>
        <v>98.37561772037904</v>
      </c>
      <c r="J756">
        <f t="shared" ca="1" si="750"/>
        <v>100.75754143121418</v>
      </c>
      <c r="K756">
        <f t="shared" ref="K756:P756" ca="1" si="799">J756*EXP(($C$4-0.5*$C$5^2)*$C$10+$C$5*SQRT($C$10)*NORMINV(RAND(),0,1))</f>
        <v>98.496875783809614</v>
      </c>
      <c r="L756">
        <f t="shared" ca="1" si="799"/>
        <v>107.5429813212523</v>
      </c>
      <c r="M756">
        <f t="shared" ca="1" si="799"/>
        <v>105.49587258686617</v>
      </c>
      <c r="N756">
        <f t="shared" ca="1" si="799"/>
        <v>100.63712868497528</v>
      </c>
      <c r="O756">
        <f t="shared" ca="1" si="799"/>
        <v>100.59060660213159</v>
      </c>
      <c r="P756">
        <f t="shared" ca="1" si="799"/>
        <v>95.431113646912806</v>
      </c>
      <c r="Q756">
        <f t="shared" ca="1" si="752"/>
        <v>102.12015702151687</v>
      </c>
      <c r="R756">
        <f t="shared" ca="1" si="753"/>
        <v>2.1201570215168744</v>
      </c>
      <c r="S756">
        <f t="shared" ca="1" si="754"/>
        <v>2.0781750996928419</v>
      </c>
    </row>
    <row r="757" spans="5:19" x14ac:dyDescent="0.75">
      <c r="E757">
        <v>752</v>
      </c>
      <c r="F757">
        <v>100</v>
      </c>
      <c r="G757">
        <f t="shared" ca="1" si="750"/>
        <v>105.38439066693053</v>
      </c>
      <c r="H757">
        <f t="shared" ca="1" si="750"/>
        <v>113.72272052957337</v>
      </c>
      <c r="I757">
        <f t="shared" ca="1" si="750"/>
        <v>110.21331482132962</v>
      </c>
      <c r="J757">
        <f t="shared" ca="1" si="750"/>
        <v>109.04190935472755</v>
      </c>
      <c r="K757">
        <f t="shared" ref="K757:P757" ca="1" si="800">J757*EXP(($C$4-0.5*$C$5^2)*$C$10+$C$5*SQRT($C$10)*NORMINV(RAND(),0,1))</f>
        <v>102.62095338338503</v>
      </c>
      <c r="L757">
        <f t="shared" ca="1" si="800"/>
        <v>101.02442894794723</v>
      </c>
      <c r="M757">
        <f t="shared" ca="1" si="800"/>
        <v>93.102801476644771</v>
      </c>
      <c r="N757">
        <f t="shared" ca="1" si="800"/>
        <v>103.24835340732432</v>
      </c>
      <c r="O757">
        <f t="shared" ca="1" si="800"/>
        <v>100.45741075726225</v>
      </c>
      <c r="P757">
        <f t="shared" ca="1" si="800"/>
        <v>97.341840412017547</v>
      </c>
      <c r="Q757">
        <f t="shared" ca="1" si="752"/>
        <v>103.28710215974019</v>
      </c>
      <c r="R757">
        <f t="shared" ca="1" si="753"/>
        <v>3.2871021597401864</v>
      </c>
      <c r="S757">
        <f t="shared" ca="1" si="754"/>
        <v>3.2220131760011004</v>
      </c>
    </row>
    <row r="758" spans="5:19" x14ac:dyDescent="0.75">
      <c r="E758">
        <v>753</v>
      </c>
      <c r="F758">
        <v>100</v>
      </c>
      <c r="G758">
        <f t="shared" ca="1" si="750"/>
        <v>103.30632026300428</v>
      </c>
      <c r="H758">
        <f t="shared" ca="1" si="750"/>
        <v>100.43400725025161</v>
      </c>
      <c r="I758">
        <f t="shared" ca="1" si="750"/>
        <v>107.24048331391931</v>
      </c>
      <c r="J758">
        <f t="shared" ca="1" si="750"/>
        <v>107.37717750815243</v>
      </c>
      <c r="K758">
        <f t="shared" ref="K758:P758" ca="1" si="801">J758*EXP(($C$4-0.5*$C$5^2)*$C$10+$C$5*SQRT($C$10)*NORMINV(RAND(),0,1))</f>
        <v>117.43610026955504</v>
      </c>
      <c r="L758">
        <f t="shared" ca="1" si="801"/>
        <v>116.94414333891839</v>
      </c>
      <c r="M758">
        <f t="shared" ca="1" si="801"/>
        <v>123.88165771540125</v>
      </c>
      <c r="N758">
        <f t="shared" ca="1" si="801"/>
        <v>116.80051113152753</v>
      </c>
      <c r="O758">
        <f t="shared" ca="1" si="801"/>
        <v>111.16632232914202</v>
      </c>
      <c r="P758">
        <f t="shared" ca="1" si="801"/>
        <v>106.75657101658726</v>
      </c>
      <c r="Q758">
        <f t="shared" ca="1" si="752"/>
        <v>110.12211764876901</v>
      </c>
      <c r="R758">
        <f t="shared" ca="1" si="753"/>
        <v>10.122117648769006</v>
      </c>
      <c r="S758">
        <f t="shared" ca="1" si="754"/>
        <v>9.9216862903782719</v>
      </c>
    </row>
    <row r="759" spans="5:19" x14ac:dyDescent="0.75">
      <c r="E759">
        <v>754</v>
      </c>
      <c r="F759">
        <v>100</v>
      </c>
      <c r="G759">
        <f t="shared" ca="1" si="750"/>
        <v>104.02007445276207</v>
      </c>
      <c r="H759">
        <f t="shared" ca="1" si="750"/>
        <v>96.983639595711551</v>
      </c>
      <c r="I759">
        <f t="shared" ca="1" si="750"/>
        <v>102.94061245604753</v>
      </c>
      <c r="J759">
        <f t="shared" ca="1" si="750"/>
        <v>102.18296105163104</v>
      </c>
      <c r="K759">
        <f t="shared" ref="K759:P759" ca="1" si="802">J759*EXP(($C$4-0.5*$C$5^2)*$C$10+$C$5*SQRT($C$10)*NORMINV(RAND(),0,1))</f>
        <v>105.85097698105783</v>
      </c>
      <c r="L759">
        <f t="shared" ca="1" si="802"/>
        <v>110.87827448186162</v>
      </c>
      <c r="M759">
        <f t="shared" ca="1" si="802"/>
        <v>114.85472930035128</v>
      </c>
      <c r="N759">
        <f t="shared" ca="1" si="802"/>
        <v>108.79604637070096</v>
      </c>
      <c r="O759">
        <f t="shared" ca="1" si="802"/>
        <v>115.89870704096023</v>
      </c>
      <c r="P759">
        <f t="shared" ca="1" si="802"/>
        <v>98.958245481239572</v>
      </c>
      <c r="Q759">
        <f t="shared" ca="1" si="752"/>
        <v>105.57856974657489</v>
      </c>
      <c r="R759">
        <f t="shared" ca="1" si="753"/>
        <v>5.5785697465748854</v>
      </c>
      <c r="S759">
        <f t="shared" ca="1" si="754"/>
        <v>5.4681066645419047</v>
      </c>
    </row>
    <row r="760" spans="5:19" x14ac:dyDescent="0.75">
      <c r="E760">
        <v>755</v>
      </c>
      <c r="F760">
        <v>100</v>
      </c>
      <c r="G760">
        <f t="shared" ca="1" si="750"/>
        <v>89.424966000411544</v>
      </c>
      <c r="H760">
        <f t="shared" ca="1" si="750"/>
        <v>86.699970695150739</v>
      </c>
      <c r="I760">
        <f t="shared" ca="1" si="750"/>
        <v>85.743776565395592</v>
      </c>
      <c r="J760">
        <f t="shared" ca="1" si="750"/>
        <v>83.160885185103581</v>
      </c>
      <c r="K760">
        <f t="shared" ref="K760:P760" ca="1" si="803">J760*EXP(($C$4-0.5*$C$5^2)*$C$10+$C$5*SQRT($C$10)*NORMINV(RAND(),0,1))</f>
        <v>84.296288336775049</v>
      </c>
      <c r="L760">
        <f t="shared" ca="1" si="803"/>
        <v>82.363292742612401</v>
      </c>
      <c r="M760">
        <f t="shared" ca="1" si="803"/>
        <v>83.393925102810542</v>
      </c>
      <c r="N760">
        <f t="shared" ca="1" si="803"/>
        <v>84.88682257850256</v>
      </c>
      <c r="O760">
        <f t="shared" ca="1" si="803"/>
        <v>87.307888891617196</v>
      </c>
      <c r="P760">
        <f t="shared" ca="1" si="803"/>
        <v>80.991570242841405</v>
      </c>
      <c r="Q760">
        <f t="shared" ca="1" si="752"/>
        <v>86.206307849201863</v>
      </c>
      <c r="R760">
        <f t="shared" ca="1" si="753"/>
        <v>0</v>
      </c>
      <c r="S760">
        <f t="shared" ca="1" si="754"/>
        <v>0</v>
      </c>
    </row>
    <row r="761" spans="5:19" x14ac:dyDescent="0.75">
      <c r="E761">
        <v>756</v>
      </c>
      <c r="F761">
        <v>100</v>
      </c>
      <c r="G761">
        <f t="shared" ca="1" si="750"/>
        <v>89.642917777595216</v>
      </c>
      <c r="H761">
        <f t="shared" ca="1" si="750"/>
        <v>87.208310325166053</v>
      </c>
      <c r="I761">
        <f t="shared" ca="1" si="750"/>
        <v>88.464732856266991</v>
      </c>
      <c r="J761">
        <f t="shared" ca="1" si="750"/>
        <v>87.351542727054053</v>
      </c>
      <c r="K761">
        <f t="shared" ref="K761:P761" ca="1" si="804">J761*EXP(($C$4-0.5*$C$5^2)*$C$10+$C$5*SQRT($C$10)*NORMINV(RAND(),0,1))</f>
        <v>87.300021991609583</v>
      </c>
      <c r="L761">
        <f t="shared" ca="1" si="804"/>
        <v>87.005031576422724</v>
      </c>
      <c r="M761">
        <f t="shared" ca="1" si="804"/>
        <v>90.750915021577697</v>
      </c>
      <c r="N761">
        <f t="shared" ca="1" si="804"/>
        <v>83.796101495113135</v>
      </c>
      <c r="O761">
        <f t="shared" ca="1" si="804"/>
        <v>77.840227996450622</v>
      </c>
      <c r="P761">
        <f t="shared" ca="1" si="804"/>
        <v>84.783264951187732</v>
      </c>
      <c r="Q761">
        <f t="shared" ca="1" si="752"/>
        <v>87.649369701676719</v>
      </c>
      <c r="R761">
        <f t="shared" ca="1" si="753"/>
        <v>0</v>
      </c>
      <c r="S761">
        <f t="shared" ca="1" si="754"/>
        <v>0</v>
      </c>
    </row>
    <row r="762" spans="5:19" x14ac:dyDescent="0.75">
      <c r="E762">
        <v>757</v>
      </c>
      <c r="F762">
        <v>100</v>
      </c>
      <c r="G762">
        <f t="shared" ca="1" si="750"/>
        <v>100.58062538534949</v>
      </c>
      <c r="H762">
        <f t="shared" ca="1" si="750"/>
        <v>110.1234570332425</v>
      </c>
      <c r="I762">
        <f t="shared" ca="1" si="750"/>
        <v>119.01398211079052</v>
      </c>
      <c r="J762">
        <f t="shared" ca="1" si="750"/>
        <v>123.06828588250566</v>
      </c>
      <c r="K762">
        <f t="shared" ref="K762:P762" ca="1" si="805">J762*EXP(($C$4-0.5*$C$5^2)*$C$10+$C$5*SQRT($C$10)*NORMINV(RAND(),0,1))</f>
        <v>136.0664378382005</v>
      </c>
      <c r="L762">
        <f t="shared" ca="1" si="805"/>
        <v>144.02827260966083</v>
      </c>
      <c r="M762">
        <f t="shared" ca="1" si="805"/>
        <v>135.40069625698058</v>
      </c>
      <c r="N762">
        <f t="shared" ca="1" si="805"/>
        <v>134.69452862536789</v>
      </c>
      <c r="O762">
        <f t="shared" ca="1" si="805"/>
        <v>134.36802872090303</v>
      </c>
      <c r="P762">
        <f t="shared" ca="1" si="805"/>
        <v>139.61219400681196</v>
      </c>
      <c r="Q762">
        <f t="shared" ca="1" si="752"/>
        <v>125.17786440634664</v>
      </c>
      <c r="R762">
        <f t="shared" ca="1" si="753"/>
        <v>25.177864406346643</v>
      </c>
      <c r="S762">
        <f t="shared" ca="1" si="754"/>
        <v>24.679309287798354</v>
      </c>
    </row>
    <row r="763" spans="5:19" x14ac:dyDescent="0.75">
      <c r="E763">
        <v>758</v>
      </c>
      <c r="F763">
        <v>100</v>
      </c>
      <c r="G763">
        <f t="shared" ca="1" si="750"/>
        <v>114.15378706023375</v>
      </c>
      <c r="H763">
        <f t="shared" ca="1" si="750"/>
        <v>122.1215841543968</v>
      </c>
      <c r="I763">
        <f t="shared" ca="1" si="750"/>
        <v>117.47108559333735</v>
      </c>
      <c r="J763">
        <f t="shared" ca="1" si="750"/>
        <v>116.20683260618269</v>
      </c>
      <c r="K763">
        <f t="shared" ref="K763:P763" ca="1" si="806">J763*EXP(($C$4-0.5*$C$5^2)*$C$10+$C$5*SQRT($C$10)*NORMINV(RAND(),0,1))</f>
        <v>123.00957955215057</v>
      </c>
      <c r="L763">
        <f t="shared" ca="1" si="806"/>
        <v>126.4063371298177</v>
      </c>
      <c r="M763">
        <f t="shared" ca="1" si="806"/>
        <v>115.13955834914073</v>
      </c>
      <c r="N763">
        <f t="shared" ca="1" si="806"/>
        <v>123.28926786412991</v>
      </c>
      <c r="O763">
        <f t="shared" ca="1" si="806"/>
        <v>117.22306268746532</v>
      </c>
      <c r="P763">
        <f t="shared" ca="1" si="806"/>
        <v>124.14214385877776</v>
      </c>
      <c r="Q763">
        <f t="shared" ca="1" si="752"/>
        <v>118.10574898687568</v>
      </c>
      <c r="R763">
        <f t="shared" ca="1" si="753"/>
        <v>18.105748986875682</v>
      </c>
      <c r="S763">
        <f t="shared" ca="1" si="754"/>
        <v>17.747231136160671</v>
      </c>
    </row>
    <row r="764" spans="5:19" x14ac:dyDescent="0.75">
      <c r="E764">
        <v>759</v>
      </c>
      <c r="F764">
        <v>100</v>
      </c>
      <c r="G764">
        <f t="shared" ca="1" si="750"/>
        <v>96.747765121374329</v>
      </c>
      <c r="H764">
        <f t="shared" ca="1" si="750"/>
        <v>92.897653363376207</v>
      </c>
      <c r="I764">
        <f t="shared" ca="1" si="750"/>
        <v>97.031188943654001</v>
      </c>
      <c r="J764">
        <f t="shared" ca="1" si="750"/>
        <v>101.15157423360684</v>
      </c>
      <c r="K764">
        <f t="shared" ref="K764:P764" ca="1" si="807">J764*EXP(($C$4-0.5*$C$5^2)*$C$10+$C$5*SQRT($C$10)*NORMINV(RAND(),0,1))</f>
        <v>92.159006945984814</v>
      </c>
      <c r="L764">
        <f t="shared" ca="1" si="807"/>
        <v>89.699500103675916</v>
      </c>
      <c r="M764">
        <f t="shared" ca="1" si="807"/>
        <v>92.798902816078623</v>
      </c>
      <c r="N764">
        <f t="shared" ca="1" si="807"/>
        <v>98.52026563898815</v>
      </c>
      <c r="O764">
        <f t="shared" ca="1" si="807"/>
        <v>93.49182640349855</v>
      </c>
      <c r="P764">
        <f t="shared" ca="1" si="807"/>
        <v>95.672519988790555</v>
      </c>
      <c r="Q764">
        <f t="shared" ca="1" si="752"/>
        <v>95.47001850536617</v>
      </c>
      <c r="R764">
        <f t="shared" ca="1" si="753"/>
        <v>0</v>
      </c>
      <c r="S764">
        <f t="shared" ca="1" si="754"/>
        <v>0</v>
      </c>
    </row>
    <row r="765" spans="5:19" x14ac:dyDescent="0.75">
      <c r="E765">
        <v>760</v>
      </c>
      <c r="F765">
        <v>100</v>
      </c>
      <c r="G765">
        <f t="shared" ca="1" si="750"/>
        <v>89.409885073386647</v>
      </c>
      <c r="H765">
        <f t="shared" ca="1" si="750"/>
        <v>94.555203318877375</v>
      </c>
      <c r="I765">
        <f t="shared" ca="1" si="750"/>
        <v>93.940976892647015</v>
      </c>
      <c r="J765">
        <f t="shared" ca="1" si="750"/>
        <v>89.789955323689256</v>
      </c>
      <c r="K765">
        <f t="shared" ref="K765:P765" ca="1" si="808">J765*EXP(($C$4-0.5*$C$5^2)*$C$10+$C$5*SQRT($C$10)*NORMINV(RAND(),0,1))</f>
        <v>96.837016734719199</v>
      </c>
      <c r="L765">
        <f t="shared" ca="1" si="808"/>
        <v>98.009964177105616</v>
      </c>
      <c r="M765">
        <f t="shared" ca="1" si="808"/>
        <v>100.67893109556867</v>
      </c>
      <c r="N765">
        <f t="shared" ca="1" si="808"/>
        <v>107.26510073332382</v>
      </c>
      <c r="O765">
        <f t="shared" ca="1" si="808"/>
        <v>106.30849018095495</v>
      </c>
      <c r="P765">
        <f t="shared" ca="1" si="808"/>
        <v>99.587259457871184</v>
      </c>
      <c r="Q765">
        <f t="shared" ca="1" si="752"/>
        <v>97.852980271649443</v>
      </c>
      <c r="R765">
        <f t="shared" ca="1" si="753"/>
        <v>0</v>
      </c>
      <c r="S765">
        <f t="shared" ca="1" si="754"/>
        <v>0</v>
      </c>
    </row>
    <row r="766" spans="5:19" x14ac:dyDescent="0.75">
      <c r="E766">
        <v>761</v>
      </c>
      <c r="F766">
        <v>100</v>
      </c>
      <c r="G766">
        <f t="shared" ca="1" si="750"/>
        <v>100.3240549179387</v>
      </c>
      <c r="H766">
        <f t="shared" ca="1" si="750"/>
        <v>99.347327780092087</v>
      </c>
      <c r="I766">
        <f t="shared" ca="1" si="750"/>
        <v>97.154033951440454</v>
      </c>
      <c r="J766">
        <f t="shared" ca="1" si="750"/>
        <v>98.400954251511905</v>
      </c>
      <c r="K766">
        <f t="shared" ref="K766:P766" ca="1" si="809">J766*EXP(($C$4-0.5*$C$5^2)*$C$10+$C$5*SQRT($C$10)*NORMINV(RAND(),0,1))</f>
        <v>97.439578587139181</v>
      </c>
      <c r="L766">
        <f t="shared" ca="1" si="809"/>
        <v>90.267015273948331</v>
      </c>
      <c r="M766">
        <f t="shared" ca="1" si="809"/>
        <v>95.208391967019566</v>
      </c>
      <c r="N766">
        <f t="shared" ca="1" si="809"/>
        <v>99.666671840987036</v>
      </c>
      <c r="O766">
        <f t="shared" ca="1" si="809"/>
        <v>92.067830606376191</v>
      </c>
      <c r="P766">
        <f t="shared" ca="1" si="809"/>
        <v>103.40103096968207</v>
      </c>
      <c r="Q766">
        <f t="shared" ca="1" si="752"/>
        <v>97.570626376921425</v>
      </c>
      <c r="R766">
        <f t="shared" ca="1" si="753"/>
        <v>0</v>
      </c>
      <c r="S766">
        <f t="shared" ca="1" si="754"/>
        <v>0</v>
      </c>
    </row>
    <row r="767" spans="5:19" x14ac:dyDescent="0.75">
      <c r="E767">
        <v>762</v>
      </c>
      <c r="F767">
        <v>100</v>
      </c>
      <c r="G767">
        <f t="shared" ca="1" si="750"/>
        <v>102.86191649064148</v>
      </c>
      <c r="H767">
        <f t="shared" ca="1" si="750"/>
        <v>111.46706298961361</v>
      </c>
      <c r="I767">
        <f t="shared" ca="1" si="750"/>
        <v>126.60178668233071</v>
      </c>
      <c r="J767">
        <f t="shared" ca="1" si="750"/>
        <v>129.63024157424371</v>
      </c>
      <c r="K767">
        <f t="shared" ref="K767:P767" ca="1" si="810">J767*EXP(($C$4-0.5*$C$5^2)*$C$10+$C$5*SQRT($C$10)*NORMINV(RAND(),0,1))</f>
        <v>125.19541909586323</v>
      </c>
      <c r="L767">
        <f t="shared" ca="1" si="810"/>
        <v>116.26242826222368</v>
      </c>
      <c r="M767">
        <f t="shared" ca="1" si="810"/>
        <v>124.63771638134014</v>
      </c>
      <c r="N767">
        <f t="shared" ca="1" si="810"/>
        <v>127.31184552285909</v>
      </c>
      <c r="O767">
        <f t="shared" ca="1" si="810"/>
        <v>135.74222885435779</v>
      </c>
      <c r="P767">
        <f t="shared" ca="1" si="810"/>
        <v>148.7432584488902</v>
      </c>
      <c r="Q767">
        <f t="shared" ca="1" si="752"/>
        <v>122.58671857294216</v>
      </c>
      <c r="R767">
        <f t="shared" ca="1" si="753"/>
        <v>22.586718572942161</v>
      </c>
      <c r="S767">
        <f t="shared" ca="1" si="754"/>
        <v>22.139471579550953</v>
      </c>
    </row>
    <row r="768" spans="5:19" x14ac:dyDescent="0.75">
      <c r="E768">
        <v>763</v>
      </c>
      <c r="F768">
        <v>100</v>
      </c>
      <c r="G768">
        <f t="shared" ca="1" si="750"/>
        <v>93.870140727043207</v>
      </c>
      <c r="H768">
        <f t="shared" ca="1" si="750"/>
        <v>109.21354626587619</v>
      </c>
      <c r="I768">
        <f t="shared" ca="1" si="750"/>
        <v>116.24279746149553</v>
      </c>
      <c r="J768">
        <f t="shared" ca="1" si="750"/>
        <v>112.69351664119716</v>
      </c>
      <c r="K768">
        <f t="shared" ref="K768:P768" ca="1" si="811">J768*EXP(($C$4-0.5*$C$5^2)*$C$10+$C$5*SQRT($C$10)*NORMINV(RAND(),0,1))</f>
        <v>115.16675041801808</v>
      </c>
      <c r="L768">
        <f t="shared" ca="1" si="811"/>
        <v>111.24448864593681</v>
      </c>
      <c r="M768">
        <f t="shared" ca="1" si="811"/>
        <v>104.56393728756819</v>
      </c>
      <c r="N768">
        <f t="shared" ca="1" si="811"/>
        <v>93.324173199154544</v>
      </c>
      <c r="O768">
        <f t="shared" ca="1" si="811"/>
        <v>85.671646406754959</v>
      </c>
      <c r="P768">
        <f t="shared" ca="1" si="811"/>
        <v>89.986429100156428</v>
      </c>
      <c r="Q768">
        <f t="shared" ca="1" si="752"/>
        <v>102.90703874120008</v>
      </c>
      <c r="R768">
        <f t="shared" ca="1" si="753"/>
        <v>2.9070387412000827</v>
      </c>
      <c r="S768">
        <f t="shared" ca="1" si="754"/>
        <v>2.849475517375661</v>
      </c>
    </row>
    <row r="769" spans="5:19" x14ac:dyDescent="0.75">
      <c r="E769">
        <v>764</v>
      </c>
      <c r="F769">
        <v>100</v>
      </c>
      <c r="G769">
        <f t="shared" ca="1" si="750"/>
        <v>100.16387536498273</v>
      </c>
      <c r="H769">
        <f t="shared" ca="1" si="750"/>
        <v>103.05565916040713</v>
      </c>
      <c r="I769">
        <f t="shared" ca="1" si="750"/>
        <v>112.23251498521773</v>
      </c>
      <c r="J769">
        <f t="shared" ca="1" si="750"/>
        <v>108.57563439681766</v>
      </c>
      <c r="K769">
        <f t="shared" ref="K769:P769" ca="1" si="812">J769*EXP(($C$4-0.5*$C$5^2)*$C$10+$C$5*SQRT($C$10)*NORMINV(RAND(),0,1))</f>
        <v>122.08943984880565</v>
      </c>
      <c r="L769">
        <f t="shared" ca="1" si="812"/>
        <v>126.11844218877829</v>
      </c>
      <c r="M769">
        <f t="shared" ca="1" si="812"/>
        <v>128.02653405062728</v>
      </c>
      <c r="N769">
        <f t="shared" ca="1" si="812"/>
        <v>118.55542450426024</v>
      </c>
      <c r="O769">
        <f t="shared" ca="1" si="812"/>
        <v>105.56448666585861</v>
      </c>
      <c r="P769">
        <f t="shared" ca="1" si="812"/>
        <v>106.75070948075071</v>
      </c>
      <c r="Q769">
        <f t="shared" ca="1" si="752"/>
        <v>111.92115642240965</v>
      </c>
      <c r="R769">
        <f t="shared" ca="1" si="753"/>
        <v>11.921156422409652</v>
      </c>
      <c r="S769">
        <f t="shared" ca="1" si="754"/>
        <v>11.685101709528245</v>
      </c>
    </row>
    <row r="770" spans="5:19" x14ac:dyDescent="0.75">
      <c r="E770">
        <v>765</v>
      </c>
      <c r="F770">
        <v>100</v>
      </c>
      <c r="G770">
        <f t="shared" ca="1" si="750"/>
        <v>99.041907589738841</v>
      </c>
      <c r="H770">
        <f t="shared" ca="1" si="750"/>
        <v>106.48592872963134</v>
      </c>
      <c r="I770">
        <f t="shared" ca="1" si="750"/>
        <v>112.08665826018205</v>
      </c>
      <c r="J770">
        <f t="shared" ca="1" si="750"/>
        <v>107.92180007688238</v>
      </c>
      <c r="K770">
        <f t="shared" ref="K770:P770" ca="1" si="813">J770*EXP(($C$4-0.5*$C$5^2)*$C$10+$C$5*SQRT($C$10)*NORMINV(RAND(),0,1))</f>
        <v>113.64721046709046</v>
      </c>
      <c r="L770">
        <f t="shared" ca="1" si="813"/>
        <v>114.45991169294605</v>
      </c>
      <c r="M770">
        <f t="shared" ca="1" si="813"/>
        <v>114.81584474422864</v>
      </c>
      <c r="N770">
        <f t="shared" ca="1" si="813"/>
        <v>119.26609173976767</v>
      </c>
      <c r="O770">
        <f t="shared" ca="1" si="813"/>
        <v>115.75670021289442</v>
      </c>
      <c r="P770">
        <f t="shared" ca="1" si="813"/>
        <v>113.31628853828917</v>
      </c>
      <c r="Q770">
        <f t="shared" ca="1" si="752"/>
        <v>110.61803109560465</v>
      </c>
      <c r="R770">
        <f t="shared" ca="1" si="753"/>
        <v>10.61803109560465</v>
      </c>
      <c r="S770">
        <f t="shared" ca="1" si="754"/>
        <v>10.407779993041551</v>
      </c>
    </row>
    <row r="771" spans="5:19" x14ac:dyDescent="0.75">
      <c r="E771">
        <v>766</v>
      </c>
      <c r="F771">
        <v>100</v>
      </c>
      <c r="G771">
        <f t="shared" ca="1" si="750"/>
        <v>101.51449094466491</v>
      </c>
      <c r="H771">
        <f t="shared" ca="1" si="750"/>
        <v>105.82361301897899</v>
      </c>
      <c r="I771">
        <f t="shared" ca="1" si="750"/>
        <v>102.40756546094657</v>
      </c>
      <c r="J771">
        <f t="shared" ca="1" si="750"/>
        <v>99.803004244257679</v>
      </c>
      <c r="K771">
        <f t="shared" ref="K771:P771" ca="1" si="814">J771*EXP(($C$4-0.5*$C$5^2)*$C$10+$C$5*SQRT($C$10)*NORMINV(RAND(),0,1))</f>
        <v>92.810252779539979</v>
      </c>
      <c r="L771">
        <f t="shared" ca="1" si="814"/>
        <v>94.946177062738073</v>
      </c>
      <c r="M771">
        <f t="shared" ca="1" si="814"/>
        <v>87.432340628488021</v>
      </c>
      <c r="N771">
        <f t="shared" ca="1" si="814"/>
        <v>82.081218610466436</v>
      </c>
      <c r="O771">
        <f t="shared" ca="1" si="814"/>
        <v>80.634673277899807</v>
      </c>
      <c r="P771">
        <f t="shared" ca="1" si="814"/>
        <v>84.732965307729742</v>
      </c>
      <c r="Q771">
        <f t="shared" ca="1" si="752"/>
        <v>93.835118303246404</v>
      </c>
      <c r="R771">
        <f t="shared" ca="1" si="753"/>
        <v>0</v>
      </c>
      <c r="S771">
        <f t="shared" ca="1" si="754"/>
        <v>0</v>
      </c>
    </row>
    <row r="772" spans="5:19" x14ac:dyDescent="0.75">
      <c r="E772">
        <v>767</v>
      </c>
      <c r="F772">
        <v>100</v>
      </c>
      <c r="G772">
        <f t="shared" ca="1" si="750"/>
        <v>100.03250568326958</v>
      </c>
      <c r="H772">
        <f t="shared" ca="1" si="750"/>
        <v>99.504076211082278</v>
      </c>
      <c r="I772">
        <f t="shared" ca="1" si="750"/>
        <v>90.114621068896625</v>
      </c>
      <c r="J772">
        <f t="shared" ca="1" si="750"/>
        <v>82.768732785544515</v>
      </c>
      <c r="K772">
        <f t="shared" ref="K772:P772" ca="1" si="815">J772*EXP(($C$4-0.5*$C$5^2)*$C$10+$C$5*SQRT($C$10)*NORMINV(RAND(),0,1))</f>
        <v>85.382455376248316</v>
      </c>
      <c r="L772">
        <f t="shared" ca="1" si="815"/>
        <v>93.849442308299416</v>
      </c>
      <c r="M772">
        <f t="shared" ca="1" si="815"/>
        <v>88.223595418424551</v>
      </c>
      <c r="N772">
        <f t="shared" ca="1" si="815"/>
        <v>99.422683511055965</v>
      </c>
      <c r="O772">
        <f t="shared" ca="1" si="815"/>
        <v>91.40056068924946</v>
      </c>
      <c r="P772">
        <f t="shared" ca="1" si="815"/>
        <v>93.44373991750993</v>
      </c>
      <c r="Q772">
        <f t="shared" ca="1" si="752"/>
        <v>93.103855724507326</v>
      </c>
      <c r="R772">
        <f t="shared" ca="1" si="753"/>
        <v>0</v>
      </c>
      <c r="S772">
        <f t="shared" ca="1" si="754"/>
        <v>0</v>
      </c>
    </row>
    <row r="773" spans="5:19" x14ac:dyDescent="0.75">
      <c r="E773">
        <v>768</v>
      </c>
      <c r="F773">
        <v>100</v>
      </c>
      <c r="G773">
        <f t="shared" ca="1" si="750"/>
        <v>94.716744473864622</v>
      </c>
      <c r="H773">
        <f t="shared" ca="1" si="750"/>
        <v>101.43190151982881</v>
      </c>
      <c r="I773">
        <f t="shared" ca="1" si="750"/>
        <v>100.17786221992523</v>
      </c>
      <c r="J773">
        <f t="shared" ca="1" si="750"/>
        <v>99.900134699598794</v>
      </c>
      <c r="K773">
        <f t="shared" ref="K773:P773" ca="1" si="816">J773*EXP(($C$4-0.5*$C$5^2)*$C$10+$C$5*SQRT($C$10)*NORMINV(RAND(),0,1))</f>
        <v>100.69880045274476</v>
      </c>
      <c r="L773">
        <f t="shared" ca="1" si="816"/>
        <v>101.0886966559261</v>
      </c>
      <c r="M773">
        <f t="shared" ca="1" si="816"/>
        <v>99.412573038872495</v>
      </c>
      <c r="N773">
        <f t="shared" ca="1" si="816"/>
        <v>99.282990368601318</v>
      </c>
      <c r="O773">
        <f t="shared" ca="1" si="816"/>
        <v>93.557378688425786</v>
      </c>
      <c r="P773">
        <f t="shared" ca="1" si="816"/>
        <v>86.586603130629712</v>
      </c>
      <c r="Q773">
        <f t="shared" ca="1" si="752"/>
        <v>97.895789568037983</v>
      </c>
      <c r="R773">
        <f t="shared" ca="1" si="753"/>
        <v>0</v>
      </c>
      <c r="S773">
        <f t="shared" ca="1" si="754"/>
        <v>0</v>
      </c>
    </row>
    <row r="774" spans="5:19" x14ac:dyDescent="0.75">
      <c r="E774">
        <v>769</v>
      </c>
      <c r="F774">
        <v>100</v>
      </c>
      <c r="G774">
        <f t="shared" ca="1" si="750"/>
        <v>107.99609945358439</v>
      </c>
      <c r="H774">
        <f t="shared" ca="1" si="750"/>
        <v>111.51881128152857</v>
      </c>
      <c r="I774">
        <f t="shared" ca="1" si="750"/>
        <v>128.70818450700429</v>
      </c>
      <c r="J774">
        <f t="shared" ref="J774:P774" ca="1" si="817">I774*EXP(($C$4-0.5*$C$5^2)*$C$10+$C$5*SQRT($C$10)*NORMINV(RAND(),0,1))</f>
        <v>129.07654381470294</v>
      </c>
      <c r="K774">
        <f t="shared" ca="1" si="817"/>
        <v>132.43516654534127</v>
      </c>
      <c r="L774">
        <f t="shared" ca="1" si="817"/>
        <v>139.04218120444429</v>
      </c>
      <c r="M774">
        <f t="shared" ca="1" si="817"/>
        <v>138.3109316864232</v>
      </c>
      <c r="N774">
        <f t="shared" ca="1" si="817"/>
        <v>130.94037174422016</v>
      </c>
      <c r="O774">
        <f t="shared" ca="1" si="817"/>
        <v>143.11181795230644</v>
      </c>
      <c r="P774">
        <f t="shared" ca="1" si="817"/>
        <v>129.89605380083651</v>
      </c>
      <c r="Q774">
        <f t="shared" ca="1" si="752"/>
        <v>126.45783290821745</v>
      </c>
      <c r="R774">
        <f t="shared" ca="1" si="753"/>
        <v>26.457832908217455</v>
      </c>
      <c r="S774">
        <f t="shared" ca="1" si="754"/>
        <v>25.933932715206559</v>
      </c>
    </row>
    <row r="775" spans="5:19" x14ac:dyDescent="0.75">
      <c r="E775">
        <v>770</v>
      </c>
      <c r="F775">
        <v>100</v>
      </c>
      <c r="G775">
        <f t="shared" ref="G775:J838" ca="1" si="818">F775*EXP(($C$4-0.5*$C$5^2)*$C$10+$C$5*SQRT($C$10)*NORMINV(RAND(),0,1))</f>
        <v>96.541619537487307</v>
      </c>
      <c r="H775">
        <f t="shared" ca="1" si="818"/>
        <v>94.009328705052454</v>
      </c>
      <c r="I775">
        <f t="shared" ca="1" si="818"/>
        <v>93.455430404363511</v>
      </c>
      <c r="J775">
        <f t="shared" ca="1" si="818"/>
        <v>85.203231311221217</v>
      </c>
      <c r="K775">
        <f t="shared" ref="K775:P775" ca="1" si="819">J775*EXP(($C$4-0.5*$C$5^2)*$C$10+$C$5*SQRT($C$10)*NORMINV(RAND(),0,1))</f>
        <v>82.211699463456</v>
      </c>
      <c r="L775">
        <f t="shared" ca="1" si="819"/>
        <v>86.907289546000214</v>
      </c>
      <c r="M775">
        <f t="shared" ca="1" si="819"/>
        <v>98.647333308053959</v>
      </c>
      <c r="N775">
        <f t="shared" ca="1" si="819"/>
        <v>104.07520204109017</v>
      </c>
      <c r="O775">
        <f t="shared" ca="1" si="819"/>
        <v>105.95700720891222</v>
      </c>
      <c r="P775">
        <f t="shared" ca="1" si="819"/>
        <v>107.43859129136544</v>
      </c>
      <c r="Q775">
        <f t="shared" ref="Q775:Q838" ca="1" si="820">AVERAGE(F775:P775)</f>
        <v>95.858793892454756</v>
      </c>
      <c r="R775">
        <f t="shared" ref="R775:R838" ca="1" si="821">MAX(Q775-$C$7,0)</f>
        <v>0</v>
      </c>
      <c r="S775">
        <f t="shared" ref="S775:S838" ca="1" si="822">EXP(-$C$4*$C$6)*R775</f>
        <v>0</v>
      </c>
    </row>
    <row r="776" spans="5:19" x14ac:dyDescent="0.75">
      <c r="E776">
        <v>771</v>
      </c>
      <c r="F776">
        <v>100</v>
      </c>
      <c r="G776">
        <f t="shared" ca="1" si="818"/>
        <v>98.420617672502061</v>
      </c>
      <c r="H776">
        <f t="shared" ca="1" si="818"/>
        <v>102.36451289814839</v>
      </c>
      <c r="I776">
        <f t="shared" ca="1" si="818"/>
        <v>93.834155625008876</v>
      </c>
      <c r="J776">
        <f t="shared" ca="1" si="818"/>
        <v>96.018435262561553</v>
      </c>
      <c r="K776">
        <f t="shared" ref="K776:P776" ca="1" si="823">J776*EXP(($C$4-0.5*$C$5^2)*$C$10+$C$5*SQRT($C$10)*NORMINV(RAND(),0,1))</f>
        <v>89.532353528486794</v>
      </c>
      <c r="L776">
        <f t="shared" ca="1" si="823"/>
        <v>90.003567082228741</v>
      </c>
      <c r="M776">
        <f t="shared" ca="1" si="823"/>
        <v>83.74772382016549</v>
      </c>
      <c r="N776">
        <f t="shared" ca="1" si="823"/>
        <v>84.415181617938643</v>
      </c>
      <c r="O776">
        <f t="shared" ca="1" si="823"/>
        <v>86.54436193119804</v>
      </c>
      <c r="P776">
        <f t="shared" ca="1" si="823"/>
        <v>98.037681979443079</v>
      </c>
      <c r="Q776">
        <f t="shared" ca="1" si="820"/>
        <v>92.992599219789241</v>
      </c>
      <c r="R776">
        <f t="shared" ca="1" si="821"/>
        <v>0</v>
      </c>
      <c r="S776">
        <f t="shared" ca="1" si="822"/>
        <v>0</v>
      </c>
    </row>
    <row r="777" spans="5:19" x14ac:dyDescent="0.75">
      <c r="E777">
        <v>772</v>
      </c>
      <c r="F777">
        <v>100</v>
      </c>
      <c r="G777">
        <f t="shared" ca="1" si="818"/>
        <v>109.24125091882225</v>
      </c>
      <c r="H777">
        <f t="shared" ca="1" si="818"/>
        <v>109.39446084390156</v>
      </c>
      <c r="I777">
        <f t="shared" ca="1" si="818"/>
        <v>105.66331471049942</v>
      </c>
      <c r="J777">
        <f t="shared" ca="1" si="818"/>
        <v>107.83097856369612</v>
      </c>
      <c r="K777">
        <f t="shared" ref="K777:P777" ca="1" si="824">J777*EXP(($C$4-0.5*$C$5^2)*$C$10+$C$5*SQRT($C$10)*NORMINV(RAND(),0,1))</f>
        <v>106.48240674912788</v>
      </c>
      <c r="L777">
        <f t="shared" ca="1" si="824"/>
        <v>108.68883409282265</v>
      </c>
      <c r="M777">
        <f t="shared" ca="1" si="824"/>
        <v>116.25243150375326</v>
      </c>
      <c r="N777">
        <f t="shared" ca="1" si="824"/>
        <v>106.79376939065995</v>
      </c>
      <c r="O777">
        <f t="shared" ca="1" si="824"/>
        <v>107.97003968795973</v>
      </c>
      <c r="P777">
        <f t="shared" ca="1" si="824"/>
        <v>106.15626167573974</v>
      </c>
      <c r="Q777">
        <f t="shared" ca="1" si="820"/>
        <v>107.67943164881659</v>
      </c>
      <c r="R777">
        <f t="shared" ca="1" si="821"/>
        <v>7.679431648816589</v>
      </c>
      <c r="S777">
        <f t="shared" ca="1" si="822"/>
        <v>7.5273687139199286</v>
      </c>
    </row>
    <row r="778" spans="5:19" x14ac:dyDescent="0.75">
      <c r="E778">
        <v>773</v>
      </c>
      <c r="F778">
        <v>100</v>
      </c>
      <c r="G778">
        <f t="shared" ca="1" si="818"/>
        <v>102.86433557746138</v>
      </c>
      <c r="H778">
        <f t="shared" ca="1" si="818"/>
        <v>102.08526115926207</v>
      </c>
      <c r="I778">
        <f t="shared" ca="1" si="818"/>
        <v>102.17314588980946</v>
      </c>
      <c r="J778">
        <f t="shared" ca="1" si="818"/>
        <v>103.31261068438592</v>
      </c>
      <c r="K778">
        <f t="shared" ref="K778:P778" ca="1" si="825">J778*EXP(($C$4-0.5*$C$5^2)*$C$10+$C$5*SQRT($C$10)*NORMINV(RAND(),0,1))</f>
        <v>116.04686018892356</v>
      </c>
      <c r="L778">
        <f t="shared" ca="1" si="825"/>
        <v>115.49570117201841</v>
      </c>
      <c r="M778">
        <f t="shared" ca="1" si="825"/>
        <v>116.81533548494522</v>
      </c>
      <c r="N778">
        <f t="shared" ca="1" si="825"/>
        <v>121.09452769787562</v>
      </c>
      <c r="O778">
        <f t="shared" ca="1" si="825"/>
        <v>110.41853126664974</v>
      </c>
      <c r="P778">
        <f t="shared" ca="1" si="825"/>
        <v>102.45124199410932</v>
      </c>
      <c r="Q778">
        <f t="shared" ca="1" si="820"/>
        <v>108.43250464685825</v>
      </c>
      <c r="R778">
        <f t="shared" ca="1" si="821"/>
        <v>8.4325046468582485</v>
      </c>
      <c r="S778">
        <f t="shared" ca="1" si="822"/>
        <v>8.2655298675035045</v>
      </c>
    </row>
    <row r="779" spans="5:19" x14ac:dyDescent="0.75">
      <c r="E779">
        <v>774</v>
      </c>
      <c r="F779">
        <v>100</v>
      </c>
      <c r="G779">
        <f t="shared" ca="1" si="818"/>
        <v>107.94736394105422</v>
      </c>
      <c r="H779">
        <f t="shared" ca="1" si="818"/>
        <v>103.17666110063243</v>
      </c>
      <c r="I779">
        <f t="shared" ca="1" si="818"/>
        <v>98.212938630045628</v>
      </c>
      <c r="J779">
        <f t="shared" ca="1" si="818"/>
        <v>98.872415229560858</v>
      </c>
      <c r="K779">
        <f t="shared" ref="K779:P779" ca="1" si="826">J779*EXP(($C$4-0.5*$C$5^2)*$C$10+$C$5*SQRT($C$10)*NORMINV(RAND(),0,1))</f>
        <v>97.235781992188137</v>
      </c>
      <c r="L779">
        <f t="shared" ca="1" si="826"/>
        <v>82.656404093834624</v>
      </c>
      <c r="M779">
        <f t="shared" ca="1" si="826"/>
        <v>88.350391622753961</v>
      </c>
      <c r="N779">
        <f t="shared" ca="1" si="826"/>
        <v>87.797909815624863</v>
      </c>
      <c r="O779">
        <f t="shared" ca="1" si="826"/>
        <v>84.042249596192121</v>
      </c>
      <c r="P779">
        <f t="shared" ca="1" si="826"/>
        <v>78.798673845890889</v>
      </c>
      <c r="Q779">
        <f t="shared" ca="1" si="820"/>
        <v>93.371889987979785</v>
      </c>
      <c r="R779">
        <f t="shared" ca="1" si="821"/>
        <v>0</v>
      </c>
      <c r="S779">
        <f t="shared" ca="1" si="822"/>
        <v>0</v>
      </c>
    </row>
    <row r="780" spans="5:19" x14ac:dyDescent="0.75">
      <c r="E780">
        <v>775</v>
      </c>
      <c r="F780">
        <v>100</v>
      </c>
      <c r="G780">
        <f t="shared" ca="1" si="818"/>
        <v>93.957493840932997</v>
      </c>
      <c r="H780">
        <f t="shared" ca="1" si="818"/>
        <v>105.96931274241869</v>
      </c>
      <c r="I780">
        <f t="shared" ca="1" si="818"/>
        <v>110.29189931752293</v>
      </c>
      <c r="J780">
        <f t="shared" ca="1" si="818"/>
        <v>111.92782579785674</v>
      </c>
      <c r="K780">
        <f t="shared" ref="K780:P780" ca="1" si="827">J780*EXP(($C$4-0.5*$C$5^2)*$C$10+$C$5*SQRT($C$10)*NORMINV(RAND(),0,1))</f>
        <v>122.81309505627914</v>
      </c>
      <c r="L780">
        <f t="shared" ca="1" si="827"/>
        <v>125.06946824970177</v>
      </c>
      <c r="M780">
        <f t="shared" ca="1" si="827"/>
        <v>135.29138551773363</v>
      </c>
      <c r="N780">
        <f t="shared" ca="1" si="827"/>
        <v>162.62203712224127</v>
      </c>
      <c r="O780">
        <f t="shared" ca="1" si="827"/>
        <v>158.39049260311512</v>
      </c>
      <c r="P780">
        <f t="shared" ca="1" si="827"/>
        <v>163.3724956058723</v>
      </c>
      <c r="Q780">
        <f t="shared" ca="1" si="820"/>
        <v>126.33686416851585</v>
      </c>
      <c r="R780">
        <f t="shared" ca="1" si="821"/>
        <v>26.336864168515845</v>
      </c>
      <c r="S780">
        <f t="shared" ca="1" si="822"/>
        <v>25.815359317039452</v>
      </c>
    </row>
    <row r="781" spans="5:19" x14ac:dyDescent="0.75">
      <c r="E781">
        <v>776</v>
      </c>
      <c r="F781">
        <v>100</v>
      </c>
      <c r="G781">
        <f t="shared" ca="1" si="818"/>
        <v>105.24968344924865</v>
      </c>
      <c r="H781">
        <f t="shared" ca="1" si="818"/>
        <v>98.547443426547218</v>
      </c>
      <c r="I781">
        <f t="shared" ca="1" si="818"/>
        <v>107.04815768902203</v>
      </c>
      <c r="J781">
        <f t="shared" ca="1" si="818"/>
        <v>101.91145518295214</v>
      </c>
      <c r="K781">
        <f t="shared" ref="K781:P781" ca="1" si="828">J781*EXP(($C$4-0.5*$C$5^2)*$C$10+$C$5*SQRT($C$10)*NORMINV(RAND(),0,1))</f>
        <v>92.694835012646081</v>
      </c>
      <c r="L781">
        <f t="shared" ca="1" si="828"/>
        <v>87.759560797533609</v>
      </c>
      <c r="M781">
        <f t="shared" ca="1" si="828"/>
        <v>88.921010966976652</v>
      </c>
      <c r="N781">
        <f t="shared" ca="1" si="828"/>
        <v>88.311690516680969</v>
      </c>
      <c r="O781">
        <f t="shared" ca="1" si="828"/>
        <v>88.43703275427265</v>
      </c>
      <c r="P781">
        <f t="shared" ca="1" si="828"/>
        <v>81.87779690976177</v>
      </c>
      <c r="Q781">
        <f t="shared" ca="1" si="820"/>
        <v>94.614424245967442</v>
      </c>
      <c r="R781">
        <f t="shared" ca="1" si="821"/>
        <v>0</v>
      </c>
      <c r="S781">
        <f t="shared" ca="1" si="822"/>
        <v>0</v>
      </c>
    </row>
    <row r="782" spans="5:19" x14ac:dyDescent="0.75">
      <c r="E782">
        <v>777</v>
      </c>
      <c r="F782">
        <v>100</v>
      </c>
      <c r="G782">
        <f t="shared" ca="1" si="818"/>
        <v>100.21661094298911</v>
      </c>
      <c r="H782">
        <f t="shared" ca="1" si="818"/>
        <v>99.561513710811852</v>
      </c>
      <c r="I782">
        <f t="shared" ca="1" si="818"/>
        <v>96.004256183565914</v>
      </c>
      <c r="J782">
        <f t="shared" ca="1" si="818"/>
        <v>99.176661841960311</v>
      </c>
      <c r="K782">
        <f t="shared" ref="K782:P782" ca="1" si="829">J782*EXP(($C$4-0.5*$C$5^2)*$C$10+$C$5*SQRT($C$10)*NORMINV(RAND(),0,1))</f>
        <v>95.453102274836311</v>
      </c>
      <c r="L782">
        <f t="shared" ca="1" si="829"/>
        <v>91.607779450281512</v>
      </c>
      <c r="M782">
        <f t="shared" ca="1" si="829"/>
        <v>98.70972031194475</v>
      </c>
      <c r="N782">
        <f t="shared" ca="1" si="829"/>
        <v>91.700235713288407</v>
      </c>
      <c r="O782">
        <f t="shared" ca="1" si="829"/>
        <v>94.225150678760357</v>
      </c>
      <c r="P782">
        <f t="shared" ca="1" si="829"/>
        <v>90.510635438072171</v>
      </c>
      <c r="Q782">
        <f t="shared" ca="1" si="820"/>
        <v>96.105969686046421</v>
      </c>
      <c r="R782">
        <f t="shared" ca="1" si="821"/>
        <v>0</v>
      </c>
      <c r="S782">
        <f t="shared" ca="1" si="822"/>
        <v>0</v>
      </c>
    </row>
    <row r="783" spans="5:19" x14ac:dyDescent="0.75">
      <c r="E783">
        <v>778</v>
      </c>
      <c r="F783">
        <v>100</v>
      </c>
      <c r="G783">
        <f t="shared" ca="1" si="818"/>
        <v>95.039695404990908</v>
      </c>
      <c r="H783">
        <f t="shared" ca="1" si="818"/>
        <v>88.78823057142364</v>
      </c>
      <c r="I783">
        <f t="shared" ca="1" si="818"/>
        <v>76.467685799543588</v>
      </c>
      <c r="J783">
        <f t="shared" ca="1" si="818"/>
        <v>85.278018126045922</v>
      </c>
      <c r="K783">
        <f t="shared" ref="K783:P783" ca="1" si="830">J783*EXP(($C$4-0.5*$C$5^2)*$C$10+$C$5*SQRT($C$10)*NORMINV(RAND(),0,1))</f>
        <v>86.694257367142995</v>
      </c>
      <c r="L783">
        <f t="shared" ca="1" si="830"/>
        <v>91.6621597427757</v>
      </c>
      <c r="M783">
        <f t="shared" ca="1" si="830"/>
        <v>89.121746973429495</v>
      </c>
      <c r="N783">
        <f t="shared" ca="1" si="830"/>
        <v>88.233293346441542</v>
      </c>
      <c r="O783">
        <f t="shared" ca="1" si="830"/>
        <v>87.999866493606191</v>
      </c>
      <c r="P783">
        <f t="shared" ca="1" si="830"/>
        <v>81.722077432843818</v>
      </c>
      <c r="Q783">
        <f t="shared" ca="1" si="820"/>
        <v>88.273366478022155</v>
      </c>
      <c r="R783">
        <f t="shared" ca="1" si="821"/>
        <v>0</v>
      </c>
      <c r="S783">
        <f t="shared" ca="1" si="822"/>
        <v>0</v>
      </c>
    </row>
    <row r="784" spans="5:19" x14ac:dyDescent="0.75">
      <c r="E784">
        <v>779</v>
      </c>
      <c r="F784">
        <v>100</v>
      </c>
      <c r="G784">
        <f t="shared" ca="1" si="818"/>
        <v>93.859516617271524</v>
      </c>
      <c r="H784">
        <f t="shared" ca="1" si="818"/>
        <v>82.525789272841394</v>
      </c>
      <c r="I784">
        <f t="shared" ca="1" si="818"/>
        <v>82.820950663641298</v>
      </c>
      <c r="J784">
        <f t="shared" ca="1" si="818"/>
        <v>80.94936965926631</v>
      </c>
      <c r="K784">
        <f t="shared" ref="K784:P784" ca="1" si="831">J784*EXP(($C$4-0.5*$C$5^2)*$C$10+$C$5*SQRT($C$10)*NORMINV(RAND(),0,1))</f>
        <v>78.84731146181457</v>
      </c>
      <c r="L784">
        <f t="shared" ca="1" si="831"/>
        <v>84.31574158551814</v>
      </c>
      <c r="M784">
        <f t="shared" ca="1" si="831"/>
        <v>86.783391177228339</v>
      </c>
      <c r="N784">
        <f t="shared" ca="1" si="831"/>
        <v>86.178157270643055</v>
      </c>
      <c r="O784">
        <f t="shared" ca="1" si="831"/>
        <v>92.2586130199997</v>
      </c>
      <c r="P784">
        <f t="shared" ca="1" si="831"/>
        <v>92.086856778582444</v>
      </c>
      <c r="Q784">
        <f t="shared" ca="1" si="820"/>
        <v>87.329608864255135</v>
      </c>
      <c r="R784">
        <f t="shared" ca="1" si="821"/>
        <v>0</v>
      </c>
      <c r="S784">
        <f t="shared" ca="1" si="822"/>
        <v>0</v>
      </c>
    </row>
    <row r="785" spans="5:19" x14ac:dyDescent="0.75">
      <c r="E785">
        <v>780</v>
      </c>
      <c r="F785">
        <v>100</v>
      </c>
      <c r="G785">
        <f t="shared" ca="1" si="818"/>
        <v>96.952130245290022</v>
      </c>
      <c r="H785">
        <f t="shared" ca="1" si="818"/>
        <v>91.350527306952074</v>
      </c>
      <c r="I785">
        <f t="shared" ca="1" si="818"/>
        <v>94.995047926243672</v>
      </c>
      <c r="J785">
        <f t="shared" ca="1" si="818"/>
        <v>93.077007195812413</v>
      </c>
      <c r="K785">
        <f t="shared" ref="K785:P785" ca="1" si="832">J785*EXP(($C$4-0.5*$C$5^2)*$C$10+$C$5*SQRT($C$10)*NORMINV(RAND(),0,1))</f>
        <v>92.411673805830816</v>
      </c>
      <c r="L785">
        <f t="shared" ca="1" si="832"/>
        <v>94.225127876921547</v>
      </c>
      <c r="M785">
        <f t="shared" ca="1" si="832"/>
        <v>99.925126249233813</v>
      </c>
      <c r="N785">
        <f t="shared" ca="1" si="832"/>
        <v>109.72180489823037</v>
      </c>
      <c r="O785">
        <f t="shared" ca="1" si="832"/>
        <v>105.25891787010656</v>
      </c>
      <c r="P785">
        <f t="shared" ca="1" si="832"/>
        <v>95.618800048218702</v>
      </c>
      <c r="Q785">
        <f t="shared" ca="1" si="820"/>
        <v>97.594196674803641</v>
      </c>
      <c r="R785">
        <f t="shared" ca="1" si="821"/>
        <v>0</v>
      </c>
      <c r="S785">
        <f t="shared" ca="1" si="822"/>
        <v>0</v>
      </c>
    </row>
    <row r="786" spans="5:19" x14ac:dyDescent="0.75">
      <c r="E786">
        <v>781</v>
      </c>
      <c r="F786">
        <v>100</v>
      </c>
      <c r="G786">
        <f t="shared" ca="1" si="818"/>
        <v>98.579502267852746</v>
      </c>
      <c r="H786">
        <f t="shared" ca="1" si="818"/>
        <v>98.812148992109996</v>
      </c>
      <c r="I786">
        <f t="shared" ca="1" si="818"/>
        <v>93.089286910323807</v>
      </c>
      <c r="J786">
        <f t="shared" ca="1" si="818"/>
        <v>97.631083400099001</v>
      </c>
      <c r="K786">
        <f t="shared" ref="K786:P786" ca="1" si="833">J786*EXP(($C$4-0.5*$C$5^2)*$C$10+$C$5*SQRT($C$10)*NORMINV(RAND(),0,1))</f>
        <v>93.017351872475729</v>
      </c>
      <c r="L786">
        <f t="shared" ca="1" si="833"/>
        <v>101.87898752646095</v>
      </c>
      <c r="M786">
        <f t="shared" ca="1" si="833"/>
        <v>107.80848708979786</v>
      </c>
      <c r="N786">
        <f t="shared" ca="1" si="833"/>
        <v>106.66047237488955</v>
      </c>
      <c r="O786">
        <f t="shared" ca="1" si="833"/>
        <v>112.45578248089987</v>
      </c>
      <c r="P786">
        <f t="shared" ca="1" si="833"/>
        <v>108.59858884563789</v>
      </c>
      <c r="Q786">
        <f t="shared" ca="1" si="820"/>
        <v>101.68469925095884</v>
      </c>
      <c r="R786">
        <f t="shared" ca="1" si="821"/>
        <v>1.6846992509588432</v>
      </c>
      <c r="S786">
        <f t="shared" ca="1" si="822"/>
        <v>1.6513399707107423</v>
      </c>
    </row>
    <row r="787" spans="5:19" x14ac:dyDescent="0.75">
      <c r="E787">
        <v>782</v>
      </c>
      <c r="F787">
        <v>100</v>
      </c>
      <c r="G787">
        <f t="shared" ca="1" si="818"/>
        <v>105.13331596279414</v>
      </c>
      <c r="H787">
        <f t="shared" ca="1" si="818"/>
        <v>109.43927373641982</v>
      </c>
      <c r="I787">
        <f t="shared" ca="1" si="818"/>
        <v>99.001425032140418</v>
      </c>
      <c r="J787">
        <f t="shared" ca="1" si="818"/>
        <v>94.666599529597548</v>
      </c>
      <c r="K787">
        <f t="shared" ref="K787:P787" ca="1" si="834">J787*EXP(($C$4-0.5*$C$5^2)*$C$10+$C$5*SQRT($C$10)*NORMINV(RAND(),0,1))</f>
        <v>97.498532906313514</v>
      </c>
      <c r="L787">
        <f t="shared" ca="1" si="834"/>
        <v>103.57358965231167</v>
      </c>
      <c r="M787">
        <f t="shared" ca="1" si="834"/>
        <v>104.85077060426451</v>
      </c>
      <c r="N787">
        <f t="shared" ca="1" si="834"/>
        <v>101.52153782927888</v>
      </c>
      <c r="O787">
        <f t="shared" ca="1" si="834"/>
        <v>86.967037941878075</v>
      </c>
      <c r="P787">
        <f t="shared" ca="1" si="834"/>
        <v>83.664770377276085</v>
      </c>
      <c r="Q787">
        <f t="shared" ca="1" si="820"/>
        <v>98.756077597479504</v>
      </c>
      <c r="R787">
        <f t="shared" ca="1" si="821"/>
        <v>0</v>
      </c>
      <c r="S787">
        <f t="shared" ca="1" si="822"/>
        <v>0</v>
      </c>
    </row>
    <row r="788" spans="5:19" x14ac:dyDescent="0.75">
      <c r="E788">
        <v>783</v>
      </c>
      <c r="F788">
        <v>100</v>
      </c>
      <c r="G788">
        <f t="shared" ca="1" si="818"/>
        <v>109.13905634838711</v>
      </c>
      <c r="H788">
        <f t="shared" ca="1" si="818"/>
        <v>110.31801680694309</v>
      </c>
      <c r="I788">
        <f t="shared" ca="1" si="818"/>
        <v>108.41336207375913</v>
      </c>
      <c r="J788">
        <f t="shared" ca="1" si="818"/>
        <v>111.3325998307988</v>
      </c>
      <c r="K788">
        <f t="shared" ref="K788:P788" ca="1" si="835">J788*EXP(($C$4-0.5*$C$5^2)*$C$10+$C$5*SQRT($C$10)*NORMINV(RAND(),0,1))</f>
        <v>100.38292632802012</v>
      </c>
      <c r="L788">
        <f t="shared" ca="1" si="835"/>
        <v>112.52910807342714</v>
      </c>
      <c r="M788">
        <f t="shared" ca="1" si="835"/>
        <v>110.36493659393841</v>
      </c>
      <c r="N788">
        <f t="shared" ca="1" si="835"/>
        <v>102.7776874713397</v>
      </c>
      <c r="O788">
        <f t="shared" ca="1" si="835"/>
        <v>91.302568577967861</v>
      </c>
      <c r="P788">
        <f t="shared" ca="1" si="835"/>
        <v>94.314729318292848</v>
      </c>
      <c r="Q788">
        <f t="shared" ca="1" si="820"/>
        <v>104.62499922026127</v>
      </c>
      <c r="R788">
        <f t="shared" ca="1" si="821"/>
        <v>4.6249992202612731</v>
      </c>
      <c r="S788">
        <f t="shared" ca="1" si="822"/>
        <v>4.5334180997448774</v>
      </c>
    </row>
    <row r="789" spans="5:19" x14ac:dyDescent="0.75">
      <c r="E789">
        <v>784</v>
      </c>
      <c r="F789">
        <v>100</v>
      </c>
      <c r="G789">
        <f t="shared" ca="1" si="818"/>
        <v>87.908690455031063</v>
      </c>
      <c r="H789">
        <f t="shared" ca="1" si="818"/>
        <v>96.111916216704657</v>
      </c>
      <c r="I789">
        <f t="shared" ca="1" si="818"/>
        <v>96.395859292122239</v>
      </c>
      <c r="J789">
        <f t="shared" ca="1" si="818"/>
        <v>88.547734070205664</v>
      </c>
      <c r="K789">
        <f t="shared" ref="K789:P789" ca="1" si="836">J789*EXP(($C$4-0.5*$C$5^2)*$C$10+$C$5*SQRT($C$10)*NORMINV(RAND(),0,1))</f>
        <v>91.308562090430527</v>
      </c>
      <c r="L789">
        <f t="shared" ca="1" si="836"/>
        <v>95.004186487144281</v>
      </c>
      <c r="M789">
        <f t="shared" ca="1" si="836"/>
        <v>97.657129724469371</v>
      </c>
      <c r="N789">
        <f t="shared" ca="1" si="836"/>
        <v>90.906834475056556</v>
      </c>
      <c r="O789">
        <f t="shared" ca="1" si="836"/>
        <v>88.137405958267053</v>
      </c>
      <c r="P789">
        <f t="shared" ca="1" si="836"/>
        <v>80.718679494739007</v>
      </c>
      <c r="Q789">
        <f t="shared" ca="1" si="820"/>
        <v>92.063363478560944</v>
      </c>
      <c r="R789">
        <f t="shared" ca="1" si="821"/>
        <v>0</v>
      </c>
      <c r="S789">
        <f t="shared" ca="1" si="822"/>
        <v>0</v>
      </c>
    </row>
    <row r="790" spans="5:19" x14ac:dyDescent="0.75">
      <c r="E790">
        <v>785</v>
      </c>
      <c r="F790">
        <v>100</v>
      </c>
      <c r="G790">
        <f t="shared" ca="1" si="818"/>
        <v>83.7177663569651</v>
      </c>
      <c r="H790">
        <f t="shared" ca="1" si="818"/>
        <v>77.823914954343607</v>
      </c>
      <c r="I790">
        <f t="shared" ca="1" si="818"/>
        <v>74.314254672056578</v>
      </c>
      <c r="J790">
        <f t="shared" ca="1" si="818"/>
        <v>69.587991533058613</v>
      </c>
      <c r="K790">
        <f t="shared" ref="K790:P790" ca="1" si="837">J790*EXP(($C$4-0.5*$C$5^2)*$C$10+$C$5*SQRT($C$10)*NORMINV(RAND(),0,1))</f>
        <v>65.328199485585117</v>
      </c>
      <c r="L790">
        <f t="shared" ca="1" si="837"/>
        <v>54.567426037291298</v>
      </c>
      <c r="M790">
        <f t="shared" ca="1" si="837"/>
        <v>53.979763296923814</v>
      </c>
      <c r="N790">
        <f t="shared" ca="1" si="837"/>
        <v>55.040587683664022</v>
      </c>
      <c r="O790">
        <f t="shared" ca="1" si="837"/>
        <v>56.832596964544798</v>
      </c>
      <c r="P790">
        <f t="shared" ca="1" si="837"/>
        <v>57.449893274578628</v>
      </c>
      <c r="Q790">
        <f t="shared" ca="1" si="820"/>
        <v>68.058399478091957</v>
      </c>
      <c r="R790">
        <f t="shared" ca="1" si="821"/>
        <v>0</v>
      </c>
      <c r="S790">
        <f t="shared" ca="1" si="822"/>
        <v>0</v>
      </c>
    </row>
    <row r="791" spans="5:19" x14ac:dyDescent="0.75">
      <c r="E791">
        <v>786</v>
      </c>
      <c r="F791">
        <v>100</v>
      </c>
      <c r="G791">
        <f t="shared" ca="1" si="818"/>
        <v>96.989341764891364</v>
      </c>
      <c r="H791">
        <f t="shared" ca="1" si="818"/>
        <v>92.802476981352328</v>
      </c>
      <c r="I791">
        <f t="shared" ca="1" si="818"/>
        <v>89.85426954743329</v>
      </c>
      <c r="J791">
        <f t="shared" ca="1" si="818"/>
        <v>83.726490971221722</v>
      </c>
      <c r="K791">
        <f t="shared" ref="K791:P791" ca="1" si="838">J791*EXP(($C$4-0.5*$C$5^2)*$C$10+$C$5*SQRT($C$10)*NORMINV(RAND(),0,1))</f>
        <v>83.538894210919636</v>
      </c>
      <c r="L791">
        <f t="shared" ca="1" si="838"/>
        <v>86.248767582146812</v>
      </c>
      <c r="M791">
        <f t="shared" ca="1" si="838"/>
        <v>75.134573681061823</v>
      </c>
      <c r="N791">
        <f t="shared" ca="1" si="838"/>
        <v>75.927770192221018</v>
      </c>
      <c r="O791">
        <f t="shared" ca="1" si="838"/>
        <v>79.079651118576805</v>
      </c>
      <c r="P791">
        <f t="shared" ca="1" si="838"/>
        <v>74.392118898399374</v>
      </c>
      <c r="Q791">
        <f t="shared" ca="1" si="820"/>
        <v>85.244941358929481</v>
      </c>
      <c r="R791">
        <f t="shared" ca="1" si="821"/>
        <v>0</v>
      </c>
      <c r="S791">
        <f t="shared" ca="1" si="822"/>
        <v>0</v>
      </c>
    </row>
    <row r="792" spans="5:19" x14ac:dyDescent="0.75">
      <c r="E792">
        <v>787</v>
      </c>
      <c r="F792">
        <v>100</v>
      </c>
      <c r="G792">
        <f t="shared" ca="1" si="818"/>
        <v>92.80782520787767</v>
      </c>
      <c r="H792">
        <f t="shared" ca="1" si="818"/>
        <v>102.38993709932147</v>
      </c>
      <c r="I792">
        <f t="shared" ca="1" si="818"/>
        <v>104.85622918958582</v>
      </c>
      <c r="J792">
        <f t="shared" ca="1" si="818"/>
        <v>102.85625229589805</v>
      </c>
      <c r="K792">
        <f t="shared" ref="K792:P792" ca="1" si="839">J792*EXP(($C$4-0.5*$C$5^2)*$C$10+$C$5*SQRT($C$10)*NORMINV(RAND(),0,1))</f>
        <v>97.251717536695608</v>
      </c>
      <c r="L792">
        <f t="shared" ca="1" si="839"/>
        <v>89.047758055113135</v>
      </c>
      <c r="M792">
        <f t="shared" ca="1" si="839"/>
        <v>91.779943069140515</v>
      </c>
      <c r="N792">
        <f t="shared" ca="1" si="839"/>
        <v>90.230593204516737</v>
      </c>
      <c r="O792">
        <f t="shared" ca="1" si="839"/>
        <v>89.002837361237027</v>
      </c>
      <c r="P792">
        <f t="shared" ca="1" si="839"/>
        <v>97.789656579833846</v>
      </c>
      <c r="Q792">
        <f t="shared" ca="1" si="820"/>
        <v>96.182977236292714</v>
      </c>
      <c r="R792">
        <f t="shared" ca="1" si="821"/>
        <v>0</v>
      </c>
      <c r="S792">
        <f t="shared" ca="1" si="822"/>
        <v>0</v>
      </c>
    </row>
    <row r="793" spans="5:19" x14ac:dyDescent="0.75">
      <c r="E793">
        <v>788</v>
      </c>
      <c r="F793">
        <v>100</v>
      </c>
      <c r="G793">
        <f t="shared" ca="1" si="818"/>
        <v>97.059892947905269</v>
      </c>
      <c r="H793">
        <f t="shared" ca="1" si="818"/>
        <v>99.292255003237145</v>
      </c>
      <c r="I793">
        <f t="shared" ca="1" si="818"/>
        <v>94.258776468545932</v>
      </c>
      <c r="J793">
        <f t="shared" ca="1" si="818"/>
        <v>87.273221332738203</v>
      </c>
      <c r="K793">
        <f t="shared" ref="K793:P793" ca="1" si="840">J793*EXP(($C$4-0.5*$C$5^2)*$C$10+$C$5*SQRT($C$10)*NORMINV(RAND(),0,1))</f>
        <v>92.370357918970754</v>
      </c>
      <c r="L793">
        <f t="shared" ca="1" si="840"/>
        <v>97.231877429616745</v>
      </c>
      <c r="M793">
        <f t="shared" ca="1" si="840"/>
        <v>102.93353698395487</v>
      </c>
      <c r="N793">
        <f t="shared" ca="1" si="840"/>
        <v>107.07564064683399</v>
      </c>
      <c r="O793">
        <f t="shared" ca="1" si="840"/>
        <v>113.62065121748597</v>
      </c>
      <c r="P793">
        <f t="shared" ca="1" si="840"/>
        <v>109.95192645722052</v>
      </c>
      <c r="Q793">
        <f t="shared" ca="1" si="820"/>
        <v>100.09710330968268</v>
      </c>
      <c r="R793">
        <f t="shared" ca="1" si="821"/>
        <v>9.7103309682680106E-2</v>
      </c>
      <c r="S793">
        <f t="shared" ca="1" si="822"/>
        <v>9.5180535324658047E-2</v>
      </c>
    </row>
    <row r="794" spans="5:19" x14ac:dyDescent="0.75">
      <c r="E794">
        <v>789</v>
      </c>
      <c r="F794">
        <v>100</v>
      </c>
      <c r="G794">
        <f t="shared" ca="1" si="818"/>
        <v>95.15482952402094</v>
      </c>
      <c r="H794">
        <f t="shared" ca="1" si="818"/>
        <v>88.151373180987093</v>
      </c>
      <c r="I794">
        <f t="shared" ca="1" si="818"/>
        <v>90.678157878252591</v>
      </c>
      <c r="J794">
        <f t="shared" ca="1" si="818"/>
        <v>83.515748544769323</v>
      </c>
      <c r="K794">
        <f t="shared" ref="K794:P794" ca="1" si="841">J794*EXP(($C$4-0.5*$C$5^2)*$C$10+$C$5*SQRT($C$10)*NORMINV(RAND(),0,1))</f>
        <v>87.986040106649838</v>
      </c>
      <c r="L794">
        <f t="shared" ca="1" si="841"/>
        <v>88.664509942369676</v>
      </c>
      <c r="M794">
        <f t="shared" ca="1" si="841"/>
        <v>92.118470780946765</v>
      </c>
      <c r="N794">
        <f t="shared" ca="1" si="841"/>
        <v>91.646087359186012</v>
      </c>
      <c r="O794">
        <f t="shared" ca="1" si="841"/>
        <v>94.558391995674</v>
      </c>
      <c r="P794">
        <f t="shared" ca="1" si="841"/>
        <v>89.616010729270997</v>
      </c>
      <c r="Q794">
        <f t="shared" ca="1" si="820"/>
        <v>91.099056367466119</v>
      </c>
      <c r="R794">
        <f t="shared" ca="1" si="821"/>
        <v>0</v>
      </c>
      <c r="S794">
        <f t="shared" ca="1" si="822"/>
        <v>0</v>
      </c>
    </row>
    <row r="795" spans="5:19" x14ac:dyDescent="0.75">
      <c r="E795">
        <v>790</v>
      </c>
      <c r="F795">
        <v>100</v>
      </c>
      <c r="G795">
        <f t="shared" ca="1" si="818"/>
        <v>100.83800522780516</v>
      </c>
      <c r="H795">
        <f t="shared" ca="1" si="818"/>
        <v>109.41556943617121</v>
      </c>
      <c r="I795">
        <f t="shared" ca="1" si="818"/>
        <v>116.56575594397297</v>
      </c>
      <c r="J795">
        <f t="shared" ca="1" si="818"/>
        <v>106.93917051051342</v>
      </c>
      <c r="K795">
        <f t="shared" ref="K795:P795" ca="1" si="842">J795*EXP(($C$4-0.5*$C$5^2)*$C$10+$C$5*SQRT($C$10)*NORMINV(RAND(),0,1))</f>
        <v>99.510460019169514</v>
      </c>
      <c r="L795">
        <f t="shared" ca="1" si="842"/>
        <v>98.648087196840933</v>
      </c>
      <c r="M795">
        <f t="shared" ca="1" si="842"/>
        <v>105.08634283178202</v>
      </c>
      <c r="N795">
        <f t="shared" ca="1" si="842"/>
        <v>102.05782264852293</v>
      </c>
      <c r="O795">
        <f t="shared" ca="1" si="842"/>
        <v>102.56201681798852</v>
      </c>
      <c r="P795">
        <f t="shared" ca="1" si="842"/>
        <v>92.509991864858165</v>
      </c>
      <c r="Q795">
        <f t="shared" ca="1" si="820"/>
        <v>103.10302022705679</v>
      </c>
      <c r="R795">
        <f t="shared" ca="1" si="821"/>
        <v>3.1030202270567884</v>
      </c>
      <c r="S795">
        <f t="shared" ca="1" si="822"/>
        <v>3.0415763098050905</v>
      </c>
    </row>
    <row r="796" spans="5:19" x14ac:dyDescent="0.75">
      <c r="E796">
        <v>791</v>
      </c>
      <c r="F796">
        <v>100</v>
      </c>
      <c r="G796">
        <f t="shared" ca="1" si="818"/>
        <v>94.252101945531692</v>
      </c>
      <c r="H796">
        <f t="shared" ca="1" si="818"/>
        <v>94.647519764240926</v>
      </c>
      <c r="I796">
        <f t="shared" ca="1" si="818"/>
        <v>95.852701697511947</v>
      </c>
      <c r="J796">
        <f t="shared" ca="1" si="818"/>
        <v>94.769383710886743</v>
      </c>
      <c r="K796">
        <f t="shared" ref="K796:P796" ca="1" si="843">J796*EXP(($C$4-0.5*$C$5^2)*$C$10+$C$5*SQRT($C$10)*NORMINV(RAND(),0,1))</f>
        <v>98.817435223654684</v>
      </c>
      <c r="L796">
        <f t="shared" ca="1" si="843"/>
        <v>86.031744895980381</v>
      </c>
      <c r="M796">
        <f t="shared" ca="1" si="843"/>
        <v>87.850052812707276</v>
      </c>
      <c r="N796">
        <f t="shared" ca="1" si="843"/>
        <v>96.692442833736663</v>
      </c>
      <c r="O796">
        <f t="shared" ca="1" si="843"/>
        <v>93.66321128352709</v>
      </c>
      <c r="P796">
        <f t="shared" ca="1" si="843"/>
        <v>104.53257574936185</v>
      </c>
      <c r="Q796">
        <f t="shared" ca="1" si="820"/>
        <v>95.191742719739935</v>
      </c>
      <c r="R796">
        <f t="shared" ca="1" si="821"/>
        <v>0</v>
      </c>
      <c r="S796">
        <f t="shared" ca="1" si="822"/>
        <v>0</v>
      </c>
    </row>
    <row r="797" spans="5:19" x14ac:dyDescent="0.75">
      <c r="E797">
        <v>792</v>
      </c>
      <c r="F797">
        <v>100</v>
      </c>
      <c r="G797">
        <f t="shared" ca="1" si="818"/>
        <v>108.64349537675395</v>
      </c>
      <c r="H797">
        <f t="shared" ca="1" si="818"/>
        <v>101.91128044696664</v>
      </c>
      <c r="I797">
        <f t="shared" ca="1" si="818"/>
        <v>107.34334412198162</v>
      </c>
      <c r="J797">
        <f t="shared" ca="1" si="818"/>
        <v>101.56680659689512</v>
      </c>
      <c r="K797">
        <f t="shared" ref="K797:P797" ca="1" si="844">J797*EXP(($C$4-0.5*$C$5^2)*$C$10+$C$5*SQRT($C$10)*NORMINV(RAND(),0,1))</f>
        <v>101.83129490623135</v>
      </c>
      <c r="L797">
        <f t="shared" ca="1" si="844"/>
        <v>100.43558097024493</v>
      </c>
      <c r="M797">
        <f t="shared" ca="1" si="844"/>
        <v>107.86852579678114</v>
      </c>
      <c r="N797">
        <f t="shared" ca="1" si="844"/>
        <v>96.090362531728459</v>
      </c>
      <c r="O797">
        <f t="shared" ca="1" si="844"/>
        <v>99.970415126302555</v>
      </c>
      <c r="P797">
        <f t="shared" ca="1" si="844"/>
        <v>94.570006081019827</v>
      </c>
      <c r="Q797">
        <f t="shared" ca="1" si="820"/>
        <v>101.83919199590051</v>
      </c>
      <c r="R797">
        <f t="shared" ca="1" si="821"/>
        <v>1.8391919959005065</v>
      </c>
      <c r="S797">
        <f t="shared" ca="1" si="822"/>
        <v>1.8027735543380798</v>
      </c>
    </row>
    <row r="798" spans="5:19" x14ac:dyDescent="0.75">
      <c r="E798">
        <v>793</v>
      </c>
      <c r="F798">
        <v>100</v>
      </c>
      <c r="G798">
        <f t="shared" ca="1" si="818"/>
        <v>106.95407680226359</v>
      </c>
      <c r="H798">
        <f t="shared" ca="1" si="818"/>
        <v>107.00921856629782</v>
      </c>
      <c r="I798">
        <f t="shared" ca="1" si="818"/>
        <v>94.333877873752925</v>
      </c>
      <c r="J798">
        <f t="shared" ca="1" si="818"/>
        <v>84.152303564402487</v>
      </c>
      <c r="K798">
        <f t="shared" ref="K798:P798" ca="1" si="845">J798*EXP(($C$4-0.5*$C$5^2)*$C$10+$C$5*SQRT($C$10)*NORMINV(RAND(),0,1))</f>
        <v>80.979146254983078</v>
      </c>
      <c r="L798">
        <f t="shared" ca="1" si="845"/>
        <v>74.980817405389345</v>
      </c>
      <c r="M798">
        <f t="shared" ca="1" si="845"/>
        <v>74.073224564243901</v>
      </c>
      <c r="N798">
        <f t="shared" ca="1" si="845"/>
        <v>74.000656167994677</v>
      </c>
      <c r="O798">
        <f t="shared" ca="1" si="845"/>
        <v>80.861780988081605</v>
      </c>
      <c r="P798">
        <f t="shared" ca="1" si="845"/>
        <v>82.408683689994561</v>
      </c>
      <c r="Q798">
        <f t="shared" ca="1" si="820"/>
        <v>87.250344170673074</v>
      </c>
      <c r="R798">
        <f t="shared" ca="1" si="821"/>
        <v>0</v>
      </c>
      <c r="S798">
        <f t="shared" ca="1" si="822"/>
        <v>0</v>
      </c>
    </row>
    <row r="799" spans="5:19" x14ac:dyDescent="0.75">
      <c r="E799">
        <v>794</v>
      </c>
      <c r="F799">
        <v>100</v>
      </c>
      <c r="G799">
        <f t="shared" ca="1" si="818"/>
        <v>105.50889050448934</v>
      </c>
      <c r="H799">
        <f t="shared" ca="1" si="818"/>
        <v>106.70344822767309</v>
      </c>
      <c r="I799">
        <f t="shared" ca="1" si="818"/>
        <v>105.39873010579041</v>
      </c>
      <c r="J799">
        <f t="shared" ca="1" si="818"/>
        <v>105.66217135838151</v>
      </c>
      <c r="K799">
        <f t="shared" ref="K799:P799" ca="1" si="846">J799*EXP(($C$4-0.5*$C$5^2)*$C$10+$C$5*SQRT($C$10)*NORMINV(RAND(),0,1))</f>
        <v>100.76262159087356</v>
      </c>
      <c r="L799">
        <f t="shared" ca="1" si="846"/>
        <v>91.998097059141841</v>
      </c>
      <c r="M799">
        <f t="shared" ca="1" si="846"/>
        <v>98.658079509845535</v>
      </c>
      <c r="N799">
        <f t="shared" ca="1" si="846"/>
        <v>100.32696958414608</v>
      </c>
      <c r="O799">
        <f t="shared" ca="1" si="846"/>
        <v>105.3760747604408</v>
      </c>
      <c r="P799">
        <f t="shared" ca="1" si="846"/>
        <v>104.65700097345305</v>
      </c>
      <c r="Q799">
        <f t="shared" ca="1" si="820"/>
        <v>102.27746215220321</v>
      </c>
      <c r="R799">
        <f t="shared" ca="1" si="821"/>
        <v>2.2774621522032135</v>
      </c>
      <c r="S799">
        <f t="shared" ca="1" si="822"/>
        <v>2.2323653800959375</v>
      </c>
    </row>
    <row r="800" spans="5:19" x14ac:dyDescent="0.75">
      <c r="E800">
        <v>795</v>
      </c>
      <c r="F800">
        <v>100</v>
      </c>
      <c r="G800">
        <f t="shared" ca="1" si="818"/>
        <v>97.57675427471095</v>
      </c>
      <c r="H800">
        <f t="shared" ca="1" si="818"/>
        <v>95.444047786268158</v>
      </c>
      <c r="I800">
        <f t="shared" ca="1" si="818"/>
        <v>91.906155518844272</v>
      </c>
      <c r="J800">
        <f t="shared" ca="1" si="818"/>
        <v>86.603771637506199</v>
      </c>
      <c r="K800">
        <f t="shared" ref="K800:P800" ca="1" si="847">J800*EXP(($C$4-0.5*$C$5^2)*$C$10+$C$5*SQRT($C$10)*NORMINV(RAND(),0,1))</f>
        <v>90.735835714823224</v>
      </c>
      <c r="L800">
        <f t="shared" ca="1" si="847"/>
        <v>102.3297626701638</v>
      </c>
      <c r="M800">
        <f t="shared" ca="1" si="847"/>
        <v>110.25172980370552</v>
      </c>
      <c r="N800">
        <f t="shared" ca="1" si="847"/>
        <v>113.29698665612827</v>
      </c>
      <c r="O800">
        <f t="shared" ca="1" si="847"/>
        <v>104.01019969549969</v>
      </c>
      <c r="P800">
        <f t="shared" ca="1" si="847"/>
        <v>97.046359913816076</v>
      </c>
      <c r="Q800">
        <f t="shared" ca="1" si="820"/>
        <v>99.018327606496939</v>
      </c>
      <c r="R800">
        <f t="shared" ca="1" si="821"/>
        <v>0</v>
      </c>
      <c r="S800">
        <f t="shared" ca="1" si="822"/>
        <v>0</v>
      </c>
    </row>
    <row r="801" spans="5:19" x14ac:dyDescent="0.75">
      <c r="E801">
        <v>796</v>
      </c>
      <c r="F801">
        <v>100</v>
      </c>
      <c r="G801">
        <f t="shared" ca="1" si="818"/>
        <v>78.246255900927167</v>
      </c>
      <c r="H801">
        <f t="shared" ca="1" si="818"/>
        <v>77.464759318211719</v>
      </c>
      <c r="I801">
        <f t="shared" ca="1" si="818"/>
        <v>75.56236591700187</v>
      </c>
      <c r="J801">
        <f t="shared" ca="1" si="818"/>
        <v>76.543716957230444</v>
      </c>
      <c r="K801">
        <f t="shared" ref="K801:P801" ca="1" si="848">J801*EXP(($C$4-0.5*$C$5^2)*$C$10+$C$5*SQRT($C$10)*NORMINV(RAND(),0,1))</f>
        <v>78.68604953933044</v>
      </c>
      <c r="L801">
        <f t="shared" ca="1" si="848"/>
        <v>88.0639961188824</v>
      </c>
      <c r="M801">
        <f t="shared" ca="1" si="848"/>
        <v>92.765505364805108</v>
      </c>
      <c r="N801">
        <f t="shared" ca="1" si="848"/>
        <v>92.681498099395853</v>
      </c>
      <c r="O801">
        <f t="shared" ca="1" si="848"/>
        <v>85.468222041849714</v>
      </c>
      <c r="P801">
        <f t="shared" ca="1" si="848"/>
        <v>89.209478690630903</v>
      </c>
      <c r="Q801">
        <f t="shared" ca="1" si="820"/>
        <v>84.971986177115056</v>
      </c>
      <c r="R801">
        <f t="shared" ca="1" si="821"/>
        <v>0</v>
      </c>
      <c r="S801">
        <f t="shared" ca="1" si="822"/>
        <v>0</v>
      </c>
    </row>
    <row r="802" spans="5:19" x14ac:dyDescent="0.75">
      <c r="E802">
        <v>797</v>
      </c>
      <c r="F802">
        <v>100</v>
      </c>
      <c r="G802">
        <f t="shared" ca="1" si="818"/>
        <v>103.56982455708668</v>
      </c>
      <c r="H802">
        <f t="shared" ca="1" si="818"/>
        <v>118.59132000404806</v>
      </c>
      <c r="I802">
        <f t="shared" ca="1" si="818"/>
        <v>120.93345483366318</v>
      </c>
      <c r="J802">
        <f t="shared" ca="1" si="818"/>
        <v>133.62370588978419</v>
      </c>
      <c r="K802">
        <f t="shared" ref="K802:P802" ca="1" si="849">J802*EXP(($C$4-0.5*$C$5^2)*$C$10+$C$5*SQRT($C$10)*NORMINV(RAND(),0,1))</f>
        <v>146.9258111694873</v>
      </c>
      <c r="L802">
        <f t="shared" ca="1" si="849"/>
        <v>163.2873452667277</v>
      </c>
      <c r="M802">
        <f t="shared" ca="1" si="849"/>
        <v>166.42362672188023</v>
      </c>
      <c r="N802">
        <f t="shared" ca="1" si="849"/>
        <v>156.04078403438334</v>
      </c>
      <c r="O802">
        <f t="shared" ca="1" si="849"/>
        <v>141.43444078860168</v>
      </c>
      <c r="P802">
        <f t="shared" ca="1" si="849"/>
        <v>139.04282674457008</v>
      </c>
      <c r="Q802">
        <f t="shared" ca="1" si="820"/>
        <v>135.44301272820294</v>
      </c>
      <c r="R802">
        <f t="shared" ca="1" si="821"/>
        <v>35.443012728202945</v>
      </c>
      <c r="S802">
        <f t="shared" ca="1" si="822"/>
        <v>34.741194054178969</v>
      </c>
    </row>
    <row r="803" spans="5:19" x14ac:dyDescent="0.75">
      <c r="E803">
        <v>798</v>
      </c>
      <c r="F803">
        <v>100</v>
      </c>
      <c r="G803">
        <f t="shared" ca="1" si="818"/>
        <v>92.737097466652827</v>
      </c>
      <c r="H803">
        <f t="shared" ca="1" si="818"/>
        <v>96.9575392562963</v>
      </c>
      <c r="I803">
        <f t="shared" ca="1" si="818"/>
        <v>106.37047594877487</v>
      </c>
      <c r="J803">
        <f t="shared" ca="1" si="818"/>
        <v>106.70480156339991</v>
      </c>
      <c r="K803">
        <f t="shared" ref="K803:P803" ca="1" si="850">J803*EXP(($C$4-0.5*$C$5^2)*$C$10+$C$5*SQRT($C$10)*NORMINV(RAND(),0,1))</f>
        <v>106.46355548231512</v>
      </c>
      <c r="L803">
        <f t="shared" ca="1" si="850"/>
        <v>111.42515181168855</v>
      </c>
      <c r="M803">
        <f t="shared" ca="1" si="850"/>
        <v>112.99329438430644</v>
      </c>
      <c r="N803">
        <f t="shared" ca="1" si="850"/>
        <v>111.58169082669309</v>
      </c>
      <c r="O803">
        <f t="shared" ca="1" si="850"/>
        <v>109.72740892927838</v>
      </c>
      <c r="P803">
        <f t="shared" ca="1" si="850"/>
        <v>114.25294589253784</v>
      </c>
      <c r="Q803">
        <f t="shared" ca="1" si="820"/>
        <v>106.29217832381302</v>
      </c>
      <c r="R803">
        <f t="shared" ca="1" si="821"/>
        <v>6.2921783238130189</v>
      </c>
      <c r="S803">
        <f t="shared" ca="1" si="822"/>
        <v>6.167584845211044</v>
      </c>
    </row>
    <row r="804" spans="5:19" x14ac:dyDescent="0.75">
      <c r="E804">
        <v>799</v>
      </c>
      <c r="F804">
        <v>100</v>
      </c>
      <c r="G804">
        <f t="shared" ca="1" si="818"/>
        <v>101.76542700785565</v>
      </c>
      <c r="H804">
        <f t="shared" ca="1" si="818"/>
        <v>111.67469773389443</v>
      </c>
      <c r="I804">
        <f t="shared" ca="1" si="818"/>
        <v>101.28827020520953</v>
      </c>
      <c r="J804">
        <f t="shared" ca="1" si="818"/>
        <v>106.92883152544186</v>
      </c>
      <c r="K804">
        <f t="shared" ref="K804:P804" ca="1" si="851">J804*EXP(($C$4-0.5*$C$5^2)*$C$10+$C$5*SQRT($C$10)*NORMINV(RAND(),0,1))</f>
        <v>117.21823124460451</v>
      </c>
      <c r="L804">
        <f t="shared" ca="1" si="851"/>
        <v>116.05397269979663</v>
      </c>
      <c r="M804">
        <f t="shared" ca="1" si="851"/>
        <v>109.14583363009241</v>
      </c>
      <c r="N804">
        <f t="shared" ca="1" si="851"/>
        <v>102.40373996154618</v>
      </c>
      <c r="O804">
        <f t="shared" ca="1" si="851"/>
        <v>101.64677411939034</v>
      </c>
      <c r="P804">
        <f t="shared" ca="1" si="851"/>
        <v>100.30815275032255</v>
      </c>
      <c r="Q804">
        <f t="shared" ca="1" si="820"/>
        <v>106.22126644346855</v>
      </c>
      <c r="R804">
        <f t="shared" ca="1" si="821"/>
        <v>6.2212664434685507</v>
      </c>
      <c r="S804">
        <f t="shared" ca="1" si="822"/>
        <v>6.0980771141757089</v>
      </c>
    </row>
    <row r="805" spans="5:19" x14ac:dyDescent="0.75">
      <c r="E805">
        <v>800</v>
      </c>
      <c r="F805">
        <v>100</v>
      </c>
      <c r="G805">
        <f t="shared" ca="1" si="818"/>
        <v>116.05764115744567</v>
      </c>
      <c r="H805">
        <f t="shared" ca="1" si="818"/>
        <v>124.43852719384974</v>
      </c>
      <c r="I805">
        <f t="shared" ca="1" si="818"/>
        <v>117.4925443435357</v>
      </c>
      <c r="J805">
        <f t="shared" ca="1" si="818"/>
        <v>114.21889105512027</v>
      </c>
      <c r="K805">
        <f t="shared" ref="K805:P805" ca="1" si="852">J805*EXP(($C$4-0.5*$C$5^2)*$C$10+$C$5*SQRT($C$10)*NORMINV(RAND(),0,1))</f>
        <v>106.41717467333552</v>
      </c>
      <c r="L805">
        <f t="shared" ca="1" si="852"/>
        <v>105.86958548957145</v>
      </c>
      <c r="M805">
        <f t="shared" ca="1" si="852"/>
        <v>102.89577383152854</v>
      </c>
      <c r="N805">
        <f t="shared" ca="1" si="852"/>
        <v>105.59927767336072</v>
      </c>
      <c r="O805">
        <f t="shared" ca="1" si="852"/>
        <v>93.50345474181313</v>
      </c>
      <c r="P805">
        <f t="shared" ca="1" si="852"/>
        <v>87.740014473528873</v>
      </c>
      <c r="Q805">
        <f t="shared" ca="1" si="820"/>
        <v>106.74844405755361</v>
      </c>
      <c r="R805">
        <f t="shared" ca="1" si="821"/>
        <v>6.7484440575536127</v>
      </c>
      <c r="S805">
        <f t="shared" ca="1" si="822"/>
        <v>6.6148159120989076</v>
      </c>
    </row>
    <row r="806" spans="5:19" x14ac:dyDescent="0.75">
      <c r="E806">
        <v>801</v>
      </c>
      <c r="F806">
        <v>100</v>
      </c>
      <c r="G806">
        <f t="shared" ca="1" si="818"/>
        <v>108.16027873894463</v>
      </c>
      <c r="H806">
        <f t="shared" ca="1" si="818"/>
        <v>115.22546034249774</v>
      </c>
      <c r="I806">
        <f t="shared" ca="1" si="818"/>
        <v>112.86670650540712</v>
      </c>
      <c r="J806">
        <f t="shared" ca="1" si="818"/>
        <v>117.24362401803262</v>
      </c>
      <c r="K806">
        <f t="shared" ref="K806:P806" ca="1" si="853">J806*EXP(($C$4-0.5*$C$5^2)*$C$10+$C$5*SQRT($C$10)*NORMINV(RAND(),0,1))</f>
        <v>123.67550168383502</v>
      </c>
      <c r="L806">
        <f t="shared" ca="1" si="853"/>
        <v>126.59854975646175</v>
      </c>
      <c r="M806">
        <f t="shared" ca="1" si="853"/>
        <v>139.22707934476549</v>
      </c>
      <c r="N806">
        <f t="shared" ca="1" si="853"/>
        <v>129.02309265928378</v>
      </c>
      <c r="O806">
        <f t="shared" ca="1" si="853"/>
        <v>125.79630070280977</v>
      </c>
      <c r="P806">
        <f t="shared" ca="1" si="853"/>
        <v>132.93902661387523</v>
      </c>
      <c r="Q806">
        <f t="shared" ca="1" si="820"/>
        <v>120.97778366962848</v>
      </c>
      <c r="R806">
        <f t="shared" ca="1" si="821"/>
        <v>20.977783669628479</v>
      </c>
      <c r="S806">
        <f t="shared" ca="1" si="822"/>
        <v>20.562395721885952</v>
      </c>
    </row>
    <row r="807" spans="5:19" x14ac:dyDescent="0.75">
      <c r="E807">
        <v>802</v>
      </c>
      <c r="F807">
        <v>100</v>
      </c>
      <c r="G807">
        <f t="shared" ca="1" si="818"/>
        <v>106.59950569847818</v>
      </c>
      <c r="H807">
        <f t="shared" ca="1" si="818"/>
        <v>103.20843189619201</v>
      </c>
      <c r="I807">
        <f t="shared" ca="1" si="818"/>
        <v>97.88985200416198</v>
      </c>
      <c r="J807">
        <f t="shared" ca="1" si="818"/>
        <v>96.660386485328758</v>
      </c>
      <c r="K807">
        <f t="shared" ref="K807:P807" ca="1" si="854">J807*EXP(($C$4-0.5*$C$5^2)*$C$10+$C$5*SQRT($C$10)*NORMINV(RAND(),0,1))</f>
        <v>94.767089661732584</v>
      </c>
      <c r="L807">
        <f t="shared" ca="1" si="854"/>
        <v>84.848634230125782</v>
      </c>
      <c r="M807">
        <f t="shared" ca="1" si="854"/>
        <v>82.590840660360826</v>
      </c>
      <c r="N807">
        <f t="shared" ca="1" si="854"/>
        <v>80.428297971815454</v>
      </c>
      <c r="O807">
        <f t="shared" ca="1" si="854"/>
        <v>85.295306299658264</v>
      </c>
      <c r="P807">
        <f t="shared" ca="1" si="854"/>
        <v>82.19942304771233</v>
      </c>
      <c r="Q807">
        <f t="shared" ca="1" si="820"/>
        <v>92.226160723233292</v>
      </c>
      <c r="R807">
        <f t="shared" ca="1" si="821"/>
        <v>0</v>
      </c>
      <c r="S807">
        <f t="shared" ca="1" si="822"/>
        <v>0</v>
      </c>
    </row>
    <row r="808" spans="5:19" x14ac:dyDescent="0.75">
      <c r="E808">
        <v>803</v>
      </c>
      <c r="F808">
        <v>100</v>
      </c>
      <c r="G808">
        <f t="shared" ca="1" si="818"/>
        <v>107.36584190969951</v>
      </c>
      <c r="H808">
        <f t="shared" ca="1" si="818"/>
        <v>105.81449573366795</v>
      </c>
      <c r="I808">
        <f t="shared" ca="1" si="818"/>
        <v>110.78963555795325</v>
      </c>
      <c r="J808">
        <f t="shared" ca="1" si="818"/>
        <v>120.32173582809577</v>
      </c>
      <c r="K808">
        <f t="shared" ref="K808:P808" ca="1" si="855">J808*EXP(($C$4-0.5*$C$5^2)*$C$10+$C$5*SQRT($C$10)*NORMINV(RAND(),0,1))</f>
        <v>125.18670232988137</v>
      </c>
      <c r="L808">
        <f t="shared" ca="1" si="855"/>
        <v>119.38970657966905</v>
      </c>
      <c r="M808">
        <f t="shared" ca="1" si="855"/>
        <v>112.55882773902808</v>
      </c>
      <c r="N808">
        <f t="shared" ca="1" si="855"/>
        <v>105.87856733010402</v>
      </c>
      <c r="O808">
        <f t="shared" ca="1" si="855"/>
        <v>106.47768080253338</v>
      </c>
      <c r="P808">
        <f t="shared" ca="1" si="855"/>
        <v>106.69140277840447</v>
      </c>
      <c r="Q808">
        <f t="shared" ca="1" si="820"/>
        <v>110.95223605354882</v>
      </c>
      <c r="R808">
        <f t="shared" ca="1" si="821"/>
        <v>10.952236053548816</v>
      </c>
      <c r="S808">
        <f t="shared" ca="1" si="822"/>
        <v>10.735367249430963</v>
      </c>
    </row>
    <row r="809" spans="5:19" x14ac:dyDescent="0.75">
      <c r="E809">
        <v>804</v>
      </c>
      <c r="F809">
        <v>100</v>
      </c>
      <c r="G809">
        <f t="shared" ca="1" si="818"/>
        <v>90.258527147383688</v>
      </c>
      <c r="H809">
        <f t="shared" ca="1" si="818"/>
        <v>86.119133775680126</v>
      </c>
      <c r="I809">
        <f t="shared" ca="1" si="818"/>
        <v>77.390446964527044</v>
      </c>
      <c r="J809">
        <f t="shared" ca="1" si="818"/>
        <v>82.70811445620015</v>
      </c>
      <c r="K809">
        <f t="shared" ref="K809:P809" ca="1" si="856">J809*EXP(($C$4-0.5*$C$5^2)*$C$10+$C$5*SQRT($C$10)*NORMINV(RAND(),0,1))</f>
        <v>78.748575890390313</v>
      </c>
      <c r="L809">
        <f t="shared" ca="1" si="856"/>
        <v>78.708465073416221</v>
      </c>
      <c r="M809">
        <f t="shared" ca="1" si="856"/>
        <v>83.057895806414777</v>
      </c>
      <c r="N809">
        <f t="shared" ca="1" si="856"/>
        <v>85.672705902148664</v>
      </c>
      <c r="O809">
        <f t="shared" ca="1" si="856"/>
        <v>89.062074332388988</v>
      </c>
      <c r="P809">
        <f t="shared" ca="1" si="856"/>
        <v>94.14847923893052</v>
      </c>
      <c r="Q809">
        <f t="shared" ca="1" si="820"/>
        <v>85.988583507952754</v>
      </c>
      <c r="R809">
        <f t="shared" ca="1" si="821"/>
        <v>0</v>
      </c>
      <c r="S809">
        <f t="shared" ca="1" si="822"/>
        <v>0</v>
      </c>
    </row>
    <row r="810" spans="5:19" x14ac:dyDescent="0.75">
      <c r="E810">
        <v>805</v>
      </c>
      <c r="F810">
        <v>100</v>
      </c>
      <c r="G810">
        <f t="shared" ca="1" si="818"/>
        <v>99.700852387045842</v>
      </c>
      <c r="H810">
        <f t="shared" ca="1" si="818"/>
        <v>104.79990683751156</v>
      </c>
      <c r="I810">
        <f t="shared" ca="1" si="818"/>
        <v>98.956566202721078</v>
      </c>
      <c r="J810">
        <f t="shared" ca="1" si="818"/>
        <v>105.19438102455474</v>
      </c>
      <c r="K810">
        <f t="shared" ref="K810:P810" ca="1" si="857">J810*EXP(($C$4-0.5*$C$5^2)*$C$10+$C$5*SQRT($C$10)*NORMINV(RAND(),0,1))</f>
        <v>104.30544165431422</v>
      </c>
      <c r="L810">
        <f t="shared" ca="1" si="857"/>
        <v>95.311692011976078</v>
      </c>
      <c r="M810">
        <f t="shared" ca="1" si="857"/>
        <v>91.574262473465595</v>
      </c>
      <c r="N810">
        <f t="shared" ca="1" si="857"/>
        <v>86.716813596744885</v>
      </c>
      <c r="O810">
        <f t="shared" ca="1" si="857"/>
        <v>83.779069023025031</v>
      </c>
      <c r="P810">
        <f t="shared" ca="1" si="857"/>
        <v>87.706222952368947</v>
      </c>
      <c r="Q810">
        <f t="shared" ca="1" si="820"/>
        <v>96.185928014884354</v>
      </c>
      <c r="R810">
        <f t="shared" ca="1" si="821"/>
        <v>0</v>
      </c>
      <c r="S810">
        <f t="shared" ca="1" si="822"/>
        <v>0</v>
      </c>
    </row>
    <row r="811" spans="5:19" x14ac:dyDescent="0.75">
      <c r="E811">
        <v>806</v>
      </c>
      <c r="F811">
        <v>100</v>
      </c>
      <c r="G811">
        <f t="shared" ca="1" si="818"/>
        <v>108.20753579154274</v>
      </c>
      <c r="H811">
        <f t="shared" ca="1" si="818"/>
        <v>113.28921479703192</v>
      </c>
      <c r="I811">
        <f t="shared" ca="1" si="818"/>
        <v>117.87095725480725</v>
      </c>
      <c r="J811">
        <f t="shared" ca="1" si="818"/>
        <v>122.91213538504215</v>
      </c>
      <c r="K811">
        <f t="shared" ref="K811:P811" ca="1" si="858">J811*EXP(($C$4-0.5*$C$5^2)*$C$10+$C$5*SQRT($C$10)*NORMINV(RAND(),0,1))</f>
        <v>125.96529413907221</v>
      </c>
      <c r="L811">
        <f t="shared" ca="1" si="858"/>
        <v>115.62861879632084</v>
      </c>
      <c r="M811">
        <f t="shared" ca="1" si="858"/>
        <v>124.99273546586336</v>
      </c>
      <c r="N811">
        <f t="shared" ca="1" si="858"/>
        <v>117.49434907224705</v>
      </c>
      <c r="O811">
        <f t="shared" ca="1" si="858"/>
        <v>110.64186450525217</v>
      </c>
      <c r="P811">
        <f t="shared" ca="1" si="858"/>
        <v>118.45005734309365</v>
      </c>
      <c r="Q811">
        <f t="shared" ca="1" si="820"/>
        <v>115.95025114093393</v>
      </c>
      <c r="R811">
        <f t="shared" ca="1" si="821"/>
        <v>15.950251140933929</v>
      </c>
      <c r="S811">
        <f t="shared" ca="1" si="822"/>
        <v>15.634415007252997</v>
      </c>
    </row>
    <row r="812" spans="5:19" x14ac:dyDescent="0.75">
      <c r="E812">
        <v>807</v>
      </c>
      <c r="F812">
        <v>100</v>
      </c>
      <c r="G812">
        <f t="shared" ca="1" si="818"/>
        <v>97.158637054758273</v>
      </c>
      <c r="H812">
        <f t="shared" ca="1" si="818"/>
        <v>93.230804447048698</v>
      </c>
      <c r="I812">
        <f t="shared" ca="1" si="818"/>
        <v>86.774560324860616</v>
      </c>
      <c r="J812">
        <f t="shared" ca="1" si="818"/>
        <v>86.12982130403465</v>
      </c>
      <c r="K812">
        <f t="shared" ref="K812:P812" ca="1" si="859">J812*EXP(($C$4-0.5*$C$5^2)*$C$10+$C$5*SQRT($C$10)*NORMINV(RAND(),0,1))</f>
        <v>85.909699465894221</v>
      </c>
      <c r="L812">
        <f t="shared" ca="1" si="859"/>
        <v>80.545029491614542</v>
      </c>
      <c r="M812">
        <f t="shared" ca="1" si="859"/>
        <v>77.627291160116457</v>
      </c>
      <c r="N812">
        <f t="shared" ca="1" si="859"/>
        <v>84.364365051302727</v>
      </c>
      <c r="O812">
        <f t="shared" ca="1" si="859"/>
        <v>84.859409567364295</v>
      </c>
      <c r="P812">
        <f t="shared" ca="1" si="859"/>
        <v>82.65094547098839</v>
      </c>
      <c r="Q812">
        <f t="shared" ca="1" si="820"/>
        <v>87.204596667089348</v>
      </c>
      <c r="R812">
        <f t="shared" ca="1" si="821"/>
        <v>0</v>
      </c>
      <c r="S812">
        <f t="shared" ca="1" si="822"/>
        <v>0</v>
      </c>
    </row>
    <row r="813" spans="5:19" x14ac:dyDescent="0.75">
      <c r="E813">
        <v>808</v>
      </c>
      <c r="F813">
        <v>100</v>
      </c>
      <c r="G813">
        <f t="shared" ca="1" si="818"/>
        <v>100.88327454288417</v>
      </c>
      <c r="H813">
        <f t="shared" ca="1" si="818"/>
        <v>97.031283596399788</v>
      </c>
      <c r="I813">
        <f t="shared" ca="1" si="818"/>
        <v>92.313561889601004</v>
      </c>
      <c r="J813">
        <f t="shared" ca="1" si="818"/>
        <v>99.812607604203365</v>
      </c>
      <c r="K813">
        <f t="shared" ref="K813:P813" ca="1" si="860">J813*EXP(($C$4-0.5*$C$5^2)*$C$10+$C$5*SQRT($C$10)*NORMINV(RAND(),0,1))</f>
        <v>93.38699306761869</v>
      </c>
      <c r="L813">
        <f t="shared" ca="1" si="860"/>
        <v>91.183991834850957</v>
      </c>
      <c r="M813">
        <f t="shared" ca="1" si="860"/>
        <v>79.748197556919706</v>
      </c>
      <c r="N813">
        <f t="shared" ca="1" si="860"/>
        <v>64.757844037934191</v>
      </c>
      <c r="O813">
        <f t="shared" ca="1" si="860"/>
        <v>64.806023611472696</v>
      </c>
      <c r="P813">
        <f t="shared" ca="1" si="860"/>
        <v>69.115378371748875</v>
      </c>
      <c r="Q813">
        <f t="shared" ca="1" si="820"/>
        <v>86.639923283057598</v>
      </c>
      <c r="R813">
        <f t="shared" ca="1" si="821"/>
        <v>0</v>
      </c>
      <c r="S813">
        <f t="shared" ca="1" si="822"/>
        <v>0</v>
      </c>
    </row>
    <row r="814" spans="5:19" x14ac:dyDescent="0.75">
      <c r="E814">
        <v>809</v>
      </c>
      <c r="F814">
        <v>100</v>
      </c>
      <c r="G814">
        <f t="shared" ca="1" si="818"/>
        <v>99.934711499442415</v>
      </c>
      <c r="H814">
        <f t="shared" ca="1" si="818"/>
        <v>112.5625450056782</v>
      </c>
      <c r="I814">
        <f t="shared" ca="1" si="818"/>
        <v>110.34704105932256</v>
      </c>
      <c r="J814">
        <f t="shared" ca="1" si="818"/>
        <v>103.75912065049893</v>
      </c>
      <c r="K814">
        <f t="shared" ref="K814:P814" ca="1" si="861">J814*EXP(($C$4-0.5*$C$5^2)*$C$10+$C$5*SQRT($C$10)*NORMINV(RAND(),0,1))</f>
        <v>99.325144624065743</v>
      </c>
      <c r="L814">
        <f t="shared" ca="1" si="861"/>
        <v>102.29148411016615</v>
      </c>
      <c r="M814">
        <f t="shared" ca="1" si="861"/>
        <v>118.17232353413446</v>
      </c>
      <c r="N814">
        <f t="shared" ca="1" si="861"/>
        <v>104.23640369153706</v>
      </c>
      <c r="O814">
        <f t="shared" ca="1" si="861"/>
        <v>98.045741322359504</v>
      </c>
      <c r="P814">
        <f t="shared" ca="1" si="861"/>
        <v>97.765303806412177</v>
      </c>
      <c r="Q814">
        <f t="shared" ca="1" si="820"/>
        <v>104.22180175487429</v>
      </c>
      <c r="R814">
        <f t="shared" ca="1" si="821"/>
        <v>4.2218017548742921</v>
      </c>
      <c r="S814">
        <f t="shared" ca="1" si="822"/>
        <v>4.1382044790919119</v>
      </c>
    </row>
    <row r="815" spans="5:19" x14ac:dyDescent="0.75">
      <c r="E815">
        <v>810</v>
      </c>
      <c r="F815">
        <v>100</v>
      </c>
      <c r="G815">
        <f t="shared" ca="1" si="818"/>
        <v>94.793028476776854</v>
      </c>
      <c r="H815">
        <f t="shared" ca="1" si="818"/>
        <v>105.07121367679459</v>
      </c>
      <c r="I815">
        <f t="shared" ca="1" si="818"/>
        <v>111.31031148498226</v>
      </c>
      <c r="J815">
        <f t="shared" ca="1" si="818"/>
        <v>118.64000713745166</v>
      </c>
      <c r="K815">
        <f t="shared" ref="K815:P815" ca="1" si="862">J815*EXP(($C$4-0.5*$C$5^2)*$C$10+$C$5*SQRT($C$10)*NORMINV(RAND(),0,1))</f>
        <v>125.23967968881995</v>
      </c>
      <c r="L815">
        <f t="shared" ca="1" si="862"/>
        <v>120.36506610006641</v>
      </c>
      <c r="M815">
        <f t="shared" ca="1" si="862"/>
        <v>121.80230334065809</v>
      </c>
      <c r="N815">
        <f t="shared" ca="1" si="862"/>
        <v>114.30828965803823</v>
      </c>
      <c r="O815">
        <f t="shared" ca="1" si="862"/>
        <v>121.31211563056341</v>
      </c>
      <c r="P815">
        <f t="shared" ca="1" si="862"/>
        <v>120.35027835834858</v>
      </c>
      <c r="Q815">
        <f t="shared" ca="1" si="820"/>
        <v>113.92657214113636</v>
      </c>
      <c r="R815">
        <f t="shared" ca="1" si="821"/>
        <v>13.926572141136361</v>
      </c>
      <c r="S815">
        <f t="shared" ca="1" si="822"/>
        <v>13.65080753645268</v>
      </c>
    </row>
    <row r="816" spans="5:19" x14ac:dyDescent="0.75">
      <c r="E816">
        <v>811</v>
      </c>
      <c r="F816">
        <v>100</v>
      </c>
      <c r="G816">
        <f t="shared" ca="1" si="818"/>
        <v>101.7091877751257</v>
      </c>
      <c r="H816">
        <f t="shared" ca="1" si="818"/>
        <v>103.11833634243858</v>
      </c>
      <c r="I816">
        <f t="shared" ca="1" si="818"/>
        <v>93.30863882645906</v>
      </c>
      <c r="J816">
        <f t="shared" ca="1" si="818"/>
        <v>95.199803235017711</v>
      </c>
      <c r="K816">
        <f t="shared" ref="K816:P816" ca="1" si="863">J816*EXP(($C$4-0.5*$C$5^2)*$C$10+$C$5*SQRT($C$10)*NORMINV(RAND(),0,1))</f>
        <v>97.446188784600722</v>
      </c>
      <c r="L816">
        <f t="shared" ca="1" si="863"/>
        <v>101.44564630860765</v>
      </c>
      <c r="M816">
        <f t="shared" ca="1" si="863"/>
        <v>111.93685478193963</v>
      </c>
      <c r="N816">
        <f t="shared" ca="1" si="863"/>
        <v>98.084543859851507</v>
      </c>
      <c r="O816">
        <f t="shared" ca="1" si="863"/>
        <v>92.307481749478356</v>
      </c>
      <c r="P816">
        <f t="shared" ca="1" si="863"/>
        <v>88.904587104293014</v>
      </c>
      <c r="Q816">
        <f t="shared" ca="1" si="820"/>
        <v>98.496478978892</v>
      </c>
      <c r="R816">
        <f t="shared" ca="1" si="821"/>
        <v>0</v>
      </c>
      <c r="S816">
        <f t="shared" ca="1" si="822"/>
        <v>0</v>
      </c>
    </row>
    <row r="817" spans="5:19" x14ac:dyDescent="0.75">
      <c r="E817">
        <v>812</v>
      </c>
      <c r="F817">
        <v>100</v>
      </c>
      <c r="G817">
        <f t="shared" ca="1" si="818"/>
        <v>102.2273995513284</v>
      </c>
      <c r="H817">
        <f t="shared" ca="1" si="818"/>
        <v>107.44946380848108</v>
      </c>
      <c r="I817">
        <f t="shared" ca="1" si="818"/>
        <v>107.80702880116976</v>
      </c>
      <c r="J817">
        <f t="shared" ca="1" si="818"/>
        <v>112.51559165415031</v>
      </c>
      <c r="K817">
        <f t="shared" ref="K817:P817" ca="1" si="864">J817*EXP(($C$4-0.5*$C$5^2)*$C$10+$C$5*SQRT($C$10)*NORMINV(RAND(),0,1))</f>
        <v>107.99790191212475</v>
      </c>
      <c r="L817">
        <f t="shared" ca="1" si="864"/>
        <v>112.03313673685047</v>
      </c>
      <c r="M817">
        <f t="shared" ca="1" si="864"/>
        <v>105.68497292626421</v>
      </c>
      <c r="N817">
        <f t="shared" ca="1" si="864"/>
        <v>103.385110902303</v>
      </c>
      <c r="O817">
        <f t="shared" ca="1" si="864"/>
        <v>100.85142826949996</v>
      </c>
      <c r="P817">
        <f t="shared" ca="1" si="864"/>
        <v>91.8328960802464</v>
      </c>
      <c r="Q817">
        <f t="shared" ca="1" si="820"/>
        <v>104.70772096749259</v>
      </c>
      <c r="R817">
        <f t="shared" ca="1" si="821"/>
        <v>4.7077209674925911</v>
      </c>
      <c r="S817">
        <f t="shared" ca="1" si="822"/>
        <v>4.6145018466346324</v>
      </c>
    </row>
    <row r="818" spans="5:19" x14ac:dyDescent="0.75">
      <c r="E818">
        <v>813</v>
      </c>
      <c r="F818">
        <v>100</v>
      </c>
      <c r="G818">
        <f t="shared" ca="1" si="818"/>
        <v>103.74493261094764</v>
      </c>
      <c r="H818">
        <f t="shared" ca="1" si="818"/>
        <v>102.17419864069841</v>
      </c>
      <c r="I818">
        <f t="shared" ca="1" si="818"/>
        <v>95.559000016567865</v>
      </c>
      <c r="J818">
        <f t="shared" ca="1" si="818"/>
        <v>93.638680214742067</v>
      </c>
      <c r="K818">
        <f t="shared" ref="K818:P818" ca="1" si="865">J818*EXP(($C$4-0.5*$C$5^2)*$C$10+$C$5*SQRT($C$10)*NORMINV(RAND(),0,1))</f>
        <v>100.65898054182861</v>
      </c>
      <c r="L818">
        <f t="shared" ca="1" si="865"/>
        <v>99.565197082906849</v>
      </c>
      <c r="M818">
        <f t="shared" ca="1" si="865"/>
        <v>94.612088068869213</v>
      </c>
      <c r="N818">
        <f t="shared" ca="1" si="865"/>
        <v>87.41308238835083</v>
      </c>
      <c r="O818">
        <f t="shared" ca="1" si="865"/>
        <v>87.278100595364549</v>
      </c>
      <c r="P818">
        <f t="shared" ca="1" si="865"/>
        <v>87.91067040391367</v>
      </c>
      <c r="Q818">
        <f t="shared" ca="1" si="820"/>
        <v>95.686811869471782</v>
      </c>
      <c r="R818">
        <f t="shared" ca="1" si="821"/>
        <v>0</v>
      </c>
      <c r="S818">
        <f t="shared" ca="1" si="822"/>
        <v>0</v>
      </c>
    </row>
    <row r="819" spans="5:19" x14ac:dyDescent="0.75">
      <c r="E819">
        <v>814</v>
      </c>
      <c r="F819">
        <v>100</v>
      </c>
      <c r="G819">
        <f t="shared" ca="1" si="818"/>
        <v>91.537471128675136</v>
      </c>
      <c r="H819">
        <f t="shared" ca="1" si="818"/>
        <v>86.847962874113634</v>
      </c>
      <c r="I819">
        <f t="shared" ca="1" si="818"/>
        <v>106.17107568063554</v>
      </c>
      <c r="J819">
        <f t="shared" ca="1" si="818"/>
        <v>102.76799526673197</v>
      </c>
      <c r="K819">
        <f t="shared" ref="K819:P819" ca="1" si="866">J819*EXP(($C$4-0.5*$C$5^2)*$C$10+$C$5*SQRT($C$10)*NORMINV(RAND(),0,1))</f>
        <v>106.36687796761737</v>
      </c>
      <c r="L819">
        <f t="shared" ca="1" si="866"/>
        <v>113.61405959060301</v>
      </c>
      <c r="M819">
        <f t="shared" ca="1" si="866"/>
        <v>115.20961188042924</v>
      </c>
      <c r="N819">
        <f t="shared" ca="1" si="866"/>
        <v>111.66536185438866</v>
      </c>
      <c r="O819">
        <f t="shared" ca="1" si="866"/>
        <v>106.7666639500881</v>
      </c>
      <c r="P819">
        <f t="shared" ca="1" si="866"/>
        <v>107.2774898200262</v>
      </c>
      <c r="Q819">
        <f t="shared" ca="1" si="820"/>
        <v>104.38405181939173</v>
      </c>
      <c r="R819">
        <f t="shared" ca="1" si="821"/>
        <v>4.3840518193917291</v>
      </c>
      <c r="S819">
        <f t="shared" ca="1" si="822"/>
        <v>4.2972417770758398</v>
      </c>
    </row>
    <row r="820" spans="5:19" x14ac:dyDescent="0.75">
      <c r="E820">
        <v>815</v>
      </c>
      <c r="F820">
        <v>100</v>
      </c>
      <c r="G820">
        <f t="shared" ca="1" si="818"/>
        <v>102.09302828389491</v>
      </c>
      <c r="H820">
        <f t="shared" ca="1" si="818"/>
        <v>99.885053756815367</v>
      </c>
      <c r="I820">
        <f t="shared" ca="1" si="818"/>
        <v>94.732616224268611</v>
      </c>
      <c r="J820">
        <f t="shared" ca="1" si="818"/>
        <v>93.226816277407281</v>
      </c>
      <c r="K820">
        <f t="shared" ref="K820:P820" ca="1" si="867">J820*EXP(($C$4-0.5*$C$5^2)*$C$10+$C$5*SQRT($C$10)*NORMINV(RAND(),0,1))</f>
        <v>90.743440596295812</v>
      </c>
      <c r="L820">
        <f t="shared" ca="1" si="867"/>
        <v>92.494404965461939</v>
      </c>
      <c r="M820">
        <f t="shared" ca="1" si="867"/>
        <v>91.895948020665884</v>
      </c>
      <c r="N820">
        <f t="shared" ca="1" si="867"/>
        <v>93.854615643646341</v>
      </c>
      <c r="O820">
        <f t="shared" ca="1" si="867"/>
        <v>90.627371490932148</v>
      </c>
      <c r="P820">
        <f t="shared" ca="1" si="867"/>
        <v>101.2014773270856</v>
      </c>
      <c r="Q820">
        <f t="shared" ca="1" si="820"/>
        <v>95.523161144224886</v>
      </c>
      <c r="R820">
        <f t="shared" ca="1" si="821"/>
        <v>0</v>
      </c>
      <c r="S820">
        <f t="shared" ca="1" si="822"/>
        <v>0</v>
      </c>
    </row>
    <row r="821" spans="5:19" x14ac:dyDescent="0.75">
      <c r="E821">
        <v>816</v>
      </c>
      <c r="F821">
        <v>100</v>
      </c>
      <c r="G821">
        <f t="shared" ca="1" si="818"/>
        <v>110.63066070900489</v>
      </c>
      <c r="H821">
        <f t="shared" ca="1" si="818"/>
        <v>112.16546621079867</v>
      </c>
      <c r="I821">
        <f t="shared" ca="1" si="818"/>
        <v>108.11094218182025</v>
      </c>
      <c r="J821">
        <f t="shared" ca="1" si="818"/>
        <v>114.95303664018488</v>
      </c>
      <c r="K821">
        <f t="shared" ref="K821:P821" ca="1" si="868">J821*EXP(($C$4-0.5*$C$5^2)*$C$10+$C$5*SQRT($C$10)*NORMINV(RAND(),0,1))</f>
        <v>123.71471949664122</v>
      </c>
      <c r="L821">
        <f t="shared" ca="1" si="868"/>
        <v>131.40449083857192</v>
      </c>
      <c r="M821">
        <f t="shared" ca="1" si="868"/>
        <v>139.8512323989095</v>
      </c>
      <c r="N821">
        <f t="shared" ca="1" si="868"/>
        <v>143.65713965280943</v>
      </c>
      <c r="O821">
        <f t="shared" ca="1" si="868"/>
        <v>149.31078925797269</v>
      </c>
      <c r="P821">
        <f t="shared" ca="1" si="868"/>
        <v>147.26650739646072</v>
      </c>
      <c r="Q821">
        <f t="shared" ca="1" si="820"/>
        <v>125.55136225301584</v>
      </c>
      <c r="R821">
        <f t="shared" ca="1" si="821"/>
        <v>25.551362253015839</v>
      </c>
      <c r="S821">
        <f t="shared" ca="1" si="822"/>
        <v>25.04541138158643</v>
      </c>
    </row>
    <row r="822" spans="5:19" x14ac:dyDescent="0.75">
      <c r="E822">
        <v>817</v>
      </c>
      <c r="F822">
        <v>100</v>
      </c>
      <c r="G822">
        <f t="shared" ca="1" si="818"/>
        <v>103.9837011890524</v>
      </c>
      <c r="H822">
        <f t="shared" ca="1" si="818"/>
        <v>104.77549658166053</v>
      </c>
      <c r="I822">
        <f t="shared" ca="1" si="818"/>
        <v>110.70711236815146</v>
      </c>
      <c r="J822">
        <f t="shared" ca="1" si="818"/>
        <v>104.09871395954296</v>
      </c>
      <c r="K822">
        <f t="shared" ref="K822:P822" ca="1" si="869">J822*EXP(($C$4-0.5*$C$5^2)*$C$10+$C$5*SQRT($C$10)*NORMINV(RAND(),0,1))</f>
        <v>103.90639049012337</v>
      </c>
      <c r="L822">
        <f t="shared" ca="1" si="869"/>
        <v>92.163602463477687</v>
      </c>
      <c r="M822">
        <f t="shared" ca="1" si="869"/>
        <v>89.993588079438553</v>
      </c>
      <c r="N822">
        <f t="shared" ca="1" si="869"/>
        <v>85.292189532786978</v>
      </c>
      <c r="O822">
        <f t="shared" ca="1" si="869"/>
        <v>81.982524557661307</v>
      </c>
      <c r="P822">
        <f t="shared" ca="1" si="869"/>
        <v>87.699500596541625</v>
      </c>
      <c r="Q822">
        <f t="shared" ca="1" si="820"/>
        <v>96.782074528948812</v>
      </c>
      <c r="R822">
        <f t="shared" ca="1" si="821"/>
        <v>0</v>
      </c>
      <c r="S822">
        <f t="shared" ca="1" si="822"/>
        <v>0</v>
      </c>
    </row>
    <row r="823" spans="5:19" x14ac:dyDescent="0.75">
      <c r="E823">
        <v>818</v>
      </c>
      <c r="F823">
        <v>100</v>
      </c>
      <c r="G823">
        <f t="shared" ca="1" si="818"/>
        <v>101.63633475694755</v>
      </c>
      <c r="H823">
        <f t="shared" ca="1" si="818"/>
        <v>101.11031533554146</v>
      </c>
      <c r="I823">
        <f t="shared" ca="1" si="818"/>
        <v>103.06706633873242</v>
      </c>
      <c r="J823">
        <f t="shared" ca="1" si="818"/>
        <v>108.85866317914675</v>
      </c>
      <c r="K823">
        <f t="shared" ref="K823:P823" ca="1" si="870">J823*EXP(($C$4-0.5*$C$5^2)*$C$10+$C$5*SQRT($C$10)*NORMINV(RAND(),0,1))</f>
        <v>108.49193704221491</v>
      </c>
      <c r="L823">
        <f t="shared" ca="1" si="870"/>
        <v>108.20323865655752</v>
      </c>
      <c r="M823">
        <f t="shared" ca="1" si="870"/>
        <v>118.34811879098179</v>
      </c>
      <c r="N823">
        <f t="shared" ca="1" si="870"/>
        <v>105.49941689300442</v>
      </c>
      <c r="O823">
        <f t="shared" ca="1" si="870"/>
        <v>108.86493220786767</v>
      </c>
      <c r="P823">
        <f t="shared" ca="1" si="870"/>
        <v>115.99342195451072</v>
      </c>
      <c r="Q823">
        <f t="shared" ca="1" si="820"/>
        <v>107.27940410504593</v>
      </c>
      <c r="R823">
        <f t="shared" ca="1" si="821"/>
        <v>7.2794041050459271</v>
      </c>
      <c r="S823">
        <f t="shared" ca="1" si="822"/>
        <v>7.1352622462297655</v>
      </c>
    </row>
    <row r="824" spans="5:19" x14ac:dyDescent="0.75">
      <c r="E824">
        <v>819</v>
      </c>
      <c r="F824">
        <v>100</v>
      </c>
      <c r="G824">
        <f t="shared" ca="1" si="818"/>
        <v>99.775228448389612</v>
      </c>
      <c r="H824">
        <f t="shared" ca="1" si="818"/>
        <v>101.525216565796</v>
      </c>
      <c r="I824">
        <f t="shared" ca="1" si="818"/>
        <v>103.10705325860337</v>
      </c>
      <c r="J824">
        <f t="shared" ca="1" si="818"/>
        <v>98.431347298383344</v>
      </c>
      <c r="K824">
        <f t="shared" ref="K824:P824" ca="1" si="871">J824*EXP(($C$4-0.5*$C$5^2)*$C$10+$C$5*SQRT($C$10)*NORMINV(RAND(),0,1))</f>
        <v>91.858091501141601</v>
      </c>
      <c r="L824">
        <f t="shared" ca="1" si="871"/>
        <v>96.993410408742406</v>
      </c>
      <c r="M824">
        <f t="shared" ca="1" si="871"/>
        <v>97.960297890199755</v>
      </c>
      <c r="N824">
        <f t="shared" ca="1" si="871"/>
        <v>102.23107506541807</v>
      </c>
      <c r="O824">
        <f t="shared" ca="1" si="871"/>
        <v>99.922083107952616</v>
      </c>
      <c r="P824">
        <f t="shared" ca="1" si="871"/>
        <v>90.597831778126022</v>
      </c>
      <c r="Q824">
        <f t="shared" ca="1" si="820"/>
        <v>98.400148665704805</v>
      </c>
      <c r="R824">
        <f t="shared" ca="1" si="821"/>
        <v>0</v>
      </c>
      <c r="S824">
        <f t="shared" ca="1" si="822"/>
        <v>0</v>
      </c>
    </row>
    <row r="825" spans="5:19" x14ac:dyDescent="0.75">
      <c r="E825">
        <v>820</v>
      </c>
      <c r="F825">
        <v>100</v>
      </c>
      <c r="G825">
        <f t="shared" ca="1" si="818"/>
        <v>103.2172532060635</v>
      </c>
      <c r="H825">
        <f t="shared" ca="1" si="818"/>
        <v>102.42298687618941</v>
      </c>
      <c r="I825">
        <f t="shared" ca="1" si="818"/>
        <v>92.471502123651305</v>
      </c>
      <c r="J825">
        <f t="shared" ca="1" si="818"/>
        <v>92.569254085193279</v>
      </c>
      <c r="K825">
        <f t="shared" ref="K825:P825" ca="1" si="872">J825*EXP(($C$4-0.5*$C$5^2)*$C$10+$C$5*SQRT($C$10)*NORMINV(RAND(),0,1))</f>
        <v>100.796906120359</v>
      </c>
      <c r="L825">
        <f t="shared" ca="1" si="872"/>
        <v>106.12430005230456</v>
      </c>
      <c r="M825">
        <f t="shared" ca="1" si="872"/>
        <v>106.73882718070891</v>
      </c>
      <c r="N825">
        <f t="shared" ca="1" si="872"/>
        <v>95.849532583250266</v>
      </c>
      <c r="O825">
        <f t="shared" ca="1" si="872"/>
        <v>104.95520103821262</v>
      </c>
      <c r="P825">
        <f t="shared" ca="1" si="872"/>
        <v>97.719113647467466</v>
      </c>
      <c r="Q825">
        <f t="shared" ca="1" si="820"/>
        <v>100.26044335576367</v>
      </c>
      <c r="R825">
        <f t="shared" ca="1" si="821"/>
        <v>0.26044335576366962</v>
      </c>
      <c r="S825">
        <f t="shared" ca="1" si="822"/>
        <v>0.25528623179110821</v>
      </c>
    </row>
    <row r="826" spans="5:19" x14ac:dyDescent="0.75">
      <c r="E826">
        <v>821</v>
      </c>
      <c r="F826">
        <v>100</v>
      </c>
      <c r="G826">
        <f t="shared" ca="1" si="818"/>
        <v>96.996058373684292</v>
      </c>
      <c r="H826">
        <f t="shared" ca="1" si="818"/>
        <v>91.480727427822899</v>
      </c>
      <c r="I826">
        <f t="shared" ca="1" si="818"/>
        <v>83.060920206805093</v>
      </c>
      <c r="J826">
        <f t="shared" ca="1" si="818"/>
        <v>80.287956296072025</v>
      </c>
      <c r="K826">
        <f t="shared" ref="K826:P826" ca="1" si="873">J826*EXP(($C$4-0.5*$C$5^2)*$C$10+$C$5*SQRT($C$10)*NORMINV(RAND(),0,1))</f>
        <v>91.114956014824841</v>
      </c>
      <c r="L826">
        <f t="shared" ca="1" si="873"/>
        <v>89.771806948191752</v>
      </c>
      <c r="M826">
        <f t="shared" ca="1" si="873"/>
        <v>90.054817979120784</v>
      </c>
      <c r="N826">
        <f t="shared" ca="1" si="873"/>
        <v>91.045933337041262</v>
      </c>
      <c r="O826">
        <f t="shared" ca="1" si="873"/>
        <v>86.119186930327999</v>
      </c>
      <c r="P826">
        <f t="shared" ca="1" si="873"/>
        <v>91.269482670027742</v>
      </c>
      <c r="Q826">
        <f t="shared" ca="1" si="820"/>
        <v>90.109258743992612</v>
      </c>
      <c r="R826">
        <f t="shared" ca="1" si="821"/>
        <v>0</v>
      </c>
      <c r="S826">
        <f t="shared" ca="1" si="822"/>
        <v>0</v>
      </c>
    </row>
    <row r="827" spans="5:19" x14ac:dyDescent="0.75">
      <c r="E827">
        <v>822</v>
      </c>
      <c r="F827">
        <v>100</v>
      </c>
      <c r="G827">
        <f t="shared" ca="1" si="818"/>
        <v>100.42176901213207</v>
      </c>
      <c r="H827">
        <f t="shared" ca="1" si="818"/>
        <v>93.285818586877127</v>
      </c>
      <c r="I827">
        <f t="shared" ca="1" si="818"/>
        <v>92.660018953058611</v>
      </c>
      <c r="J827">
        <f t="shared" ca="1" si="818"/>
        <v>93.750308274905336</v>
      </c>
      <c r="K827">
        <f t="shared" ref="K827:P827" ca="1" si="874">J827*EXP(($C$4-0.5*$C$5^2)*$C$10+$C$5*SQRT($C$10)*NORMINV(RAND(),0,1))</f>
        <v>93.570543344286648</v>
      </c>
      <c r="L827">
        <f t="shared" ca="1" si="874"/>
        <v>91.94412895701052</v>
      </c>
      <c r="M827">
        <f t="shared" ca="1" si="874"/>
        <v>92.742827515972323</v>
      </c>
      <c r="N827">
        <f t="shared" ca="1" si="874"/>
        <v>101.47191699570322</v>
      </c>
      <c r="O827">
        <f t="shared" ca="1" si="874"/>
        <v>93.543092867471941</v>
      </c>
      <c r="P827">
        <f t="shared" ca="1" si="874"/>
        <v>97.379624795206936</v>
      </c>
      <c r="Q827">
        <f t="shared" ca="1" si="820"/>
        <v>95.524549936602256</v>
      </c>
      <c r="R827">
        <f t="shared" ca="1" si="821"/>
        <v>0</v>
      </c>
      <c r="S827">
        <f t="shared" ca="1" si="822"/>
        <v>0</v>
      </c>
    </row>
    <row r="828" spans="5:19" x14ac:dyDescent="0.75">
      <c r="E828">
        <v>823</v>
      </c>
      <c r="F828">
        <v>100</v>
      </c>
      <c r="G828">
        <f t="shared" ca="1" si="818"/>
        <v>98.182152512419989</v>
      </c>
      <c r="H828">
        <f t="shared" ca="1" si="818"/>
        <v>100.23381820518209</v>
      </c>
      <c r="I828">
        <f t="shared" ca="1" si="818"/>
        <v>104.74476339030821</v>
      </c>
      <c r="J828">
        <f t="shared" ca="1" si="818"/>
        <v>99.639592448285427</v>
      </c>
      <c r="K828">
        <f t="shared" ref="K828:P828" ca="1" si="875">J828*EXP(($C$4-0.5*$C$5^2)*$C$10+$C$5*SQRT($C$10)*NORMINV(RAND(),0,1))</f>
        <v>96.401829550237707</v>
      </c>
      <c r="L828">
        <f t="shared" ca="1" si="875"/>
        <v>97.363941393917287</v>
      </c>
      <c r="M828">
        <f t="shared" ca="1" si="875"/>
        <v>97.333211493724818</v>
      </c>
      <c r="N828">
        <f t="shared" ca="1" si="875"/>
        <v>99.724376142768946</v>
      </c>
      <c r="O828">
        <f t="shared" ca="1" si="875"/>
        <v>103.96210637202773</v>
      </c>
      <c r="P828">
        <f t="shared" ca="1" si="875"/>
        <v>100.3840896561134</v>
      </c>
      <c r="Q828">
        <f t="shared" ca="1" si="820"/>
        <v>99.815443742271412</v>
      </c>
      <c r="R828">
        <f t="shared" ca="1" si="821"/>
        <v>0</v>
      </c>
      <c r="S828">
        <f t="shared" ca="1" si="822"/>
        <v>0</v>
      </c>
    </row>
    <row r="829" spans="5:19" x14ac:dyDescent="0.75">
      <c r="E829">
        <v>824</v>
      </c>
      <c r="F829">
        <v>100</v>
      </c>
      <c r="G829">
        <f t="shared" ca="1" si="818"/>
        <v>93.129257300522539</v>
      </c>
      <c r="H829">
        <f t="shared" ca="1" si="818"/>
        <v>93.885519101611848</v>
      </c>
      <c r="I829">
        <f t="shared" ca="1" si="818"/>
        <v>90.661955613177341</v>
      </c>
      <c r="J829">
        <f t="shared" ca="1" si="818"/>
        <v>80.374824184755084</v>
      </c>
      <c r="K829">
        <f t="shared" ref="K829:P829" ca="1" si="876">J829*EXP(($C$4-0.5*$C$5^2)*$C$10+$C$5*SQRT($C$10)*NORMINV(RAND(),0,1))</f>
        <v>76.558457776371711</v>
      </c>
      <c r="L829">
        <f t="shared" ca="1" si="876"/>
        <v>81.51802659577065</v>
      </c>
      <c r="M829">
        <f t="shared" ca="1" si="876"/>
        <v>78.802988368082595</v>
      </c>
      <c r="N829">
        <f t="shared" ca="1" si="876"/>
        <v>73.753177935766317</v>
      </c>
      <c r="O829">
        <f t="shared" ca="1" si="876"/>
        <v>70.818775408095618</v>
      </c>
      <c r="P829">
        <f t="shared" ca="1" si="876"/>
        <v>78.346041306256936</v>
      </c>
      <c r="Q829">
        <f t="shared" ca="1" si="820"/>
        <v>83.440820326400953</v>
      </c>
      <c r="R829">
        <f t="shared" ca="1" si="821"/>
        <v>0</v>
      </c>
      <c r="S829">
        <f t="shared" ca="1" si="822"/>
        <v>0</v>
      </c>
    </row>
    <row r="830" spans="5:19" x14ac:dyDescent="0.75">
      <c r="E830">
        <v>825</v>
      </c>
      <c r="F830">
        <v>100</v>
      </c>
      <c r="G830">
        <f t="shared" ca="1" si="818"/>
        <v>106.5814134703317</v>
      </c>
      <c r="H830">
        <f t="shared" ca="1" si="818"/>
        <v>98.939254380361064</v>
      </c>
      <c r="I830">
        <f t="shared" ca="1" si="818"/>
        <v>107.97870394013673</v>
      </c>
      <c r="J830">
        <f t="shared" ca="1" si="818"/>
        <v>91.941366866533244</v>
      </c>
      <c r="K830">
        <f t="shared" ref="K830:P830" ca="1" si="877">J830*EXP(($C$4-0.5*$C$5^2)*$C$10+$C$5*SQRT($C$10)*NORMINV(RAND(),0,1))</f>
        <v>90.741131510078176</v>
      </c>
      <c r="L830">
        <f t="shared" ca="1" si="877"/>
        <v>98.758580946237089</v>
      </c>
      <c r="M830">
        <f t="shared" ca="1" si="877"/>
        <v>100.80156387683601</v>
      </c>
      <c r="N830">
        <f t="shared" ca="1" si="877"/>
        <v>100.03494414551547</v>
      </c>
      <c r="O830">
        <f t="shared" ca="1" si="877"/>
        <v>108.14911584450151</v>
      </c>
      <c r="P830">
        <f t="shared" ca="1" si="877"/>
        <v>105.7699827215028</v>
      </c>
      <c r="Q830">
        <f t="shared" ca="1" si="820"/>
        <v>100.88145979109399</v>
      </c>
      <c r="R830">
        <f t="shared" ca="1" si="821"/>
        <v>0.88145979109398809</v>
      </c>
      <c r="S830">
        <f t="shared" ca="1" si="822"/>
        <v>0.86400571780357671</v>
      </c>
    </row>
    <row r="831" spans="5:19" x14ac:dyDescent="0.75">
      <c r="E831">
        <v>826</v>
      </c>
      <c r="F831">
        <v>100</v>
      </c>
      <c r="G831">
        <f t="shared" ca="1" si="818"/>
        <v>96.327788554151113</v>
      </c>
      <c r="H831">
        <f t="shared" ca="1" si="818"/>
        <v>96.363929926687646</v>
      </c>
      <c r="I831">
        <f t="shared" ca="1" si="818"/>
        <v>97.292968993050536</v>
      </c>
      <c r="J831">
        <f t="shared" ca="1" si="818"/>
        <v>84.86880226010787</v>
      </c>
      <c r="K831">
        <f t="shared" ref="K831:P831" ca="1" si="878">J831*EXP(($C$4-0.5*$C$5^2)*$C$10+$C$5*SQRT($C$10)*NORMINV(RAND(),0,1))</f>
        <v>85.532296424014604</v>
      </c>
      <c r="L831">
        <f t="shared" ca="1" si="878"/>
        <v>83.172647237815525</v>
      </c>
      <c r="M831">
        <f t="shared" ca="1" si="878"/>
        <v>79.266336761868672</v>
      </c>
      <c r="N831">
        <f t="shared" ca="1" si="878"/>
        <v>86.202894566871095</v>
      </c>
      <c r="O831">
        <f t="shared" ca="1" si="878"/>
        <v>87.859866033803385</v>
      </c>
      <c r="P831">
        <f t="shared" ca="1" si="878"/>
        <v>90.077738537488813</v>
      </c>
      <c r="Q831">
        <f t="shared" ca="1" si="820"/>
        <v>89.724115390532674</v>
      </c>
      <c r="R831">
        <f t="shared" ca="1" si="821"/>
        <v>0</v>
      </c>
      <c r="S831">
        <f t="shared" ca="1" si="822"/>
        <v>0</v>
      </c>
    </row>
    <row r="832" spans="5:19" x14ac:dyDescent="0.75">
      <c r="E832">
        <v>827</v>
      </c>
      <c r="F832">
        <v>100</v>
      </c>
      <c r="G832">
        <f t="shared" ca="1" si="818"/>
        <v>95.053643403723143</v>
      </c>
      <c r="H832">
        <f t="shared" ca="1" si="818"/>
        <v>100.96396119864995</v>
      </c>
      <c r="I832">
        <f t="shared" ca="1" si="818"/>
        <v>110.32748833136228</v>
      </c>
      <c r="J832">
        <f t="shared" ca="1" si="818"/>
        <v>112.33638155670967</v>
      </c>
      <c r="K832">
        <f t="shared" ref="K832:P832" ca="1" si="879">J832*EXP(($C$4-0.5*$C$5^2)*$C$10+$C$5*SQRT($C$10)*NORMINV(RAND(),0,1))</f>
        <v>118.23555191624709</v>
      </c>
      <c r="L832">
        <f t="shared" ca="1" si="879"/>
        <v>112.34669306865761</v>
      </c>
      <c r="M832">
        <f t="shared" ca="1" si="879"/>
        <v>126.76408160975487</v>
      </c>
      <c r="N832">
        <f t="shared" ca="1" si="879"/>
        <v>117.0461127392354</v>
      </c>
      <c r="O832">
        <f t="shared" ca="1" si="879"/>
        <v>115.42374785754396</v>
      </c>
      <c r="P832">
        <f t="shared" ca="1" si="879"/>
        <v>123.39893643721787</v>
      </c>
      <c r="Q832">
        <f t="shared" ca="1" si="820"/>
        <v>111.99059982900926</v>
      </c>
      <c r="R832">
        <f t="shared" ca="1" si="821"/>
        <v>11.990599829009255</v>
      </c>
      <c r="S832">
        <f t="shared" ca="1" si="822"/>
        <v>11.753170044547078</v>
      </c>
    </row>
    <row r="833" spans="5:19" x14ac:dyDescent="0.75">
      <c r="E833">
        <v>828</v>
      </c>
      <c r="F833">
        <v>100</v>
      </c>
      <c r="G833">
        <f t="shared" ca="1" si="818"/>
        <v>109.26589299163261</v>
      </c>
      <c r="H833">
        <f t="shared" ca="1" si="818"/>
        <v>108.3494232468466</v>
      </c>
      <c r="I833">
        <f t="shared" ca="1" si="818"/>
        <v>115.31523201271757</v>
      </c>
      <c r="J833">
        <f t="shared" ca="1" si="818"/>
        <v>117.30322786324805</v>
      </c>
      <c r="K833">
        <f t="shared" ref="K833:P833" ca="1" si="880">J833*EXP(($C$4-0.5*$C$5^2)*$C$10+$C$5*SQRT($C$10)*NORMINV(RAND(),0,1))</f>
        <v>134.28142566760297</v>
      </c>
      <c r="L833">
        <f t="shared" ca="1" si="880"/>
        <v>127.84126146316765</v>
      </c>
      <c r="M833">
        <f t="shared" ca="1" si="880"/>
        <v>129.33927249592475</v>
      </c>
      <c r="N833">
        <f t="shared" ca="1" si="880"/>
        <v>113.43684655913552</v>
      </c>
      <c r="O833">
        <f t="shared" ca="1" si="880"/>
        <v>125.41472169436445</v>
      </c>
      <c r="P833">
        <f t="shared" ca="1" si="880"/>
        <v>117.04836621615271</v>
      </c>
      <c r="Q833">
        <f t="shared" ca="1" si="820"/>
        <v>117.96324274643574</v>
      </c>
      <c r="R833">
        <f t="shared" ca="1" si="821"/>
        <v>17.963242746435739</v>
      </c>
      <c r="S833">
        <f t="shared" ca="1" si="822"/>
        <v>17.607546708343506</v>
      </c>
    </row>
    <row r="834" spans="5:19" x14ac:dyDescent="0.75">
      <c r="E834">
        <v>829</v>
      </c>
      <c r="F834">
        <v>100</v>
      </c>
      <c r="G834">
        <f t="shared" ca="1" si="818"/>
        <v>103.71301394903496</v>
      </c>
      <c r="H834">
        <f t="shared" ca="1" si="818"/>
        <v>94.895704338646837</v>
      </c>
      <c r="I834">
        <f t="shared" ca="1" si="818"/>
        <v>96.046761991284839</v>
      </c>
      <c r="J834">
        <f t="shared" ca="1" si="818"/>
        <v>103.35879352156535</v>
      </c>
      <c r="K834">
        <f t="shared" ref="K834:P834" ca="1" si="881">J834*EXP(($C$4-0.5*$C$5^2)*$C$10+$C$5*SQRT($C$10)*NORMINV(RAND(),0,1))</f>
        <v>110.20061952631301</v>
      </c>
      <c r="L834">
        <f t="shared" ca="1" si="881"/>
        <v>111.39962404534114</v>
      </c>
      <c r="M834">
        <f t="shared" ca="1" si="881"/>
        <v>122.66945190101526</v>
      </c>
      <c r="N834">
        <f t="shared" ca="1" si="881"/>
        <v>123.30362959788981</v>
      </c>
      <c r="O834">
        <f t="shared" ca="1" si="881"/>
        <v>118.246061327497</v>
      </c>
      <c r="P834">
        <f t="shared" ca="1" si="881"/>
        <v>117.77747613782368</v>
      </c>
      <c r="Q834">
        <f t="shared" ca="1" si="820"/>
        <v>109.23737603058289</v>
      </c>
      <c r="R834">
        <f t="shared" ca="1" si="821"/>
        <v>9.2373760305828938</v>
      </c>
      <c r="S834">
        <f t="shared" ca="1" si="822"/>
        <v>9.0544637300129729</v>
      </c>
    </row>
    <row r="835" spans="5:19" x14ac:dyDescent="0.75">
      <c r="E835">
        <v>830</v>
      </c>
      <c r="F835">
        <v>100</v>
      </c>
      <c r="G835">
        <f t="shared" ca="1" si="818"/>
        <v>100.68465161406068</v>
      </c>
      <c r="H835">
        <f t="shared" ca="1" si="818"/>
        <v>105.55029638814865</v>
      </c>
      <c r="I835">
        <f t="shared" ca="1" si="818"/>
        <v>109.19404598675744</v>
      </c>
      <c r="J835">
        <f t="shared" ca="1" si="818"/>
        <v>107.25295649477842</v>
      </c>
      <c r="K835">
        <f t="shared" ref="K835:P835" ca="1" si="882">J835*EXP(($C$4-0.5*$C$5^2)*$C$10+$C$5*SQRT($C$10)*NORMINV(RAND(),0,1))</f>
        <v>105.83055212781684</v>
      </c>
      <c r="L835">
        <f t="shared" ca="1" si="882"/>
        <v>105.25145581254991</v>
      </c>
      <c r="M835">
        <f t="shared" ca="1" si="882"/>
        <v>105.18398266918722</v>
      </c>
      <c r="N835">
        <f t="shared" ca="1" si="882"/>
        <v>104.47976549440546</v>
      </c>
      <c r="O835">
        <f t="shared" ca="1" si="882"/>
        <v>108.36661432746554</v>
      </c>
      <c r="P835">
        <f t="shared" ca="1" si="882"/>
        <v>113.03677183047526</v>
      </c>
      <c r="Q835">
        <f t="shared" ca="1" si="820"/>
        <v>105.89373570414959</v>
      </c>
      <c r="R835">
        <f t="shared" ca="1" si="821"/>
        <v>5.8937357041495915</v>
      </c>
      <c r="S835">
        <f t="shared" ca="1" si="822"/>
        <v>5.7770319180280847</v>
      </c>
    </row>
    <row r="836" spans="5:19" x14ac:dyDescent="0.75">
      <c r="E836">
        <v>831</v>
      </c>
      <c r="F836">
        <v>100</v>
      </c>
      <c r="G836">
        <f t="shared" ca="1" si="818"/>
        <v>99.145682440418497</v>
      </c>
      <c r="H836">
        <f t="shared" ca="1" si="818"/>
        <v>101.47183943676524</v>
      </c>
      <c r="I836">
        <f t="shared" ca="1" si="818"/>
        <v>100.50456296480098</v>
      </c>
      <c r="J836">
        <f t="shared" ca="1" si="818"/>
        <v>95.988159350315598</v>
      </c>
      <c r="K836">
        <f t="shared" ref="K836:P836" ca="1" si="883">J836*EXP(($C$4-0.5*$C$5^2)*$C$10+$C$5*SQRT($C$10)*NORMINV(RAND(),0,1))</f>
        <v>91.197131285513066</v>
      </c>
      <c r="L836">
        <f t="shared" ca="1" si="883"/>
        <v>88.435030229011176</v>
      </c>
      <c r="M836">
        <f t="shared" ca="1" si="883"/>
        <v>88.651817751398809</v>
      </c>
      <c r="N836">
        <f t="shared" ca="1" si="883"/>
        <v>85.627703247665394</v>
      </c>
      <c r="O836">
        <f t="shared" ca="1" si="883"/>
        <v>82.00108503886851</v>
      </c>
      <c r="P836">
        <f t="shared" ca="1" si="883"/>
        <v>82.332247840242587</v>
      </c>
      <c r="Q836">
        <f t="shared" ca="1" si="820"/>
        <v>92.305023598636353</v>
      </c>
      <c r="R836">
        <f t="shared" ca="1" si="821"/>
        <v>0</v>
      </c>
      <c r="S836">
        <f t="shared" ca="1" si="822"/>
        <v>0</v>
      </c>
    </row>
    <row r="837" spans="5:19" x14ac:dyDescent="0.75">
      <c r="E837">
        <v>832</v>
      </c>
      <c r="F837">
        <v>100</v>
      </c>
      <c r="G837">
        <f t="shared" ca="1" si="818"/>
        <v>108.39118818421403</v>
      </c>
      <c r="H837">
        <f t="shared" ca="1" si="818"/>
        <v>109.1130706341126</v>
      </c>
      <c r="I837">
        <f t="shared" ca="1" si="818"/>
        <v>103.76020872598275</v>
      </c>
      <c r="J837">
        <f t="shared" ca="1" si="818"/>
        <v>107.68264297609636</v>
      </c>
      <c r="K837">
        <f t="shared" ref="K837:P837" ca="1" si="884">J837*EXP(($C$4-0.5*$C$5^2)*$C$10+$C$5*SQRT($C$10)*NORMINV(RAND(),0,1))</f>
        <v>108.15277355104219</v>
      </c>
      <c r="L837">
        <f t="shared" ca="1" si="884"/>
        <v>110.7763558490545</v>
      </c>
      <c r="M837">
        <f t="shared" ca="1" si="884"/>
        <v>112.82222564288995</v>
      </c>
      <c r="N837">
        <f t="shared" ca="1" si="884"/>
        <v>108.85273010731984</v>
      </c>
      <c r="O837">
        <f t="shared" ca="1" si="884"/>
        <v>108.51936162280933</v>
      </c>
      <c r="P837">
        <f t="shared" ca="1" si="884"/>
        <v>105.62010608294845</v>
      </c>
      <c r="Q837">
        <f t="shared" ca="1" si="820"/>
        <v>107.60824212513366</v>
      </c>
      <c r="R837">
        <f t="shared" ca="1" si="821"/>
        <v>7.6082421251336569</v>
      </c>
      <c r="S837">
        <f t="shared" ca="1" si="822"/>
        <v>7.4575888372525787</v>
      </c>
    </row>
    <row r="838" spans="5:19" x14ac:dyDescent="0.75">
      <c r="E838">
        <v>833</v>
      </c>
      <c r="F838">
        <v>100</v>
      </c>
      <c r="G838">
        <f t="shared" ca="1" si="818"/>
        <v>103.77221964480763</v>
      </c>
      <c r="H838">
        <f t="shared" ca="1" si="818"/>
        <v>103.54044770793271</v>
      </c>
      <c r="I838">
        <f t="shared" ca="1" si="818"/>
        <v>95.457235968197438</v>
      </c>
      <c r="J838">
        <f t="shared" ref="J838:P838" ca="1" si="885">I838*EXP(($C$4-0.5*$C$5^2)*$C$10+$C$5*SQRT($C$10)*NORMINV(RAND(),0,1))</f>
        <v>88.755496211781235</v>
      </c>
      <c r="K838">
        <f t="shared" ca="1" si="885"/>
        <v>92.758161867059727</v>
      </c>
      <c r="L838">
        <f t="shared" ca="1" si="885"/>
        <v>87.554078348707606</v>
      </c>
      <c r="M838">
        <f t="shared" ca="1" si="885"/>
        <v>93.183556110255452</v>
      </c>
      <c r="N838">
        <f t="shared" ca="1" si="885"/>
        <v>86.753468730123757</v>
      </c>
      <c r="O838">
        <f t="shared" ca="1" si="885"/>
        <v>82.071596264930946</v>
      </c>
      <c r="P838">
        <f t="shared" ca="1" si="885"/>
        <v>84.635547872653319</v>
      </c>
      <c r="Q838">
        <f t="shared" ca="1" si="820"/>
        <v>92.589255338768183</v>
      </c>
      <c r="R838">
        <f t="shared" ca="1" si="821"/>
        <v>0</v>
      </c>
      <c r="S838">
        <f t="shared" ca="1" si="822"/>
        <v>0</v>
      </c>
    </row>
    <row r="839" spans="5:19" x14ac:dyDescent="0.75">
      <c r="E839">
        <v>834</v>
      </c>
      <c r="F839">
        <v>100</v>
      </c>
      <c r="G839">
        <f t="shared" ref="G839:J902" ca="1" si="886">F839*EXP(($C$4-0.5*$C$5^2)*$C$10+$C$5*SQRT($C$10)*NORMINV(RAND(),0,1))</f>
        <v>95.791320286951915</v>
      </c>
      <c r="H839">
        <f t="shared" ca="1" si="886"/>
        <v>106.83196532648554</v>
      </c>
      <c r="I839">
        <f t="shared" ca="1" si="886"/>
        <v>109.56346275134807</v>
      </c>
      <c r="J839">
        <f t="shared" ca="1" si="886"/>
        <v>110.40881752605441</v>
      </c>
      <c r="K839">
        <f t="shared" ref="K839:P839" ca="1" si="887">J839*EXP(($C$4-0.5*$C$5^2)*$C$10+$C$5*SQRT($C$10)*NORMINV(RAND(),0,1))</f>
        <v>121.52429076909289</v>
      </c>
      <c r="L839">
        <f t="shared" ca="1" si="887"/>
        <v>117.0843914500071</v>
      </c>
      <c r="M839">
        <f t="shared" ca="1" si="887"/>
        <v>109.78122182046216</v>
      </c>
      <c r="N839">
        <f t="shared" ca="1" si="887"/>
        <v>114.68811442628089</v>
      </c>
      <c r="O839">
        <f t="shared" ca="1" si="887"/>
        <v>101.43802894412264</v>
      </c>
      <c r="P839">
        <f t="shared" ca="1" si="887"/>
        <v>92.110323505935227</v>
      </c>
      <c r="Q839">
        <f t="shared" ref="Q839:Q902" ca="1" si="888">AVERAGE(F839:P839)</f>
        <v>107.20199425515825</v>
      </c>
      <c r="R839">
        <f t="shared" ref="R839:R902" ca="1" si="889">MAX(Q839-$C$7,0)</f>
        <v>7.2019942551582545</v>
      </c>
      <c r="S839">
        <f t="shared" ref="S839:S902" ca="1" si="890">EXP(-$C$4*$C$6)*R839</f>
        <v>7.0593852140689943</v>
      </c>
    </row>
    <row r="840" spans="5:19" x14ac:dyDescent="0.75">
      <c r="E840">
        <v>835</v>
      </c>
      <c r="F840">
        <v>100</v>
      </c>
      <c r="G840">
        <f t="shared" ca="1" si="886"/>
        <v>94.505765350239983</v>
      </c>
      <c r="H840">
        <f t="shared" ca="1" si="886"/>
        <v>96.103295944671089</v>
      </c>
      <c r="I840">
        <f t="shared" ca="1" si="886"/>
        <v>97.594759609152689</v>
      </c>
      <c r="J840">
        <f t="shared" ca="1" si="886"/>
        <v>95.097360327944131</v>
      </c>
      <c r="K840">
        <f t="shared" ref="K840:P840" ca="1" si="891">J840*EXP(($C$4-0.5*$C$5^2)*$C$10+$C$5*SQRT($C$10)*NORMINV(RAND(),0,1))</f>
        <v>103.51362431793676</v>
      </c>
      <c r="L840">
        <f t="shared" ca="1" si="891"/>
        <v>105.78449960945053</v>
      </c>
      <c r="M840">
        <f t="shared" ca="1" si="891"/>
        <v>99.830408264075359</v>
      </c>
      <c r="N840">
        <f t="shared" ca="1" si="891"/>
        <v>94.468933182639717</v>
      </c>
      <c r="O840">
        <f t="shared" ca="1" si="891"/>
        <v>97.313850974555535</v>
      </c>
      <c r="P840">
        <f t="shared" ca="1" si="891"/>
        <v>97.329388781477647</v>
      </c>
      <c r="Q840">
        <f t="shared" ca="1" si="888"/>
        <v>98.32198966928577</v>
      </c>
      <c r="R840">
        <f t="shared" ca="1" si="889"/>
        <v>0</v>
      </c>
      <c r="S840">
        <f t="shared" ca="1" si="890"/>
        <v>0</v>
      </c>
    </row>
    <row r="841" spans="5:19" x14ac:dyDescent="0.75">
      <c r="E841">
        <v>836</v>
      </c>
      <c r="F841">
        <v>100</v>
      </c>
      <c r="G841">
        <f t="shared" ca="1" si="886"/>
        <v>111.57425899465751</v>
      </c>
      <c r="H841">
        <f t="shared" ca="1" si="886"/>
        <v>113.065481989917</v>
      </c>
      <c r="I841">
        <f t="shared" ca="1" si="886"/>
        <v>113.28835958816119</v>
      </c>
      <c r="J841">
        <f t="shared" ca="1" si="886"/>
        <v>114.63505183952167</v>
      </c>
      <c r="K841">
        <f t="shared" ref="K841:P841" ca="1" si="892">J841*EXP(($C$4-0.5*$C$5^2)*$C$10+$C$5*SQRT($C$10)*NORMINV(RAND(),0,1))</f>
        <v>125.29496589879523</v>
      </c>
      <c r="L841">
        <f t="shared" ca="1" si="892"/>
        <v>132.04131776819065</v>
      </c>
      <c r="M841">
        <f t="shared" ca="1" si="892"/>
        <v>133.29726359688703</v>
      </c>
      <c r="N841">
        <f t="shared" ca="1" si="892"/>
        <v>141.09745458467921</v>
      </c>
      <c r="O841">
        <f t="shared" ca="1" si="892"/>
        <v>128.0851040868726</v>
      </c>
      <c r="P841">
        <f t="shared" ca="1" si="892"/>
        <v>127.68089798388111</v>
      </c>
      <c r="Q841">
        <f t="shared" ca="1" si="888"/>
        <v>121.82365057559667</v>
      </c>
      <c r="R841">
        <f t="shared" ca="1" si="889"/>
        <v>21.823650575596673</v>
      </c>
      <c r="S841">
        <f t="shared" ca="1" si="890"/>
        <v>21.391513340910066</v>
      </c>
    </row>
    <row r="842" spans="5:19" x14ac:dyDescent="0.75">
      <c r="E842">
        <v>837</v>
      </c>
      <c r="F842">
        <v>100</v>
      </c>
      <c r="G842">
        <f t="shared" ca="1" si="886"/>
        <v>89.793503553323902</v>
      </c>
      <c r="H842">
        <f t="shared" ca="1" si="886"/>
        <v>89.503620609361761</v>
      </c>
      <c r="I842">
        <f t="shared" ca="1" si="886"/>
        <v>87.35722706881684</v>
      </c>
      <c r="J842">
        <f t="shared" ca="1" si="886"/>
        <v>89.180091418675644</v>
      </c>
      <c r="K842">
        <f t="shared" ref="K842:P842" ca="1" si="893">J842*EXP(($C$4-0.5*$C$5^2)*$C$10+$C$5*SQRT($C$10)*NORMINV(RAND(),0,1))</f>
        <v>92.505681718553689</v>
      </c>
      <c r="L842">
        <f t="shared" ca="1" si="893"/>
        <v>85.283532366774523</v>
      </c>
      <c r="M842">
        <f t="shared" ca="1" si="893"/>
        <v>90.557213628403517</v>
      </c>
      <c r="N842">
        <f t="shared" ca="1" si="893"/>
        <v>80.045590816900216</v>
      </c>
      <c r="O842">
        <f t="shared" ca="1" si="893"/>
        <v>83.080521747310584</v>
      </c>
      <c r="P842">
        <f t="shared" ca="1" si="893"/>
        <v>84.51674362514899</v>
      </c>
      <c r="Q842">
        <f t="shared" ca="1" si="888"/>
        <v>88.347611504842689</v>
      </c>
      <c r="R842">
        <f t="shared" ca="1" si="889"/>
        <v>0</v>
      </c>
      <c r="S842">
        <f t="shared" ca="1" si="890"/>
        <v>0</v>
      </c>
    </row>
    <row r="843" spans="5:19" x14ac:dyDescent="0.75">
      <c r="E843">
        <v>838</v>
      </c>
      <c r="F843">
        <v>100</v>
      </c>
      <c r="G843">
        <f t="shared" ca="1" si="886"/>
        <v>93.510796261582115</v>
      </c>
      <c r="H843">
        <f t="shared" ca="1" si="886"/>
        <v>89.040800476215438</v>
      </c>
      <c r="I843">
        <f t="shared" ca="1" si="886"/>
        <v>88.901570456472712</v>
      </c>
      <c r="J843">
        <f t="shared" ca="1" si="886"/>
        <v>89.528111019571213</v>
      </c>
      <c r="K843">
        <f t="shared" ref="K843:P843" ca="1" si="894">J843*EXP(($C$4-0.5*$C$5^2)*$C$10+$C$5*SQRT($C$10)*NORMINV(RAND(),0,1))</f>
        <v>101.2563033419148</v>
      </c>
      <c r="L843">
        <f t="shared" ca="1" si="894"/>
        <v>105.63497639838046</v>
      </c>
      <c r="M843">
        <f t="shared" ca="1" si="894"/>
        <v>99.088614878008755</v>
      </c>
      <c r="N843">
        <f t="shared" ca="1" si="894"/>
        <v>99.161899154151072</v>
      </c>
      <c r="O843">
        <f t="shared" ca="1" si="894"/>
        <v>103.51518396940835</v>
      </c>
      <c r="P843">
        <f t="shared" ca="1" si="894"/>
        <v>97.677927287108886</v>
      </c>
      <c r="Q843">
        <f t="shared" ca="1" si="888"/>
        <v>97.028743931164897</v>
      </c>
      <c r="R843">
        <f t="shared" ca="1" si="889"/>
        <v>0</v>
      </c>
      <c r="S843">
        <f t="shared" ca="1" si="890"/>
        <v>0</v>
      </c>
    </row>
    <row r="844" spans="5:19" x14ac:dyDescent="0.75">
      <c r="E844">
        <v>839</v>
      </c>
      <c r="F844">
        <v>100</v>
      </c>
      <c r="G844">
        <f t="shared" ca="1" si="886"/>
        <v>99.39248706576798</v>
      </c>
      <c r="H844">
        <f t="shared" ca="1" si="886"/>
        <v>105.732523248272</v>
      </c>
      <c r="I844">
        <f t="shared" ca="1" si="886"/>
        <v>114.60627305745514</v>
      </c>
      <c r="J844">
        <f t="shared" ca="1" si="886"/>
        <v>107.68193514291599</v>
      </c>
      <c r="K844">
        <f t="shared" ref="K844:P844" ca="1" si="895">J844*EXP(($C$4-0.5*$C$5^2)*$C$10+$C$5*SQRT($C$10)*NORMINV(RAND(),0,1))</f>
        <v>109.41661362576217</v>
      </c>
      <c r="L844">
        <f t="shared" ca="1" si="895"/>
        <v>109.73442934230845</v>
      </c>
      <c r="M844">
        <f t="shared" ca="1" si="895"/>
        <v>118.92995102831654</v>
      </c>
      <c r="N844">
        <f t="shared" ca="1" si="895"/>
        <v>104.12000140577686</v>
      </c>
      <c r="O844">
        <f t="shared" ca="1" si="895"/>
        <v>107.56576776055407</v>
      </c>
      <c r="P844">
        <f t="shared" ca="1" si="895"/>
        <v>112.06131199746925</v>
      </c>
      <c r="Q844">
        <f t="shared" ca="1" si="888"/>
        <v>108.11284487950893</v>
      </c>
      <c r="R844">
        <f t="shared" ca="1" si="889"/>
        <v>8.112844879508927</v>
      </c>
      <c r="S844">
        <f t="shared" ca="1" si="890"/>
        <v>7.9521997876381532</v>
      </c>
    </row>
    <row r="845" spans="5:19" x14ac:dyDescent="0.75">
      <c r="E845">
        <v>840</v>
      </c>
      <c r="F845">
        <v>100</v>
      </c>
      <c r="G845">
        <f t="shared" ca="1" si="886"/>
        <v>113.41557667127363</v>
      </c>
      <c r="H845">
        <f t="shared" ca="1" si="886"/>
        <v>119.89491088388483</v>
      </c>
      <c r="I845">
        <f t="shared" ca="1" si="886"/>
        <v>111.2200043343509</v>
      </c>
      <c r="J845">
        <f t="shared" ca="1" si="886"/>
        <v>114.41956202954576</v>
      </c>
      <c r="K845">
        <f t="shared" ref="K845:P845" ca="1" si="896">J845*EXP(($C$4-0.5*$C$5^2)*$C$10+$C$5*SQRT($C$10)*NORMINV(RAND(),0,1))</f>
        <v>112.87345788209142</v>
      </c>
      <c r="L845">
        <f t="shared" ca="1" si="896"/>
        <v>129.27830633865801</v>
      </c>
      <c r="M845">
        <f t="shared" ca="1" si="896"/>
        <v>123.81612689903365</v>
      </c>
      <c r="N845">
        <f t="shared" ca="1" si="896"/>
        <v>126.8399108041061</v>
      </c>
      <c r="O845">
        <f t="shared" ca="1" si="896"/>
        <v>127.59983753991987</v>
      </c>
      <c r="P845">
        <f t="shared" ca="1" si="896"/>
        <v>119.03231878421002</v>
      </c>
      <c r="Q845">
        <f t="shared" ca="1" si="888"/>
        <v>118.0354556515522</v>
      </c>
      <c r="R845">
        <f t="shared" ca="1" si="889"/>
        <v>18.035455651552198</v>
      </c>
      <c r="S845">
        <f t="shared" ca="1" si="890"/>
        <v>17.678329702134285</v>
      </c>
    </row>
    <row r="846" spans="5:19" x14ac:dyDescent="0.75">
      <c r="E846">
        <v>841</v>
      </c>
      <c r="F846">
        <v>100</v>
      </c>
      <c r="G846">
        <f t="shared" ca="1" si="886"/>
        <v>103.76438700873753</v>
      </c>
      <c r="H846">
        <f t="shared" ca="1" si="886"/>
        <v>106.87126941535486</v>
      </c>
      <c r="I846">
        <f t="shared" ca="1" si="886"/>
        <v>117.24859865744945</v>
      </c>
      <c r="J846">
        <f t="shared" ca="1" si="886"/>
        <v>117.02419531120829</v>
      </c>
      <c r="K846">
        <f t="shared" ref="K846:P846" ca="1" si="897">J846*EXP(($C$4-0.5*$C$5^2)*$C$10+$C$5*SQRT($C$10)*NORMINV(RAND(),0,1))</f>
        <v>119.0515657355682</v>
      </c>
      <c r="L846">
        <f t="shared" ca="1" si="897"/>
        <v>125.00084826282198</v>
      </c>
      <c r="M846">
        <f t="shared" ca="1" si="897"/>
        <v>110.89656959175589</v>
      </c>
      <c r="N846">
        <f t="shared" ca="1" si="897"/>
        <v>109.45654050882921</v>
      </c>
      <c r="O846">
        <f t="shared" ca="1" si="897"/>
        <v>104.82869903377554</v>
      </c>
      <c r="P846">
        <f t="shared" ca="1" si="897"/>
        <v>98.857050455241648</v>
      </c>
      <c r="Q846">
        <f t="shared" ca="1" si="888"/>
        <v>110.27270218006751</v>
      </c>
      <c r="R846">
        <f t="shared" ca="1" si="889"/>
        <v>10.272702180067512</v>
      </c>
      <c r="S846">
        <f t="shared" ca="1" si="890"/>
        <v>10.069289048177588</v>
      </c>
    </row>
    <row r="847" spans="5:19" x14ac:dyDescent="0.75">
      <c r="E847">
        <v>842</v>
      </c>
      <c r="F847">
        <v>100</v>
      </c>
      <c r="G847">
        <f t="shared" ca="1" si="886"/>
        <v>100.8034486223028</v>
      </c>
      <c r="H847">
        <f t="shared" ca="1" si="886"/>
        <v>98.664607003087085</v>
      </c>
      <c r="I847">
        <f t="shared" ca="1" si="886"/>
        <v>98.514634262336983</v>
      </c>
      <c r="J847">
        <f t="shared" ca="1" si="886"/>
        <v>101.97986298955466</v>
      </c>
      <c r="K847">
        <f t="shared" ref="K847:P847" ca="1" si="898">J847*EXP(($C$4-0.5*$C$5^2)*$C$10+$C$5*SQRT($C$10)*NORMINV(RAND(),0,1))</f>
        <v>98.807531988462912</v>
      </c>
      <c r="L847">
        <f t="shared" ca="1" si="898"/>
        <v>107.55559961667085</v>
      </c>
      <c r="M847">
        <f t="shared" ca="1" si="898"/>
        <v>120.35659726161715</v>
      </c>
      <c r="N847">
        <f t="shared" ca="1" si="898"/>
        <v>116.75104106573376</v>
      </c>
      <c r="O847">
        <f t="shared" ca="1" si="898"/>
        <v>137.96119947348535</v>
      </c>
      <c r="P847">
        <f t="shared" ca="1" si="898"/>
        <v>144.08943804094056</v>
      </c>
      <c r="Q847">
        <f t="shared" ca="1" si="888"/>
        <v>111.40763275674475</v>
      </c>
      <c r="R847">
        <f t="shared" ca="1" si="889"/>
        <v>11.407632756744746</v>
      </c>
      <c r="S847">
        <f t="shared" ca="1" si="890"/>
        <v>11.181746493731884</v>
      </c>
    </row>
    <row r="848" spans="5:19" x14ac:dyDescent="0.75">
      <c r="E848">
        <v>843</v>
      </c>
      <c r="F848">
        <v>100</v>
      </c>
      <c r="G848">
        <f t="shared" ca="1" si="886"/>
        <v>101.46526929611287</v>
      </c>
      <c r="H848">
        <f t="shared" ca="1" si="886"/>
        <v>103.21985036189704</v>
      </c>
      <c r="I848">
        <f t="shared" ca="1" si="886"/>
        <v>102.65725770454242</v>
      </c>
      <c r="J848">
        <f t="shared" ca="1" si="886"/>
        <v>103.60665264523865</v>
      </c>
      <c r="K848">
        <f t="shared" ref="K848:P848" ca="1" si="899">J848*EXP(($C$4-0.5*$C$5^2)*$C$10+$C$5*SQRT($C$10)*NORMINV(RAND(),0,1))</f>
        <v>99.39450832769559</v>
      </c>
      <c r="L848">
        <f t="shared" ca="1" si="899"/>
        <v>101.22857379229681</v>
      </c>
      <c r="M848">
        <f t="shared" ca="1" si="899"/>
        <v>97.763081775933756</v>
      </c>
      <c r="N848">
        <f t="shared" ca="1" si="899"/>
        <v>95.487944547763149</v>
      </c>
      <c r="O848">
        <f t="shared" ca="1" si="899"/>
        <v>94.067239471087831</v>
      </c>
      <c r="P848">
        <f t="shared" ca="1" si="899"/>
        <v>95.4128435258297</v>
      </c>
      <c r="Q848">
        <f t="shared" ca="1" si="888"/>
        <v>99.482111040763442</v>
      </c>
      <c r="R848">
        <f t="shared" ca="1" si="889"/>
        <v>0</v>
      </c>
      <c r="S848">
        <f t="shared" ca="1" si="890"/>
        <v>0</v>
      </c>
    </row>
    <row r="849" spans="5:19" x14ac:dyDescent="0.75">
      <c r="E849">
        <v>844</v>
      </c>
      <c r="F849">
        <v>100</v>
      </c>
      <c r="G849">
        <f t="shared" ca="1" si="886"/>
        <v>98.661025965642551</v>
      </c>
      <c r="H849">
        <f t="shared" ca="1" si="886"/>
        <v>100.91354220602369</v>
      </c>
      <c r="I849">
        <f t="shared" ca="1" si="886"/>
        <v>80.777897941166046</v>
      </c>
      <c r="J849">
        <f t="shared" ca="1" si="886"/>
        <v>75.732960304088664</v>
      </c>
      <c r="K849">
        <f t="shared" ref="K849:P849" ca="1" si="900">J849*EXP(($C$4-0.5*$C$5^2)*$C$10+$C$5*SQRT($C$10)*NORMINV(RAND(),0,1))</f>
        <v>78.243102571735946</v>
      </c>
      <c r="L849">
        <f t="shared" ca="1" si="900"/>
        <v>77.88387285760065</v>
      </c>
      <c r="M849">
        <f t="shared" ca="1" si="900"/>
        <v>71.878161734243221</v>
      </c>
      <c r="N849">
        <f t="shared" ca="1" si="900"/>
        <v>72.920140798677181</v>
      </c>
      <c r="O849">
        <f t="shared" ca="1" si="900"/>
        <v>69.71823949790523</v>
      </c>
      <c r="P849">
        <f t="shared" ca="1" si="900"/>
        <v>69.333555693874942</v>
      </c>
      <c r="Q849">
        <f t="shared" ca="1" si="888"/>
        <v>81.460227233723444</v>
      </c>
      <c r="R849">
        <f t="shared" ca="1" si="889"/>
        <v>0</v>
      </c>
      <c r="S849">
        <f t="shared" ca="1" si="890"/>
        <v>0</v>
      </c>
    </row>
    <row r="850" spans="5:19" x14ac:dyDescent="0.75">
      <c r="E850">
        <v>845</v>
      </c>
      <c r="F850">
        <v>100</v>
      </c>
      <c r="G850">
        <f t="shared" ca="1" si="886"/>
        <v>102.04487387791552</v>
      </c>
      <c r="H850">
        <f t="shared" ca="1" si="886"/>
        <v>97.862194733261418</v>
      </c>
      <c r="I850">
        <f t="shared" ca="1" si="886"/>
        <v>100.98152209169723</v>
      </c>
      <c r="J850">
        <f t="shared" ca="1" si="886"/>
        <v>92.629059087188708</v>
      </c>
      <c r="K850">
        <f t="shared" ref="K850:P850" ca="1" si="901">J850*EXP(($C$4-0.5*$C$5^2)*$C$10+$C$5*SQRT($C$10)*NORMINV(RAND(),0,1))</f>
        <v>92.864363654730184</v>
      </c>
      <c r="L850">
        <f t="shared" ca="1" si="901"/>
        <v>86.525257229878775</v>
      </c>
      <c r="M850">
        <f t="shared" ca="1" si="901"/>
        <v>78.942547128573466</v>
      </c>
      <c r="N850">
        <f t="shared" ca="1" si="901"/>
        <v>83.477705735813828</v>
      </c>
      <c r="O850">
        <f t="shared" ca="1" si="901"/>
        <v>68.005206939512604</v>
      </c>
      <c r="P850">
        <f t="shared" ca="1" si="901"/>
        <v>64.12977177292926</v>
      </c>
      <c r="Q850">
        <f t="shared" ca="1" si="888"/>
        <v>87.951136568318262</v>
      </c>
      <c r="R850">
        <f t="shared" ca="1" si="889"/>
        <v>0</v>
      </c>
      <c r="S850">
        <f t="shared" ca="1" si="890"/>
        <v>0</v>
      </c>
    </row>
    <row r="851" spans="5:19" x14ac:dyDescent="0.75">
      <c r="E851">
        <v>846</v>
      </c>
      <c r="F851">
        <v>100</v>
      </c>
      <c r="G851">
        <f t="shared" ca="1" si="886"/>
        <v>79.624945884910119</v>
      </c>
      <c r="H851">
        <f t="shared" ca="1" si="886"/>
        <v>75.227918890130411</v>
      </c>
      <c r="I851">
        <f t="shared" ca="1" si="886"/>
        <v>68.099491870182447</v>
      </c>
      <c r="J851">
        <f t="shared" ca="1" si="886"/>
        <v>68.597050909750436</v>
      </c>
      <c r="K851">
        <f t="shared" ref="K851:P851" ca="1" si="902">J851*EXP(($C$4-0.5*$C$5^2)*$C$10+$C$5*SQRT($C$10)*NORMINV(RAND(),0,1))</f>
        <v>68.084665309991863</v>
      </c>
      <c r="L851">
        <f t="shared" ca="1" si="902"/>
        <v>71.449800738476739</v>
      </c>
      <c r="M851">
        <f t="shared" ca="1" si="902"/>
        <v>68.889547435496993</v>
      </c>
      <c r="N851">
        <f t="shared" ca="1" si="902"/>
        <v>70.457768538736346</v>
      </c>
      <c r="O851">
        <f t="shared" ca="1" si="902"/>
        <v>63.319792665483362</v>
      </c>
      <c r="P851">
        <f t="shared" ca="1" si="902"/>
        <v>58.455490925701405</v>
      </c>
      <c r="Q851">
        <f t="shared" ca="1" si="888"/>
        <v>72.018770288078187</v>
      </c>
      <c r="R851">
        <f t="shared" ca="1" si="889"/>
        <v>0</v>
      </c>
      <c r="S851">
        <f t="shared" ca="1" si="890"/>
        <v>0</v>
      </c>
    </row>
    <row r="852" spans="5:19" x14ac:dyDescent="0.75">
      <c r="E852">
        <v>847</v>
      </c>
      <c r="F852">
        <v>100</v>
      </c>
      <c r="G852">
        <f t="shared" ca="1" si="886"/>
        <v>94.617497670352506</v>
      </c>
      <c r="H852">
        <f t="shared" ca="1" si="886"/>
        <v>88.747954468137351</v>
      </c>
      <c r="I852">
        <f t="shared" ca="1" si="886"/>
        <v>87.123130460169705</v>
      </c>
      <c r="J852">
        <f t="shared" ca="1" si="886"/>
        <v>92.061883052710115</v>
      </c>
      <c r="K852">
        <f t="shared" ref="K852:P852" ca="1" si="903">J852*EXP(($C$4-0.5*$C$5^2)*$C$10+$C$5*SQRT($C$10)*NORMINV(RAND(),0,1))</f>
        <v>89.321193670930782</v>
      </c>
      <c r="L852">
        <f t="shared" ca="1" si="903"/>
        <v>92.190480139063084</v>
      </c>
      <c r="M852">
        <f t="shared" ca="1" si="903"/>
        <v>91.462281255675805</v>
      </c>
      <c r="N852">
        <f t="shared" ca="1" si="903"/>
        <v>100.19960090180537</v>
      </c>
      <c r="O852">
        <f t="shared" ca="1" si="903"/>
        <v>103.55635764262311</v>
      </c>
      <c r="P852">
        <f t="shared" ca="1" si="903"/>
        <v>101.49439818316003</v>
      </c>
      <c r="Q852">
        <f t="shared" ca="1" si="888"/>
        <v>94.615888858602545</v>
      </c>
      <c r="R852">
        <f t="shared" ca="1" si="889"/>
        <v>0</v>
      </c>
      <c r="S852">
        <f t="shared" ca="1" si="890"/>
        <v>0</v>
      </c>
    </row>
    <row r="853" spans="5:19" x14ac:dyDescent="0.75">
      <c r="E853">
        <v>848</v>
      </c>
      <c r="F853">
        <v>100</v>
      </c>
      <c r="G853">
        <f t="shared" ca="1" si="886"/>
        <v>102.09968014229078</v>
      </c>
      <c r="H853">
        <f t="shared" ca="1" si="886"/>
        <v>104.90727436463077</v>
      </c>
      <c r="I853">
        <f t="shared" ca="1" si="886"/>
        <v>110.56487153643448</v>
      </c>
      <c r="J853">
        <f t="shared" ca="1" si="886"/>
        <v>120.9597871204484</v>
      </c>
      <c r="K853">
        <f t="shared" ref="K853:P853" ca="1" si="904">J853*EXP(($C$4-0.5*$C$5^2)*$C$10+$C$5*SQRT($C$10)*NORMINV(RAND(),0,1))</f>
        <v>127.97839070947317</v>
      </c>
      <c r="L853">
        <f t="shared" ca="1" si="904"/>
        <v>125.55982402069718</v>
      </c>
      <c r="M853">
        <f t="shared" ca="1" si="904"/>
        <v>121.61233948116269</v>
      </c>
      <c r="N853">
        <f t="shared" ca="1" si="904"/>
        <v>131.16801636499434</v>
      </c>
      <c r="O853">
        <f t="shared" ca="1" si="904"/>
        <v>117.47118931426729</v>
      </c>
      <c r="P853">
        <f t="shared" ca="1" si="904"/>
        <v>110.29596763972191</v>
      </c>
      <c r="Q853">
        <f t="shared" ca="1" si="888"/>
        <v>115.69248551764737</v>
      </c>
      <c r="R853">
        <f t="shared" ca="1" si="889"/>
        <v>15.69248551764737</v>
      </c>
      <c r="S853">
        <f t="shared" ca="1" si="890"/>
        <v>15.381753485283422</v>
      </c>
    </row>
    <row r="854" spans="5:19" x14ac:dyDescent="0.75">
      <c r="E854">
        <v>849</v>
      </c>
      <c r="F854">
        <v>100</v>
      </c>
      <c r="G854">
        <f t="shared" ca="1" si="886"/>
        <v>103.786421580997</v>
      </c>
      <c r="H854">
        <f t="shared" ca="1" si="886"/>
        <v>110.08993554043073</v>
      </c>
      <c r="I854">
        <f t="shared" ca="1" si="886"/>
        <v>104.92192474284261</v>
      </c>
      <c r="J854">
        <f t="shared" ca="1" si="886"/>
        <v>104.57546697933157</v>
      </c>
      <c r="K854">
        <f t="shared" ref="K854:P854" ca="1" si="905">J854*EXP(($C$4-0.5*$C$5^2)*$C$10+$C$5*SQRT($C$10)*NORMINV(RAND(),0,1))</f>
        <v>110.14874407312175</v>
      </c>
      <c r="L854">
        <f t="shared" ca="1" si="905"/>
        <v>107.55805520978654</v>
      </c>
      <c r="M854">
        <f t="shared" ca="1" si="905"/>
        <v>107.45922079121313</v>
      </c>
      <c r="N854">
        <f t="shared" ca="1" si="905"/>
        <v>110.76724841825511</v>
      </c>
      <c r="O854">
        <f t="shared" ca="1" si="905"/>
        <v>112.17541359484792</v>
      </c>
      <c r="P854">
        <f t="shared" ca="1" si="905"/>
        <v>115.46245848294792</v>
      </c>
      <c r="Q854">
        <f t="shared" ca="1" si="888"/>
        <v>107.90408085579769</v>
      </c>
      <c r="R854">
        <f t="shared" ca="1" si="889"/>
        <v>7.9040808557976874</v>
      </c>
      <c r="S854">
        <f t="shared" ca="1" si="890"/>
        <v>7.7475695685622155</v>
      </c>
    </row>
    <row r="855" spans="5:19" x14ac:dyDescent="0.75">
      <c r="E855">
        <v>850</v>
      </c>
      <c r="F855">
        <v>100</v>
      </c>
      <c r="G855">
        <f t="shared" ca="1" si="886"/>
        <v>86.652402297948711</v>
      </c>
      <c r="H855">
        <f t="shared" ca="1" si="886"/>
        <v>87.888600907521138</v>
      </c>
      <c r="I855">
        <f t="shared" ca="1" si="886"/>
        <v>83.48408567459748</v>
      </c>
      <c r="J855">
        <f t="shared" ca="1" si="886"/>
        <v>77.689154381899215</v>
      </c>
      <c r="K855">
        <f t="shared" ref="K855:P855" ca="1" si="906">J855*EXP(($C$4-0.5*$C$5^2)*$C$10+$C$5*SQRT($C$10)*NORMINV(RAND(),0,1))</f>
        <v>78.290379957274638</v>
      </c>
      <c r="L855">
        <f t="shared" ca="1" si="906"/>
        <v>80.143396341706307</v>
      </c>
      <c r="M855">
        <f t="shared" ca="1" si="906"/>
        <v>71.972854781823827</v>
      </c>
      <c r="N855">
        <f t="shared" ca="1" si="906"/>
        <v>71.711666848949591</v>
      </c>
      <c r="O855">
        <f t="shared" ca="1" si="906"/>
        <v>75.806407747891498</v>
      </c>
      <c r="P855">
        <f t="shared" ca="1" si="906"/>
        <v>70.365739870885108</v>
      </c>
      <c r="Q855">
        <f t="shared" ca="1" si="888"/>
        <v>80.364062619136135</v>
      </c>
      <c r="R855">
        <f t="shared" ca="1" si="889"/>
        <v>0</v>
      </c>
      <c r="S855">
        <f t="shared" ca="1" si="890"/>
        <v>0</v>
      </c>
    </row>
    <row r="856" spans="5:19" x14ac:dyDescent="0.75">
      <c r="E856">
        <v>851</v>
      </c>
      <c r="F856">
        <v>100</v>
      </c>
      <c r="G856">
        <f t="shared" ca="1" si="886"/>
        <v>100.43395603711997</v>
      </c>
      <c r="H856">
        <f t="shared" ca="1" si="886"/>
        <v>106.07520952333188</v>
      </c>
      <c r="I856">
        <f t="shared" ca="1" si="886"/>
        <v>100.34446924634477</v>
      </c>
      <c r="J856">
        <f t="shared" ca="1" si="886"/>
        <v>108.58235963891001</v>
      </c>
      <c r="K856">
        <f t="shared" ref="K856:P856" ca="1" si="907">J856*EXP(($C$4-0.5*$C$5^2)*$C$10+$C$5*SQRT($C$10)*NORMINV(RAND(),0,1))</f>
        <v>105.92046858693224</v>
      </c>
      <c r="L856">
        <f t="shared" ca="1" si="907"/>
        <v>100.3412382786321</v>
      </c>
      <c r="M856">
        <f t="shared" ca="1" si="907"/>
        <v>94.337812148528059</v>
      </c>
      <c r="N856">
        <f t="shared" ca="1" si="907"/>
        <v>100.07765265385993</v>
      </c>
      <c r="O856">
        <f t="shared" ca="1" si="907"/>
        <v>102.0650446350235</v>
      </c>
      <c r="P856">
        <f t="shared" ca="1" si="907"/>
        <v>97.335454317960952</v>
      </c>
      <c r="Q856">
        <f t="shared" ca="1" si="888"/>
        <v>101.41033318787665</v>
      </c>
      <c r="R856">
        <f t="shared" ca="1" si="889"/>
        <v>1.4103331878766454</v>
      </c>
      <c r="S856">
        <f t="shared" ca="1" si="890"/>
        <v>1.3824067196771745</v>
      </c>
    </row>
    <row r="857" spans="5:19" x14ac:dyDescent="0.75">
      <c r="E857">
        <v>852</v>
      </c>
      <c r="F857">
        <v>100</v>
      </c>
      <c r="G857">
        <f t="shared" ca="1" si="886"/>
        <v>109.44234459859905</v>
      </c>
      <c r="H857">
        <f t="shared" ca="1" si="886"/>
        <v>111.65040446729436</v>
      </c>
      <c r="I857">
        <f t="shared" ca="1" si="886"/>
        <v>107.85061042359737</v>
      </c>
      <c r="J857">
        <f t="shared" ca="1" si="886"/>
        <v>103.48222698475865</v>
      </c>
      <c r="K857">
        <f t="shared" ref="K857:P857" ca="1" si="908">J857*EXP(($C$4-0.5*$C$5^2)*$C$10+$C$5*SQRT($C$10)*NORMINV(RAND(),0,1))</f>
        <v>91.102980390865596</v>
      </c>
      <c r="L857">
        <f t="shared" ca="1" si="908"/>
        <v>86.189363905323049</v>
      </c>
      <c r="M857">
        <f t="shared" ca="1" si="908"/>
        <v>95.876652422781177</v>
      </c>
      <c r="N857">
        <f t="shared" ca="1" si="908"/>
        <v>106.03424146130666</v>
      </c>
      <c r="O857">
        <f t="shared" ca="1" si="908"/>
        <v>105.66123015329153</v>
      </c>
      <c r="P857">
        <f t="shared" ca="1" si="908"/>
        <v>99.246833400897614</v>
      </c>
      <c r="Q857">
        <f t="shared" ca="1" si="888"/>
        <v>101.50335347351955</v>
      </c>
      <c r="R857">
        <f t="shared" ca="1" si="889"/>
        <v>1.5033534735195531</v>
      </c>
      <c r="S857">
        <f t="shared" ca="1" si="890"/>
        <v>1.4735850802549681</v>
      </c>
    </row>
    <row r="858" spans="5:19" x14ac:dyDescent="0.75">
      <c r="E858">
        <v>853</v>
      </c>
      <c r="F858">
        <v>100</v>
      </c>
      <c r="G858">
        <f t="shared" ca="1" si="886"/>
        <v>101.51419025487003</v>
      </c>
      <c r="H858">
        <f t="shared" ca="1" si="886"/>
        <v>100.41877761846669</v>
      </c>
      <c r="I858">
        <f t="shared" ca="1" si="886"/>
        <v>102.35501298124812</v>
      </c>
      <c r="J858">
        <f t="shared" ca="1" si="886"/>
        <v>104.44617300260778</v>
      </c>
      <c r="K858">
        <f t="shared" ref="K858:P858" ca="1" si="909">J858*EXP(($C$4-0.5*$C$5^2)*$C$10+$C$5*SQRT($C$10)*NORMINV(RAND(),0,1))</f>
        <v>100.00624626876539</v>
      </c>
      <c r="L858">
        <f t="shared" ca="1" si="909"/>
        <v>105.6980873913393</v>
      </c>
      <c r="M858">
        <f t="shared" ca="1" si="909"/>
        <v>117.10412710776754</v>
      </c>
      <c r="N858">
        <f t="shared" ca="1" si="909"/>
        <v>102.78118372331771</v>
      </c>
      <c r="O858">
        <f t="shared" ca="1" si="909"/>
        <v>103.59050615476039</v>
      </c>
      <c r="P858">
        <f t="shared" ca="1" si="909"/>
        <v>104.27313069339259</v>
      </c>
      <c r="Q858">
        <f t="shared" ca="1" si="888"/>
        <v>103.83522138150323</v>
      </c>
      <c r="R858">
        <f t="shared" ca="1" si="889"/>
        <v>3.8352213815032314</v>
      </c>
      <c r="S858">
        <f t="shared" ca="1" si="890"/>
        <v>3.7592789099871684</v>
      </c>
    </row>
    <row r="859" spans="5:19" x14ac:dyDescent="0.75">
      <c r="E859">
        <v>854</v>
      </c>
      <c r="F859">
        <v>100</v>
      </c>
      <c r="G859">
        <f t="shared" ca="1" si="886"/>
        <v>99.666134864620375</v>
      </c>
      <c r="H859">
        <f t="shared" ca="1" si="886"/>
        <v>98.179332299603587</v>
      </c>
      <c r="I859">
        <f t="shared" ca="1" si="886"/>
        <v>94.713264724260739</v>
      </c>
      <c r="J859">
        <f t="shared" ca="1" si="886"/>
        <v>90.786594638410349</v>
      </c>
      <c r="K859">
        <f t="shared" ref="K859:P859" ca="1" si="910">J859*EXP(($C$4-0.5*$C$5^2)*$C$10+$C$5*SQRT($C$10)*NORMINV(RAND(),0,1))</f>
        <v>85.390993352379724</v>
      </c>
      <c r="L859">
        <f t="shared" ca="1" si="910"/>
        <v>77.781272053456973</v>
      </c>
      <c r="M859">
        <f t="shared" ca="1" si="910"/>
        <v>68.609212328834943</v>
      </c>
      <c r="N859">
        <f t="shared" ca="1" si="910"/>
        <v>66.082578951705955</v>
      </c>
      <c r="O859">
        <f t="shared" ca="1" si="910"/>
        <v>63.196962197258316</v>
      </c>
      <c r="P859">
        <f t="shared" ca="1" si="910"/>
        <v>63.236274525885662</v>
      </c>
      <c r="Q859">
        <f t="shared" ca="1" si="888"/>
        <v>82.512965448765144</v>
      </c>
      <c r="R859">
        <f t="shared" ca="1" si="889"/>
        <v>0</v>
      </c>
      <c r="S859">
        <f t="shared" ca="1" si="890"/>
        <v>0</v>
      </c>
    </row>
    <row r="860" spans="5:19" x14ac:dyDescent="0.75">
      <c r="E860">
        <v>855</v>
      </c>
      <c r="F860">
        <v>100</v>
      </c>
      <c r="G860">
        <f t="shared" ca="1" si="886"/>
        <v>95.441867387723917</v>
      </c>
      <c r="H860">
        <f t="shared" ca="1" si="886"/>
        <v>100.35567397350393</v>
      </c>
      <c r="I860">
        <f t="shared" ca="1" si="886"/>
        <v>92.604966375150241</v>
      </c>
      <c r="J860">
        <f t="shared" ca="1" si="886"/>
        <v>104.01497443482697</v>
      </c>
      <c r="K860">
        <f t="shared" ref="K860:P860" ca="1" si="911">J860*EXP(($C$4-0.5*$C$5^2)*$C$10+$C$5*SQRT($C$10)*NORMINV(RAND(),0,1))</f>
        <v>106.37897474723906</v>
      </c>
      <c r="L860">
        <f t="shared" ca="1" si="911"/>
        <v>112.02224446143713</v>
      </c>
      <c r="M860">
        <f t="shared" ca="1" si="911"/>
        <v>121.69792019147732</v>
      </c>
      <c r="N860">
        <f t="shared" ca="1" si="911"/>
        <v>126.35647313837806</v>
      </c>
      <c r="O860">
        <f t="shared" ca="1" si="911"/>
        <v>133.30946975052751</v>
      </c>
      <c r="P860">
        <f t="shared" ca="1" si="911"/>
        <v>147.78910900567928</v>
      </c>
      <c r="Q860">
        <f t="shared" ca="1" si="888"/>
        <v>112.72469758781307</v>
      </c>
      <c r="R860">
        <f t="shared" ca="1" si="889"/>
        <v>12.724697587813068</v>
      </c>
      <c r="S860">
        <f t="shared" ca="1" si="890"/>
        <v>12.472731693804038</v>
      </c>
    </row>
    <row r="861" spans="5:19" x14ac:dyDescent="0.75">
      <c r="E861">
        <v>856</v>
      </c>
      <c r="F861">
        <v>100</v>
      </c>
      <c r="G861">
        <f t="shared" ca="1" si="886"/>
        <v>108.75637391194699</v>
      </c>
      <c r="H861">
        <f t="shared" ca="1" si="886"/>
        <v>103.85138937626101</v>
      </c>
      <c r="I861">
        <f t="shared" ca="1" si="886"/>
        <v>103.77972381579185</v>
      </c>
      <c r="J861">
        <f t="shared" ca="1" si="886"/>
        <v>100.15508821908378</v>
      </c>
      <c r="K861">
        <f t="shared" ref="K861:P861" ca="1" si="912">J861*EXP(($C$4-0.5*$C$5^2)*$C$10+$C$5*SQRT($C$10)*NORMINV(RAND(),0,1))</f>
        <v>93.293387606712784</v>
      </c>
      <c r="L861">
        <f t="shared" ca="1" si="912"/>
        <v>96.741741531650277</v>
      </c>
      <c r="M861">
        <f t="shared" ca="1" si="912"/>
        <v>107.79233919142243</v>
      </c>
      <c r="N861">
        <f t="shared" ca="1" si="912"/>
        <v>109.55120136040101</v>
      </c>
      <c r="O861">
        <f t="shared" ca="1" si="912"/>
        <v>105.4338559097274</v>
      </c>
      <c r="P861">
        <f t="shared" ca="1" si="912"/>
        <v>104.83860643457398</v>
      </c>
      <c r="Q861">
        <f t="shared" ca="1" si="888"/>
        <v>103.10851885068831</v>
      </c>
      <c r="R861">
        <f t="shared" ca="1" si="889"/>
        <v>3.1085188506883128</v>
      </c>
      <c r="S861">
        <f t="shared" ca="1" si="890"/>
        <v>3.0469660533937239</v>
      </c>
    </row>
    <row r="862" spans="5:19" x14ac:dyDescent="0.75">
      <c r="E862">
        <v>857</v>
      </c>
      <c r="F862">
        <v>100</v>
      </c>
      <c r="G862">
        <f t="shared" ca="1" si="886"/>
        <v>100.66741831374351</v>
      </c>
      <c r="H862">
        <f t="shared" ca="1" si="886"/>
        <v>96.190113599324818</v>
      </c>
      <c r="I862">
        <f t="shared" ca="1" si="886"/>
        <v>95.196710716590204</v>
      </c>
      <c r="J862">
        <f t="shared" ca="1" si="886"/>
        <v>105.42409533773264</v>
      </c>
      <c r="K862">
        <f t="shared" ref="K862:P862" ca="1" si="913">J862*EXP(($C$4-0.5*$C$5^2)*$C$10+$C$5*SQRT($C$10)*NORMINV(RAND(),0,1))</f>
        <v>96.547833421046647</v>
      </c>
      <c r="L862">
        <f t="shared" ca="1" si="913"/>
        <v>97.633890711431889</v>
      </c>
      <c r="M862">
        <f t="shared" ca="1" si="913"/>
        <v>93.264679899438363</v>
      </c>
      <c r="N862">
        <f t="shared" ca="1" si="913"/>
        <v>94.968344800496439</v>
      </c>
      <c r="O862">
        <f t="shared" ca="1" si="913"/>
        <v>93.941972612525461</v>
      </c>
      <c r="P862">
        <f t="shared" ca="1" si="913"/>
        <v>95.582073995587621</v>
      </c>
      <c r="Q862">
        <f t="shared" ca="1" si="888"/>
        <v>97.21973940071976</v>
      </c>
      <c r="R862">
        <f t="shared" ca="1" si="889"/>
        <v>0</v>
      </c>
      <c r="S862">
        <f t="shared" ca="1" si="890"/>
        <v>0</v>
      </c>
    </row>
    <row r="863" spans="5:19" x14ac:dyDescent="0.75">
      <c r="E863">
        <v>858</v>
      </c>
      <c r="F863">
        <v>100</v>
      </c>
      <c r="G863">
        <f t="shared" ca="1" si="886"/>
        <v>96.328620321239853</v>
      </c>
      <c r="H863">
        <f t="shared" ca="1" si="886"/>
        <v>89.189188921361634</v>
      </c>
      <c r="I863">
        <f t="shared" ca="1" si="886"/>
        <v>82.215022475437792</v>
      </c>
      <c r="J863">
        <f t="shared" ca="1" si="886"/>
        <v>82.624466517427877</v>
      </c>
      <c r="K863">
        <f t="shared" ref="K863:P863" ca="1" si="914">J863*EXP(($C$4-0.5*$C$5^2)*$C$10+$C$5*SQRT($C$10)*NORMINV(RAND(),0,1))</f>
        <v>83.432301375500884</v>
      </c>
      <c r="L863">
        <f t="shared" ca="1" si="914"/>
        <v>76.138941095011475</v>
      </c>
      <c r="M863">
        <f t="shared" ca="1" si="914"/>
        <v>82.86108629746856</v>
      </c>
      <c r="N863">
        <f t="shared" ca="1" si="914"/>
        <v>75.272264402142852</v>
      </c>
      <c r="O863">
        <f t="shared" ca="1" si="914"/>
        <v>70.027724163482787</v>
      </c>
      <c r="P863">
        <f t="shared" ca="1" si="914"/>
        <v>63.790760438285155</v>
      </c>
      <c r="Q863">
        <f t="shared" ca="1" si="888"/>
        <v>81.989125091578074</v>
      </c>
      <c r="R863">
        <f t="shared" ca="1" si="889"/>
        <v>0</v>
      </c>
      <c r="S863">
        <f t="shared" ca="1" si="890"/>
        <v>0</v>
      </c>
    </row>
    <row r="864" spans="5:19" x14ac:dyDescent="0.75">
      <c r="E864">
        <v>859</v>
      </c>
      <c r="F864">
        <v>100</v>
      </c>
      <c r="G864">
        <f t="shared" ca="1" si="886"/>
        <v>91.778988051327985</v>
      </c>
      <c r="H864">
        <f t="shared" ca="1" si="886"/>
        <v>87.061239045048197</v>
      </c>
      <c r="I864">
        <f t="shared" ca="1" si="886"/>
        <v>93.835640602936593</v>
      </c>
      <c r="J864">
        <f t="shared" ca="1" si="886"/>
        <v>95.086916119448929</v>
      </c>
      <c r="K864">
        <f t="shared" ref="K864:P864" ca="1" si="915">J864*EXP(($C$4-0.5*$C$5^2)*$C$10+$C$5*SQRT($C$10)*NORMINV(RAND(),0,1))</f>
        <v>87.477953286119913</v>
      </c>
      <c r="L864">
        <f t="shared" ca="1" si="915"/>
        <v>85.162710521275756</v>
      </c>
      <c r="M864">
        <f t="shared" ca="1" si="915"/>
        <v>90.253818342169751</v>
      </c>
      <c r="N864">
        <f t="shared" ca="1" si="915"/>
        <v>81.496865288317991</v>
      </c>
      <c r="O864">
        <f t="shared" ca="1" si="915"/>
        <v>81.066359015101384</v>
      </c>
      <c r="P864">
        <f t="shared" ca="1" si="915"/>
        <v>85.008671914307328</v>
      </c>
      <c r="Q864">
        <f t="shared" ca="1" si="888"/>
        <v>88.929923835095806</v>
      </c>
      <c r="R864">
        <f t="shared" ca="1" si="889"/>
        <v>0</v>
      </c>
      <c r="S864">
        <f t="shared" ca="1" si="890"/>
        <v>0</v>
      </c>
    </row>
    <row r="865" spans="5:19" x14ac:dyDescent="0.75">
      <c r="E865">
        <v>860</v>
      </c>
      <c r="F865">
        <v>100</v>
      </c>
      <c r="G865">
        <f t="shared" ca="1" si="886"/>
        <v>98.258658574225592</v>
      </c>
      <c r="H865">
        <f t="shared" ca="1" si="886"/>
        <v>84.567265978537378</v>
      </c>
      <c r="I865">
        <f t="shared" ca="1" si="886"/>
        <v>76.766906987688913</v>
      </c>
      <c r="J865">
        <f t="shared" ca="1" si="886"/>
        <v>69.537386559165654</v>
      </c>
      <c r="K865">
        <f t="shared" ref="K865:P865" ca="1" si="916">J865*EXP(($C$4-0.5*$C$5^2)*$C$10+$C$5*SQRT($C$10)*NORMINV(RAND(),0,1))</f>
        <v>68.636405278154996</v>
      </c>
      <c r="L865">
        <f t="shared" ca="1" si="916"/>
        <v>64.097801882229291</v>
      </c>
      <c r="M865">
        <f t="shared" ca="1" si="916"/>
        <v>71.391804100628448</v>
      </c>
      <c r="N865">
        <f t="shared" ca="1" si="916"/>
        <v>67.597262847603972</v>
      </c>
      <c r="O865">
        <f t="shared" ca="1" si="916"/>
        <v>72.223482778817058</v>
      </c>
      <c r="P865">
        <f t="shared" ca="1" si="916"/>
        <v>80.743246144712231</v>
      </c>
      <c r="Q865">
        <f t="shared" ca="1" si="888"/>
        <v>77.62002010288758</v>
      </c>
      <c r="R865">
        <f t="shared" ca="1" si="889"/>
        <v>0</v>
      </c>
      <c r="S865">
        <f t="shared" ca="1" si="890"/>
        <v>0</v>
      </c>
    </row>
    <row r="866" spans="5:19" x14ac:dyDescent="0.75">
      <c r="E866">
        <v>861</v>
      </c>
      <c r="F866">
        <v>100</v>
      </c>
      <c r="G866">
        <f t="shared" ca="1" si="886"/>
        <v>105.50924139268601</v>
      </c>
      <c r="H866">
        <f t="shared" ca="1" si="886"/>
        <v>98.269299477007891</v>
      </c>
      <c r="I866">
        <f t="shared" ca="1" si="886"/>
        <v>91.837984588168325</v>
      </c>
      <c r="J866">
        <f t="shared" ca="1" si="886"/>
        <v>95.343173884197697</v>
      </c>
      <c r="K866">
        <f t="shared" ref="K866:P866" ca="1" si="917">J866*EXP(($C$4-0.5*$C$5^2)*$C$10+$C$5*SQRT($C$10)*NORMINV(RAND(),0,1))</f>
        <v>88.97969836622066</v>
      </c>
      <c r="L866">
        <f t="shared" ca="1" si="917"/>
        <v>90.031242510850518</v>
      </c>
      <c r="M866">
        <f t="shared" ca="1" si="917"/>
        <v>96.262444138804938</v>
      </c>
      <c r="N866">
        <f t="shared" ca="1" si="917"/>
        <v>97.471063377118767</v>
      </c>
      <c r="O866">
        <f t="shared" ca="1" si="917"/>
        <v>105.92272826216586</v>
      </c>
      <c r="P866">
        <f t="shared" ca="1" si="917"/>
        <v>99.870910911359545</v>
      </c>
      <c r="Q866">
        <f t="shared" ca="1" si="888"/>
        <v>97.227071537143672</v>
      </c>
      <c r="R866">
        <f t="shared" ca="1" si="889"/>
        <v>0</v>
      </c>
      <c r="S866">
        <f t="shared" ca="1" si="890"/>
        <v>0</v>
      </c>
    </row>
    <row r="867" spans="5:19" x14ac:dyDescent="0.75">
      <c r="E867">
        <v>862</v>
      </c>
      <c r="F867">
        <v>100</v>
      </c>
      <c r="G867">
        <f t="shared" ca="1" si="886"/>
        <v>102.99242924185035</v>
      </c>
      <c r="H867">
        <f t="shared" ca="1" si="886"/>
        <v>107.74407702485875</v>
      </c>
      <c r="I867">
        <f t="shared" ca="1" si="886"/>
        <v>106.69046095907764</v>
      </c>
      <c r="J867">
        <f t="shared" ca="1" si="886"/>
        <v>107.20251505781677</v>
      </c>
      <c r="K867">
        <f t="shared" ref="K867:P867" ca="1" si="918">J867*EXP(($C$4-0.5*$C$5^2)*$C$10+$C$5*SQRT($C$10)*NORMINV(RAND(),0,1))</f>
        <v>105.0905467931855</v>
      </c>
      <c r="L867">
        <f t="shared" ca="1" si="918"/>
        <v>101.55942353372771</v>
      </c>
      <c r="M867">
        <f t="shared" ca="1" si="918"/>
        <v>105.81545779050496</v>
      </c>
      <c r="N867">
        <f t="shared" ca="1" si="918"/>
        <v>112.63142100703323</v>
      </c>
      <c r="O867">
        <f t="shared" ca="1" si="918"/>
        <v>111.99881996401476</v>
      </c>
      <c r="P867">
        <f t="shared" ca="1" si="918"/>
        <v>116.29450709330789</v>
      </c>
      <c r="Q867">
        <f t="shared" ca="1" si="888"/>
        <v>107.09269622412522</v>
      </c>
      <c r="R867">
        <f t="shared" ca="1" si="889"/>
        <v>7.0926962241252198</v>
      </c>
      <c r="S867">
        <f t="shared" ca="1" si="890"/>
        <v>6.952251429055373</v>
      </c>
    </row>
    <row r="868" spans="5:19" x14ac:dyDescent="0.75">
      <c r="E868">
        <v>863</v>
      </c>
      <c r="F868">
        <v>100</v>
      </c>
      <c r="G868">
        <f t="shared" ca="1" si="886"/>
        <v>98.93577320482386</v>
      </c>
      <c r="H868">
        <f t="shared" ca="1" si="886"/>
        <v>103.3377427849872</v>
      </c>
      <c r="I868">
        <f t="shared" ca="1" si="886"/>
        <v>93.808649792622489</v>
      </c>
      <c r="J868">
        <f t="shared" ca="1" si="886"/>
        <v>91.626551529832241</v>
      </c>
      <c r="K868">
        <f t="shared" ref="K868:P868" ca="1" si="919">J868*EXP(($C$4-0.5*$C$5^2)*$C$10+$C$5*SQRT($C$10)*NORMINV(RAND(),0,1))</f>
        <v>88.237432057233079</v>
      </c>
      <c r="L868">
        <f t="shared" ca="1" si="919"/>
        <v>85.117029082372227</v>
      </c>
      <c r="M868">
        <f t="shared" ca="1" si="919"/>
        <v>92.17528495789189</v>
      </c>
      <c r="N868">
        <f t="shared" ca="1" si="919"/>
        <v>97.146171409147584</v>
      </c>
      <c r="O868">
        <f t="shared" ca="1" si="919"/>
        <v>99.070265243657758</v>
      </c>
      <c r="P868">
        <f t="shared" ca="1" si="919"/>
        <v>98.677940182779864</v>
      </c>
      <c r="Q868">
        <f t="shared" ca="1" si="888"/>
        <v>95.284803658668025</v>
      </c>
      <c r="R868">
        <f t="shared" ca="1" si="889"/>
        <v>0</v>
      </c>
      <c r="S868">
        <f t="shared" ca="1" si="890"/>
        <v>0</v>
      </c>
    </row>
    <row r="869" spans="5:19" x14ac:dyDescent="0.75">
      <c r="E869">
        <v>864</v>
      </c>
      <c r="F869">
        <v>100</v>
      </c>
      <c r="G869">
        <f t="shared" ca="1" si="886"/>
        <v>101.80809807579809</v>
      </c>
      <c r="H869">
        <f t="shared" ca="1" si="886"/>
        <v>103.40494119763113</v>
      </c>
      <c r="I869">
        <f t="shared" ca="1" si="886"/>
        <v>114.07425168944081</v>
      </c>
      <c r="J869">
        <f t="shared" ca="1" si="886"/>
        <v>119.68354545904936</v>
      </c>
      <c r="K869">
        <f t="shared" ref="K869:P869" ca="1" si="920">J869*EXP(($C$4-0.5*$C$5^2)*$C$10+$C$5*SQRT($C$10)*NORMINV(RAND(),0,1))</f>
        <v>114.80637534892115</v>
      </c>
      <c r="L869">
        <f t="shared" ca="1" si="920"/>
        <v>120.22606408955652</v>
      </c>
      <c r="M869">
        <f t="shared" ca="1" si="920"/>
        <v>123.05435487237918</v>
      </c>
      <c r="N869">
        <f t="shared" ca="1" si="920"/>
        <v>132.87581250479371</v>
      </c>
      <c r="O869">
        <f t="shared" ca="1" si="920"/>
        <v>133.07317178865202</v>
      </c>
      <c r="P869">
        <f t="shared" ca="1" si="920"/>
        <v>139.01887251027833</v>
      </c>
      <c r="Q869">
        <f t="shared" ca="1" si="888"/>
        <v>118.3659534124091</v>
      </c>
      <c r="R869">
        <f t="shared" ca="1" si="889"/>
        <v>18.365953412409098</v>
      </c>
      <c r="S869">
        <f t="shared" ca="1" si="890"/>
        <v>18.002283168857073</v>
      </c>
    </row>
    <row r="870" spans="5:19" x14ac:dyDescent="0.75">
      <c r="E870">
        <v>865</v>
      </c>
      <c r="F870">
        <v>100</v>
      </c>
      <c r="G870">
        <f t="shared" ca="1" si="886"/>
        <v>101.4351835992821</v>
      </c>
      <c r="H870">
        <f t="shared" ca="1" si="886"/>
        <v>113.00813786016276</v>
      </c>
      <c r="I870">
        <f t="shared" ca="1" si="886"/>
        <v>115.17414715338896</v>
      </c>
      <c r="J870">
        <f t="shared" ca="1" si="886"/>
        <v>124.10357120534098</v>
      </c>
      <c r="K870">
        <f t="shared" ref="K870:P870" ca="1" si="921">J870*EXP(($C$4-0.5*$C$5^2)*$C$10+$C$5*SQRT($C$10)*NORMINV(RAND(),0,1))</f>
        <v>133.27695083859157</v>
      </c>
      <c r="L870">
        <f t="shared" ca="1" si="921"/>
        <v>140.77434180088147</v>
      </c>
      <c r="M870">
        <f t="shared" ca="1" si="921"/>
        <v>139.79499499767786</v>
      </c>
      <c r="N870">
        <f t="shared" ca="1" si="921"/>
        <v>148.2617141135234</v>
      </c>
      <c r="O870">
        <f t="shared" ca="1" si="921"/>
        <v>156.57527923399437</v>
      </c>
      <c r="P870">
        <f t="shared" ca="1" si="921"/>
        <v>155.22678934622917</v>
      </c>
      <c r="Q870">
        <f t="shared" ca="1" si="888"/>
        <v>129.78464637718841</v>
      </c>
      <c r="R870">
        <f t="shared" ca="1" si="889"/>
        <v>29.784646377188409</v>
      </c>
      <c r="S870">
        <f t="shared" ca="1" si="890"/>
        <v>29.194870863830932</v>
      </c>
    </row>
    <row r="871" spans="5:19" x14ac:dyDescent="0.75">
      <c r="E871">
        <v>866</v>
      </c>
      <c r="F871">
        <v>100</v>
      </c>
      <c r="G871">
        <f t="shared" ca="1" si="886"/>
        <v>94.069160841397732</v>
      </c>
      <c r="H871">
        <f t="shared" ca="1" si="886"/>
        <v>106.41668338087658</v>
      </c>
      <c r="I871">
        <f t="shared" ca="1" si="886"/>
        <v>98.580511015407311</v>
      </c>
      <c r="J871">
        <f t="shared" ca="1" si="886"/>
        <v>99.531056452594825</v>
      </c>
      <c r="K871">
        <f t="shared" ref="K871:P871" ca="1" si="922">J871*EXP(($C$4-0.5*$C$5^2)*$C$10+$C$5*SQRT($C$10)*NORMINV(RAND(),0,1))</f>
        <v>99.371861473843666</v>
      </c>
      <c r="L871">
        <f t="shared" ca="1" si="922"/>
        <v>92.65922246344779</v>
      </c>
      <c r="M871">
        <f t="shared" ca="1" si="922"/>
        <v>93.167123294386897</v>
      </c>
      <c r="N871">
        <f t="shared" ca="1" si="922"/>
        <v>102.40983555160115</v>
      </c>
      <c r="O871">
        <f t="shared" ca="1" si="922"/>
        <v>103.8945977065095</v>
      </c>
      <c r="P871">
        <f t="shared" ca="1" si="922"/>
        <v>99.38707994932625</v>
      </c>
      <c r="Q871">
        <f t="shared" ca="1" si="888"/>
        <v>99.044284739035618</v>
      </c>
      <c r="R871">
        <f t="shared" ca="1" si="889"/>
        <v>0</v>
      </c>
      <c r="S871">
        <f t="shared" ca="1" si="890"/>
        <v>0</v>
      </c>
    </row>
    <row r="872" spans="5:19" x14ac:dyDescent="0.75">
      <c r="E872">
        <v>867</v>
      </c>
      <c r="F872">
        <v>100</v>
      </c>
      <c r="G872">
        <f t="shared" ca="1" si="886"/>
        <v>96.753760534592132</v>
      </c>
      <c r="H872">
        <f t="shared" ca="1" si="886"/>
        <v>86.886072090261607</v>
      </c>
      <c r="I872">
        <f t="shared" ca="1" si="886"/>
        <v>98.213087132013825</v>
      </c>
      <c r="J872">
        <f t="shared" ca="1" si="886"/>
        <v>92.77528537679477</v>
      </c>
      <c r="K872">
        <f t="shared" ref="K872:P872" ca="1" si="923">J872*EXP(($C$4-0.5*$C$5^2)*$C$10+$C$5*SQRT($C$10)*NORMINV(RAND(),0,1))</f>
        <v>101.12832010769537</v>
      </c>
      <c r="L872">
        <f t="shared" ca="1" si="923"/>
        <v>95.412187044270951</v>
      </c>
      <c r="M872">
        <f t="shared" ca="1" si="923"/>
        <v>96.307565152053158</v>
      </c>
      <c r="N872">
        <f t="shared" ca="1" si="923"/>
        <v>86.14297821750614</v>
      </c>
      <c r="O872">
        <f t="shared" ca="1" si="923"/>
        <v>89.48709213495539</v>
      </c>
      <c r="P872">
        <f t="shared" ca="1" si="923"/>
        <v>86.113506449668506</v>
      </c>
      <c r="Q872">
        <f t="shared" ca="1" si="888"/>
        <v>93.565441294528355</v>
      </c>
      <c r="R872">
        <f t="shared" ca="1" si="889"/>
        <v>0</v>
      </c>
      <c r="S872">
        <f t="shared" ca="1" si="890"/>
        <v>0</v>
      </c>
    </row>
    <row r="873" spans="5:19" x14ac:dyDescent="0.75">
      <c r="E873">
        <v>868</v>
      </c>
      <c r="F873">
        <v>100</v>
      </c>
      <c r="G873">
        <f t="shared" ca="1" si="886"/>
        <v>96.439233414623416</v>
      </c>
      <c r="H873">
        <f t="shared" ca="1" si="886"/>
        <v>96.406856253418027</v>
      </c>
      <c r="I873">
        <f t="shared" ca="1" si="886"/>
        <v>94.3489283885947</v>
      </c>
      <c r="J873">
        <f t="shared" ca="1" si="886"/>
        <v>95.816228289108082</v>
      </c>
      <c r="K873">
        <f t="shared" ref="K873:P873" ca="1" si="924">J873*EXP(($C$4-0.5*$C$5^2)*$C$10+$C$5*SQRT($C$10)*NORMINV(RAND(),0,1))</f>
        <v>90.213477542106332</v>
      </c>
      <c r="L873">
        <f t="shared" ca="1" si="924"/>
        <v>93.975190706768643</v>
      </c>
      <c r="M873">
        <f t="shared" ca="1" si="924"/>
        <v>116.9946191320676</v>
      </c>
      <c r="N873">
        <f t="shared" ca="1" si="924"/>
        <v>108.46138177766399</v>
      </c>
      <c r="O873">
        <f t="shared" ca="1" si="924"/>
        <v>93.387904948252782</v>
      </c>
      <c r="P873">
        <f t="shared" ca="1" si="924"/>
        <v>99.608074695129218</v>
      </c>
      <c r="Q873">
        <f t="shared" ca="1" si="888"/>
        <v>98.695626831612074</v>
      </c>
      <c r="R873">
        <f t="shared" ca="1" si="889"/>
        <v>0</v>
      </c>
      <c r="S873">
        <f t="shared" ca="1" si="890"/>
        <v>0</v>
      </c>
    </row>
    <row r="874" spans="5:19" x14ac:dyDescent="0.75">
      <c r="E874">
        <v>869</v>
      </c>
      <c r="F874">
        <v>100</v>
      </c>
      <c r="G874">
        <f t="shared" ca="1" si="886"/>
        <v>95.146597807351512</v>
      </c>
      <c r="H874">
        <f t="shared" ca="1" si="886"/>
        <v>97.011551001218265</v>
      </c>
      <c r="I874">
        <f t="shared" ca="1" si="886"/>
        <v>96.673934745971934</v>
      </c>
      <c r="J874">
        <f t="shared" ca="1" si="886"/>
        <v>87.671331214419155</v>
      </c>
      <c r="K874">
        <f t="shared" ref="K874:P874" ca="1" si="925">J874*EXP(($C$4-0.5*$C$5^2)*$C$10+$C$5*SQRT($C$10)*NORMINV(RAND(),0,1))</f>
        <v>81.065163664386873</v>
      </c>
      <c r="L874">
        <f t="shared" ca="1" si="925"/>
        <v>87.313723561663622</v>
      </c>
      <c r="M874">
        <f t="shared" ca="1" si="925"/>
        <v>87.187760247484391</v>
      </c>
      <c r="N874">
        <f t="shared" ca="1" si="925"/>
        <v>85.884233135364909</v>
      </c>
      <c r="O874">
        <f t="shared" ca="1" si="925"/>
        <v>93.675561472520329</v>
      </c>
      <c r="P874">
        <f t="shared" ca="1" si="925"/>
        <v>76.946478495640676</v>
      </c>
      <c r="Q874">
        <f t="shared" ca="1" si="888"/>
        <v>89.87057594054744</v>
      </c>
      <c r="R874">
        <f t="shared" ca="1" si="889"/>
        <v>0</v>
      </c>
      <c r="S874">
        <f t="shared" ca="1" si="890"/>
        <v>0</v>
      </c>
    </row>
    <row r="875" spans="5:19" x14ac:dyDescent="0.75">
      <c r="E875">
        <v>870</v>
      </c>
      <c r="F875">
        <v>100</v>
      </c>
      <c r="G875">
        <f t="shared" ca="1" si="886"/>
        <v>100.13434851144547</v>
      </c>
      <c r="H875">
        <f t="shared" ca="1" si="886"/>
        <v>91.117264608472169</v>
      </c>
      <c r="I875">
        <f t="shared" ca="1" si="886"/>
        <v>93.244777893706811</v>
      </c>
      <c r="J875">
        <f t="shared" ca="1" si="886"/>
        <v>94.250057867414839</v>
      </c>
      <c r="K875">
        <f t="shared" ref="K875:P875" ca="1" si="926">J875*EXP(($C$4-0.5*$C$5^2)*$C$10+$C$5*SQRT($C$10)*NORMINV(RAND(),0,1))</f>
        <v>97.540361811047845</v>
      </c>
      <c r="L875">
        <f t="shared" ca="1" si="926"/>
        <v>101.89600410605676</v>
      </c>
      <c r="M875">
        <f t="shared" ca="1" si="926"/>
        <v>99.174144334033059</v>
      </c>
      <c r="N875">
        <f t="shared" ca="1" si="926"/>
        <v>114.46222220344275</v>
      </c>
      <c r="O875">
        <f t="shared" ca="1" si="926"/>
        <v>125.58220558003856</v>
      </c>
      <c r="P875">
        <f t="shared" ca="1" si="926"/>
        <v>106.91410674239465</v>
      </c>
      <c r="Q875">
        <f t="shared" ca="1" si="888"/>
        <v>102.21049942345935</v>
      </c>
      <c r="R875">
        <f t="shared" ca="1" si="889"/>
        <v>2.2104994234593534</v>
      </c>
      <c r="S875">
        <f t="shared" ca="1" si="890"/>
        <v>2.1667286022202057</v>
      </c>
    </row>
    <row r="876" spans="5:19" x14ac:dyDescent="0.75">
      <c r="E876">
        <v>871</v>
      </c>
      <c r="F876">
        <v>100</v>
      </c>
      <c r="G876">
        <f t="shared" ca="1" si="886"/>
        <v>107.08259887078103</v>
      </c>
      <c r="H876">
        <f t="shared" ca="1" si="886"/>
        <v>110.90420211501259</v>
      </c>
      <c r="I876">
        <f t="shared" ca="1" si="886"/>
        <v>106.40299778992659</v>
      </c>
      <c r="J876">
        <f t="shared" ca="1" si="886"/>
        <v>102.84064294085488</v>
      </c>
      <c r="K876">
        <f t="shared" ref="K876:P876" ca="1" si="927">J876*EXP(($C$4-0.5*$C$5^2)*$C$10+$C$5*SQRT($C$10)*NORMINV(RAND(),0,1))</f>
        <v>97.511114079851211</v>
      </c>
      <c r="L876">
        <f t="shared" ca="1" si="927"/>
        <v>90.680797973710327</v>
      </c>
      <c r="M876">
        <f t="shared" ca="1" si="927"/>
        <v>84.430266813241772</v>
      </c>
      <c r="N876">
        <f t="shared" ca="1" si="927"/>
        <v>83.805555467860216</v>
      </c>
      <c r="O876">
        <f t="shared" ca="1" si="927"/>
        <v>88.340762811995063</v>
      </c>
      <c r="P876">
        <f t="shared" ca="1" si="927"/>
        <v>88.29965606251622</v>
      </c>
      <c r="Q876">
        <f t="shared" ca="1" si="888"/>
        <v>96.390781356886379</v>
      </c>
      <c r="R876">
        <f t="shared" ca="1" si="889"/>
        <v>0</v>
      </c>
      <c r="S876">
        <f t="shared" ca="1" si="890"/>
        <v>0</v>
      </c>
    </row>
    <row r="877" spans="5:19" x14ac:dyDescent="0.75">
      <c r="E877">
        <v>872</v>
      </c>
      <c r="F877">
        <v>100</v>
      </c>
      <c r="G877">
        <f t="shared" ca="1" si="886"/>
        <v>95.193668161996797</v>
      </c>
      <c r="H877">
        <f t="shared" ca="1" si="886"/>
        <v>93.194846779210806</v>
      </c>
      <c r="I877">
        <f t="shared" ca="1" si="886"/>
        <v>90.638243729324245</v>
      </c>
      <c r="J877">
        <f t="shared" ca="1" si="886"/>
        <v>105.6367940676672</v>
      </c>
      <c r="K877">
        <f t="shared" ref="K877:P877" ca="1" si="928">J877*EXP(($C$4-0.5*$C$5^2)*$C$10+$C$5*SQRT($C$10)*NORMINV(RAND(),0,1))</f>
        <v>110.26813259332421</v>
      </c>
      <c r="L877">
        <f t="shared" ca="1" si="928"/>
        <v>120.59557030209335</v>
      </c>
      <c r="M877">
        <f t="shared" ca="1" si="928"/>
        <v>109.03717623365968</v>
      </c>
      <c r="N877">
        <f t="shared" ca="1" si="928"/>
        <v>116.8439400822997</v>
      </c>
      <c r="O877">
        <f t="shared" ca="1" si="928"/>
        <v>131.12689639047701</v>
      </c>
      <c r="P877">
        <f t="shared" ca="1" si="928"/>
        <v>134.97702099887348</v>
      </c>
      <c r="Q877">
        <f t="shared" ca="1" si="888"/>
        <v>109.77384448535696</v>
      </c>
      <c r="R877">
        <f t="shared" ca="1" si="889"/>
        <v>9.7738444853569604</v>
      </c>
      <c r="S877">
        <f t="shared" ca="1" si="890"/>
        <v>9.5803093976534388</v>
      </c>
    </row>
    <row r="878" spans="5:19" x14ac:dyDescent="0.75">
      <c r="E878">
        <v>873</v>
      </c>
      <c r="F878">
        <v>100</v>
      </c>
      <c r="G878">
        <f t="shared" ca="1" si="886"/>
        <v>116.66818263398578</v>
      </c>
      <c r="H878">
        <f t="shared" ca="1" si="886"/>
        <v>117.35293333958404</v>
      </c>
      <c r="I878">
        <f t="shared" ca="1" si="886"/>
        <v>133.40095283108744</v>
      </c>
      <c r="J878">
        <f t="shared" ca="1" si="886"/>
        <v>140.15502122847616</v>
      </c>
      <c r="K878">
        <f t="shared" ref="K878:P878" ca="1" si="929">J878*EXP(($C$4-0.5*$C$5^2)*$C$10+$C$5*SQRT($C$10)*NORMINV(RAND(),0,1))</f>
        <v>134.06889039515349</v>
      </c>
      <c r="L878">
        <f t="shared" ca="1" si="929"/>
        <v>133.24692787771122</v>
      </c>
      <c r="M878">
        <f t="shared" ca="1" si="929"/>
        <v>143.4982186967643</v>
      </c>
      <c r="N878">
        <f t="shared" ca="1" si="929"/>
        <v>149.73105924282632</v>
      </c>
      <c r="O878">
        <f t="shared" ca="1" si="929"/>
        <v>149.88129592344822</v>
      </c>
      <c r="P878">
        <f t="shared" ca="1" si="929"/>
        <v>141.95237916096733</v>
      </c>
      <c r="Q878">
        <f t="shared" ca="1" si="888"/>
        <v>132.72326012090952</v>
      </c>
      <c r="R878">
        <f t="shared" ca="1" si="889"/>
        <v>32.723260120909515</v>
      </c>
      <c r="S878">
        <f t="shared" ca="1" si="890"/>
        <v>32.07529615678736</v>
      </c>
    </row>
    <row r="879" spans="5:19" x14ac:dyDescent="0.75">
      <c r="E879">
        <v>874</v>
      </c>
      <c r="F879">
        <v>100</v>
      </c>
      <c r="G879">
        <f t="shared" ca="1" si="886"/>
        <v>92.233495099752332</v>
      </c>
      <c r="H879">
        <f t="shared" ca="1" si="886"/>
        <v>108.67663073949213</v>
      </c>
      <c r="I879">
        <f t="shared" ca="1" si="886"/>
        <v>101.90433332116214</v>
      </c>
      <c r="J879">
        <f t="shared" ca="1" si="886"/>
        <v>97.265303108999603</v>
      </c>
      <c r="K879">
        <f t="shared" ref="K879:P879" ca="1" si="930">J879*EXP(($C$4-0.5*$C$5^2)*$C$10+$C$5*SQRT($C$10)*NORMINV(RAND(),0,1))</f>
        <v>105.53723286588848</v>
      </c>
      <c r="L879">
        <f t="shared" ca="1" si="930"/>
        <v>100.88364042631846</v>
      </c>
      <c r="M879">
        <f t="shared" ca="1" si="930"/>
        <v>97.166703423507954</v>
      </c>
      <c r="N879">
        <f t="shared" ca="1" si="930"/>
        <v>97.65166065396275</v>
      </c>
      <c r="O879">
        <f t="shared" ca="1" si="930"/>
        <v>96.908442966532164</v>
      </c>
      <c r="P879">
        <f t="shared" ca="1" si="930"/>
        <v>101.01617466918077</v>
      </c>
      <c r="Q879">
        <f t="shared" ca="1" si="888"/>
        <v>99.931237934072442</v>
      </c>
      <c r="R879">
        <f t="shared" ca="1" si="889"/>
        <v>0</v>
      </c>
      <c r="S879">
        <f t="shared" ca="1" si="890"/>
        <v>0</v>
      </c>
    </row>
    <row r="880" spans="5:19" x14ac:dyDescent="0.75">
      <c r="E880">
        <v>875</v>
      </c>
      <c r="F880">
        <v>100</v>
      </c>
      <c r="G880">
        <f t="shared" ca="1" si="886"/>
        <v>89.519686151428502</v>
      </c>
      <c r="H880">
        <f t="shared" ca="1" si="886"/>
        <v>97.139673418071197</v>
      </c>
      <c r="I880">
        <f t="shared" ca="1" si="886"/>
        <v>93.229899786083621</v>
      </c>
      <c r="J880">
        <f t="shared" ca="1" si="886"/>
        <v>93.335617247698607</v>
      </c>
      <c r="K880">
        <f t="shared" ref="K880:P880" ca="1" si="931">J880*EXP(($C$4-0.5*$C$5^2)*$C$10+$C$5*SQRT($C$10)*NORMINV(RAND(),0,1))</f>
        <v>89.135166530811205</v>
      </c>
      <c r="L880">
        <f t="shared" ca="1" si="931"/>
        <v>96.487048478276009</v>
      </c>
      <c r="M880">
        <f t="shared" ca="1" si="931"/>
        <v>91.977070848808665</v>
      </c>
      <c r="N880">
        <f t="shared" ca="1" si="931"/>
        <v>91.092946297184781</v>
      </c>
      <c r="O880">
        <f t="shared" ca="1" si="931"/>
        <v>84.510578797642211</v>
      </c>
      <c r="P880">
        <f t="shared" ca="1" si="931"/>
        <v>77.693186529245054</v>
      </c>
      <c r="Q880">
        <f t="shared" ca="1" si="888"/>
        <v>91.283715825931822</v>
      </c>
      <c r="R880">
        <f t="shared" ca="1" si="889"/>
        <v>0</v>
      </c>
      <c r="S880">
        <f t="shared" ca="1" si="890"/>
        <v>0</v>
      </c>
    </row>
    <row r="881" spans="5:19" x14ac:dyDescent="0.75">
      <c r="E881">
        <v>876</v>
      </c>
      <c r="F881">
        <v>100</v>
      </c>
      <c r="G881">
        <f t="shared" ca="1" si="886"/>
        <v>101.99039506021144</v>
      </c>
      <c r="H881">
        <f t="shared" ca="1" si="886"/>
        <v>103.00552352844683</v>
      </c>
      <c r="I881">
        <f t="shared" ca="1" si="886"/>
        <v>114.95788201678448</v>
      </c>
      <c r="J881">
        <f t="shared" ca="1" si="886"/>
        <v>119.15823261963132</v>
      </c>
      <c r="K881">
        <f t="shared" ref="K881:P881" ca="1" si="932">J881*EXP(($C$4-0.5*$C$5^2)*$C$10+$C$5*SQRT($C$10)*NORMINV(RAND(),0,1))</f>
        <v>120.43330956784247</v>
      </c>
      <c r="L881">
        <f t="shared" ca="1" si="932"/>
        <v>109.44217964767418</v>
      </c>
      <c r="M881">
        <f t="shared" ca="1" si="932"/>
        <v>103.95803862021484</v>
      </c>
      <c r="N881">
        <f t="shared" ca="1" si="932"/>
        <v>94.730283142040349</v>
      </c>
      <c r="O881">
        <f t="shared" ca="1" si="932"/>
        <v>100.36165918695957</v>
      </c>
      <c r="P881">
        <f t="shared" ca="1" si="932"/>
        <v>105.80416331645843</v>
      </c>
      <c r="Q881">
        <f t="shared" ca="1" si="888"/>
        <v>106.71287879147853</v>
      </c>
      <c r="R881">
        <f t="shared" ca="1" si="889"/>
        <v>6.7128787914785306</v>
      </c>
      <c r="S881">
        <f t="shared" ca="1" si="890"/>
        <v>6.5799548854763099</v>
      </c>
    </row>
    <row r="882" spans="5:19" x14ac:dyDescent="0.75">
      <c r="E882">
        <v>877</v>
      </c>
      <c r="F882">
        <v>100</v>
      </c>
      <c r="G882">
        <f t="shared" ca="1" si="886"/>
        <v>94.472158548171194</v>
      </c>
      <c r="H882">
        <f t="shared" ca="1" si="886"/>
        <v>110.70014627689767</v>
      </c>
      <c r="I882">
        <f t="shared" ca="1" si="886"/>
        <v>112.23080042493989</v>
      </c>
      <c r="J882">
        <f t="shared" ca="1" si="886"/>
        <v>117.41874565145251</v>
      </c>
      <c r="K882">
        <f t="shared" ref="K882:P882" ca="1" si="933">J882*EXP(($C$4-0.5*$C$5^2)*$C$10+$C$5*SQRT($C$10)*NORMINV(RAND(),0,1))</f>
        <v>113.14581576100835</v>
      </c>
      <c r="L882">
        <f t="shared" ca="1" si="933"/>
        <v>120.6375862946966</v>
      </c>
      <c r="M882">
        <f t="shared" ca="1" si="933"/>
        <v>113.11035311487089</v>
      </c>
      <c r="N882">
        <f t="shared" ca="1" si="933"/>
        <v>112.61058778528405</v>
      </c>
      <c r="O882">
        <f t="shared" ca="1" si="933"/>
        <v>103.99913018384569</v>
      </c>
      <c r="P882">
        <f t="shared" ca="1" si="933"/>
        <v>105.01731452113538</v>
      </c>
      <c r="Q882">
        <f t="shared" ca="1" si="888"/>
        <v>109.39478532384565</v>
      </c>
      <c r="R882">
        <f t="shared" ca="1" si="889"/>
        <v>9.3947853238456531</v>
      </c>
      <c r="S882">
        <f t="shared" ca="1" si="890"/>
        <v>9.2087561104352851</v>
      </c>
    </row>
    <row r="883" spans="5:19" x14ac:dyDescent="0.75">
      <c r="E883">
        <v>878</v>
      </c>
      <c r="F883">
        <v>100</v>
      </c>
      <c r="G883">
        <f t="shared" ca="1" si="886"/>
        <v>107.37708055403101</v>
      </c>
      <c r="H883">
        <f t="shared" ca="1" si="886"/>
        <v>104.63798797752757</v>
      </c>
      <c r="I883">
        <f t="shared" ca="1" si="886"/>
        <v>113.02875945068716</v>
      </c>
      <c r="J883">
        <f t="shared" ca="1" si="886"/>
        <v>106.35893917841022</v>
      </c>
      <c r="K883">
        <f t="shared" ref="K883:P883" ca="1" si="934">J883*EXP(($C$4-0.5*$C$5^2)*$C$10+$C$5*SQRT($C$10)*NORMINV(RAND(),0,1))</f>
        <v>107.08908048791422</v>
      </c>
      <c r="L883">
        <f t="shared" ca="1" si="934"/>
        <v>108.54531950575708</v>
      </c>
      <c r="M883">
        <f t="shared" ca="1" si="934"/>
        <v>107.49312183267271</v>
      </c>
      <c r="N883">
        <f t="shared" ca="1" si="934"/>
        <v>110.38007604097214</v>
      </c>
      <c r="O883">
        <f t="shared" ca="1" si="934"/>
        <v>110.30488654551908</v>
      </c>
      <c r="P883">
        <f t="shared" ca="1" si="934"/>
        <v>107.45755968120216</v>
      </c>
      <c r="Q883">
        <f t="shared" ca="1" si="888"/>
        <v>107.51571011406304</v>
      </c>
      <c r="R883">
        <f t="shared" ca="1" si="889"/>
        <v>7.5157101140630402</v>
      </c>
      <c r="S883">
        <f t="shared" ca="1" si="890"/>
        <v>7.3668890827627544</v>
      </c>
    </row>
    <row r="884" spans="5:19" x14ac:dyDescent="0.75">
      <c r="E884">
        <v>879</v>
      </c>
      <c r="F884">
        <v>100</v>
      </c>
      <c r="G884">
        <f t="shared" ca="1" si="886"/>
        <v>100.28533129853699</v>
      </c>
      <c r="H884">
        <f t="shared" ca="1" si="886"/>
        <v>92.590654746499396</v>
      </c>
      <c r="I884">
        <f t="shared" ca="1" si="886"/>
        <v>91.42742206856451</v>
      </c>
      <c r="J884">
        <f t="shared" ca="1" si="886"/>
        <v>96.250079811808689</v>
      </c>
      <c r="K884">
        <f t="shared" ref="K884:P884" ca="1" si="935">J884*EXP(($C$4-0.5*$C$5^2)*$C$10+$C$5*SQRT($C$10)*NORMINV(RAND(),0,1))</f>
        <v>87.565164663040477</v>
      </c>
      <c r="L884">
        <f t="shared" ca="1" si="935"/>
        <v>92.205813032547553</v>
      </c>
      <c r="M884">
        <f t="shared" ca="1" si="935"/>
        <v>93.865376029806683</v>
      </c>
      <c r="N884">
        <f t="shared" ca="1" si="935"/>
        <v>105.65386545821691</v>
      </c>
      <c r="O884">
        <f t="shared" ca="1" si="935"/>
        <v>107.19740139927335</v>
      </c>
      <c r="P884">
        <f t="shared" ca="1" si="935"/>
        <v>101.76849174861205</v>
      </c>
      <c r="Q884">
        <f t="shared" ca="1" si="888"/>
        <v>97.164509114264234</v>
      </c>
      <c r="R884">
        <f t="shared" ca="1" si="889"/>
        <v>0</v>
      </c>
      <c r="S884">
        <f t="shared" ca="1" si="890"/>
        <v>0</v>
      </c>
    </row>
    <row r="885" spans="5:19" x14ac:dyDescent="0.75">
      <c r="E885">
        <v>880</v>
      </c>
      <c r="F885">
        <v>100</v>
      </c>
      <c r="G885">
        <f t="shared" ca="1" si="886"/>
        <v>102.68170243177201</v>
      </c>
      <c r="H885">
        <f t="shared" ca="1" si="886"/>
        <v>111.10981997256199</v>
      </c>
      <c r="I885">
        <f t="shared" ca="1" si="886"/>
        <v>122.3015932557847</v>
      </c>
      <c r="J885">
        <f t="shared" ca="1" si="886"/>
        <v>119.24928840207539</v>
      </c>
      <c r="K885">
        <f t="shared" ref="K885:P885" ca="1" si="936">J885*EXP(($C$4-0.5*$C$5^2)*$C$10+$C$5*SQRT($C$10)*NORMINV(RAND(),0,1))</f>
        <v>118.37605414086693</v>
      </c>
      <c r="L885">
        <f t="shared" ca="1" si="936"/>
        <v>117.85819917454275</v>
      </c>
      <c r="M885">
        <f t="shared" ca="1" si="936"/>
        <v>138.93964648377431</v>
      </c>
      <c r="N885">
        <f t="shared" ca="1" si="936"/>
        <v>128.25804663149722</v>
      </c>
      <c r="O885">
        <f t="shared" ca="1" si="936"/>
        <v>112.76922633251498</v>
      </c>
      <c r="P885">
        <f t="shared" ca="1" si="936"/>
        <v>113.22783650243818</v>
      </c>
      <c r="Q885">
        <f t="shared" ca="1" si="888"/>
        <v>116.79740121162077</v>
      </c>
      <c r="R885">
        <f t="shared" ca="1" si="889"/>
        <v>16.797401211620766</v>
      </c>
      <c r="S885">
        <f t="shared" ca="1" si="890"/>
        <v>16.464790382631957</v>
      </c>
    </row>
    <row r="886" spans="5:19" x14ac:dyDescent="0.75">
      <c r="E886">
        <v>881</v>
      </c>
      <c r="F886">
        <v>100</v>
      </c>
      <c r="G886">
        <f t="shared" ca="1" si="886"/>
        <v>91.256811273929699</v>
      </c>
      <c r="H886">
        <f t="shared" ca="1" si="886"/>
        <v>90.6904287575681</v>
      </c>
      <c r="I886">
        <f t="shared" ca="1" si="886"/>
        <v>99.23048411195991</v>
      </c>
      <c r="J886">
        <f t="shared" ca="1" si="886"/>
        <v>96.102407837567597</v>
      </c>
      <c r="K886">
        <f t="shared" ref="K886:P886" ca="1" si="937">J886*EXP(($C$4-0.5*$C$5^2)*$C$10+$C$5*SQRT($C$10)*NORMINV(RAND(),0,1))</f>
        <v>90.086403943139672</v>
      </c>
      <c r="L886">
        <f t="shared" ca="1" si="937"/>
        <v>82.64685405106529</v>
      </c>
      <c r="M886">
        <f t="shared" ca="1" si="937"/>
        <v>85.460044484340301</v>
      </c>
      <c r="N886">
        <f t="shared" ca="1" si="937"/>
        <v>87.879638157309529</v>
      </c>
      <c r="O886">
        <f t="shared" ca="1" si="937"/>
        <v>90.078874573784915</v>
      </c>
      <c r="P886">
        <f t="shared" ca="1" si="937"/>
        <v>84.500594461292579</v>
      </c>
      <c r="Q886">
        <f t="shared" ca="1" si="888"/>
        <v>90.721140150177959</v>
      </c>
      <c r="R886">
        <f t="shared" ca="1" si="889"/>
        <v>0</v>
      </c>
      <c r="S886">
        <f t="shared" ca="1" si="890"/>
        <v>0</v>
      </c>
    </row>
    <row r="887" spans="5:19" x14ac:dyDescent="0.75">
      <c r="E887">
        <v>882</v>
      </c>
      <c r="F887">
        <v>100</v>
      </c>
      <c r="G887">
        <f t="shared" ca="1" si="886"/>
        <v>94.582779155597152</v>
      </c>
      <c r="H887">
        <f t="shared" ca="1" si="886"/>
        <v>88.939141447478505</v>
      </c>
      <c r="I887">
        <f t="shared" ca="1" si="886"/>
        <v>83.284454739932954</v>
      </c>
      <c r="J887">
        <f t="shared" ca="1" si="886"/>
        <v>77.524895932855912</v>
      </c>
      <c r="K887">
        <f t="shared" ref="K887:P887" ca="1" si="938">J887*EXP(($C$4-0.5*$C$5^2)*$C$10+$C$5*SQRT($C$10)*NORMINV(RAND(),0,1))</f>
        <v>83.167803772054754</v>
      </c>
      <c r="L887">
        <f t="shared" ca="1" si="938"/>
        <v>81.956576567034176</v>
      </c>
      <c r="M887">
        <f t="shared" ca="1" si="938"/>
        <v>92.388461230646129</v>
      </c>
      <c r="N887">
        <f t="shared" ca="1" si="938"/>
        <v>87.002240439512107</v>
      </c>
      <c r="O887">
        <f t="shared" ca="1" si="938"/>
        <v>89.144921025305067</v>
      </c>
      <c r="P887">
        <f t="shared" ca="1" si="938"/>
        <v>95.910317553790236</v>
      </c>
      <c r="Q887">
        <f t="shared" ca="1" si="888"/>
        <v>88.536508351291545</v>
      </c>
      <c r="R887">
        <f t="shared" ca="1" si="889"/>
        <v>0</v>
      </c>
      <c r="S887">
        <f t="shared" ca="1" si="890"/>
        <v>0</v>
      </c>
    </row>
    <row r="888" spans="5:19" x14ac:dyDescent="0.75">
      <c r="E888">
        <v>883</v>
      </c>
      <c r="F888">
        <v>100</v>
      </c>
      <c r="G888">
        <f t="shared" ca="1" si="886"/>
        <v>106.74786468244774</v>
      </c>
      <c r="H888">
        <f t="shared" ca="1" si="886"/>
        <v>106.40055899720575</v>
      </c>
      <c r="I888">
        <f t="shared" ca="1" si="886"/>
        <v>105.52777841708286</v>
      </c>
      <c r="J888">
        <f t="shared" ca="1" si="886"/>
        <v>100.5439536289435</v>
      </c>
      <c r="K888">
        <f t="shared" ref="K888:P888" ca="1" si="939">J888*EXP(($C$4-0.5*$C$5^2)*$C$10+$C$5*SQRT($C$10)*NORMINV(RAND(),0,1))</f>
        <v>101.39309980693396</v>
      </c>
      <c r="L888">
        <f t="shared" ca="1" si="939"/>
        <v>96.619815343392702</v>
      </c>
      <c r="M888">
        <f t="shared" ca="1" si="939"/>
        <v>107.77575366403117</v>
      </c>
      <c r="N888">
        <f t="shared" ca="1" si="939"/>
        <v>98.461471001950173</v>
      </c>
      <c r="O888">
        <f t="shared" ca="1" si="939"/>
        <v>84.450285115412555</v>
      </c>
      <c r="P888">
        <f t="shared" ca="1" si="939"/>
        <v>81.790358946523824</v>
      </c>
      <c r="Q888">
        <f t="shared" ca="1" si="888"/>
        <v>99.064630873084027</v>
      </c>
      <c r="R888">
        <f t="shared" ca="1" si="889"/>
        <v>0</v>
      </c>
      <c r="S888">
        <f t="shared" ca="1" si="890"/>
        <v>0</v>
      </c>
    </row>
    <row r="889" spans="5:19" x14ac:dyDescent="0.75">
      <c r="E889">
        <v>884</v>
      </c>
      <c r="F889">
        <v>100</v>
      </c>
      <c r="G889">
        <f t="shared" ca="1" si="886"/>
        <v>107.20139462529292</v>
      </c>
      <c r="H889">
        <f t="shared" ca="1" si="886"/>
        <v>102.33756103049016</v>
      </c>
      <c r="I889">
        <f t="shared" ca="1" si="886"/>
        <v>106.90315270740965</v>
      </c>
      <c r="J889">
        <f t="shared" ca="1" si="886"/>
        <v>119.22968167307408</v>
      </c>
      <c r="K889">
        <f t="shared" ref="K889:P889" ca="1" si="940">J889*EXP(($C$4-0.5*$C$5^2)*$C$10+$C$5*SQRT($C$10)*NORMINV(RAND(),0,1))</f>
        <v>113.5721403364026</v>
      </c>
      <c r="L889">
        <f t="shared" ca="1" si="940"/>
        <v>107.28603103913893</v>
      </c>
      <c r="M889">
        <f t="shared" ca="1" si="940"/>
        <v>110.15278513937186</v>
      </c>
      <c r="N889">
        <f t="shared" ca="1" si="940"/>
        <v>128.87227249532373</v>
      </c>
      <c r="O889">
        <f t="shared" ca="1" si="940"/>
        <v>134.78643575766063</v>
      </c>
      <c r="P889">
        <f t="shared" ca="1" si="940"/>
        <v>124.56069132797926</v>
      </c>
      <c r="Q889">
        <f t="shared" ca="1" si="888"/>
        <v>114.08201328474034</v>
      </c>
      <c r="R889">
        <f t="shared" ca="1" si="889"/>
        <v>14.082013284740341</v>
      </c>
      <c r="S889">
        <f t="shared" ca="1" si="890"/>
        <v>13.803170739190586</v>
      </c>
    </row>
    <row r="890" spans="5:19" x14ac:dyDescent="0.75">
      <c r="E890">
        <v>885</v>
      </c>
      <c r="F890">
        <v>100</v>
      </c>
      <c r="G890">
        <f t="shared" ca="1" si="886"/>
        <v>103.24679792145297</v>
      </c>
      <c r="H890">
        <f t="shared" ca="1" si="886"/>
        <v>97.624247105091527</v>
      </c>
      <c r="I890">
        <f t="shared" ca="1" si="886"/>
        <v>99.129117687736553</v>
      </c>
      <c r="J890">
        <f t="shared" ca="1" si="886"/>
        <v>93.058133743174494</v>
      </c>
      <c r="K890">
        <f t="shared" ref="K890:P890" ca="1" si="941">J890*EXP(($C$4-0.5*$C$5^2)*$C$10+$C$5*SQRT($C$10)*NORMINV(RAND(),0,1))</f>
        <v>94.483098323255348</v>
      </c>
      <c r="L890">
        <f t="shared" ca="1" si="941"/>
        <v>94.532798856418182</v>
      </c>
      <c r="M890">
        <f t="shared" ca="1" si="941"/>
        <v>91.112807098361188</v>
      </c>
      <c r="N890">
        <f t="shared" ca="1" si="941"/>
        <v>91.27397223746128</v>
      </c>
      <c r="O890">
        <f t="shared" ca="1" si="941"/>
        <v>92.114234795751926</v>
      </c>
      <c r="P890">
        <f t="shared" ca="1" si="941"/>
        <v>93.51107256706544</v>
      </c>
      <c r="Q890">
        <f t="shared" ca="1" si="888"/>
        <v>95.462389121433532</v>
      </c>
      <c r="R890">
        <f t="shared" ca="1" si="889"/>
        <v>0</v>
      </c>
      <c r="S890">
        <f t="shared" ca="1" si="890"/>
        <v>0</v>
      </c>
    </row>
    <row r="891" spans="5:19" x14ac:dyDescent="0.75">
      <c r="E891">
        <v>886</v>
      </c>
      <c r="F891">
        <v>100</v>
      </c>
      <c r="G891">
        <f t="shared" ca="1" si="886"/>
        <v>96.431105827340559</v>
      </c>
      <c r="H891">
        <f t="shared" ca="1" si="886"/>
        <v>100.22136446219312</v>
      </c>
      <c r="I891">
        <f t="shared" ca="1" si="886"/>
        <v>92.54502141308248</v>
      </c>
      <c r="J891">
        <f t="shared" ca="1" si="886"/>
        <v>109.00486033399871</v>
      </c>
      <c r="K891">
        <f t="shared" ref="K891:P891" ca="1" si="942">J891*EXP(($C$4-0.5*$C$5^2)*$C$10+$C$5*SQRT($C$10)*NORMINV(RAND(),0,1))</f>
        <v>103.45429414436644</v>
      </c>
      <c r="L891">
        <f t="shared" ca="1" si="942"/>
        <v>106.94429898537415</v>
      </c>
      <c r="M891">
        <f t="shared" ca="1" si="942"/>
        <v>103.61412238059525</v>
      </c>
      <c r="N891">
        <f t="shared" ca="1" si="942"/>
        <v>101.104422196291</v>
      </c>
      <c r="O891">
        <f t="shared" ca="1" si="942"/>
        <v>99.756480610227655</v>
      </c>
      <c r="P891">
        <f t="shared" ca="1" si="942"/>
        <v>102.5940108754596</v>
      </c>
      <c r="Q891">
        <f t="shared" ca="1" si="888"/>
        <v>101.42454374808445</v>
      </c>
      <c r="R891">
        <f t="shared" ca="1" si="889"/>
        <v>1.4245437480844458</v>
      </c>
      <c r="S891">
        <f t="shared" ca="1" si="890"/>
        <v>1.3963358919398063</v>
      </c>
    </row>
    <row r="892" spans="5:19" x14ac:dyDescent="0.75">
      <c r="E892">
        <v>887</v>
      </c>
      <c r="F892">
        <v>100</v>
      </c>
      <c r="G892">
        <f t="shared" ca="1" si="886"/>
        <v>99.395667706009888</v>
      </c>
      <c r="H892">
        <f t="shared" ca="1" si="886"/>
        <v>102.21179413828648</v>
      </c>
      <c r="I892">
        <f t="shared" ca="1" si="886"/>
        <v>98.322433909146469</v>
      </c>
      <c r="J892">
        <f t="shared" ca="1" si="886"/>
        <v>100.59983770410948</v>
      </c>
      <c r="K892">
        <f t="shared" ref="K892:P892" ca="1" si="943">J892*EXP(($C$4-0.5*$C$5^2)*$C$10+$C$5*SQRT($C$10)*NORMINV(RAND(),0,1))</f>
        <v>98.326031609948245</v>
      </c>
      <c r="L892">
        <f t="shared" ca="1" si="943"/>
        <v>99.384109385902306</v>
      </c>
      <c r="M892">
        <f t="shared" ca="1" si="943"/>
        <v>101.13793595148634</v>
      </c>
      <c r="N892">
        <f t="shared" ca="1" si="943"/>
        <v>98.478628550955207</v>
      </c>
      <c r="O892">
        <f t="shared" ca="1" si="943"/>
        <v>105.23700861098115</v>
      </c>
      <c r="P892">
        <f t="shared" ca="1" si="943"/>
        <v>107.1813885100995</v>
      </c>
      <c r="Q892">
        <f t="shared" ca="1" si="888"/>
        <v>100.93407600699319</v>
      </c>
      <c r="R892">
        <f t="shared" ca="1" si="889"/>
        <v>0.9340760069931946</v>
      </c>
      <c r="S892">
        <f t="shared" ca="1" si="890"/>
        <v>0.91558006282240079</v>
      </c>
    </row>
    <row r="893" spans="5:19" x14ac:dyDescent="0.75">
      <c r="E893">
        <v>888</v>
      </c>
      <c r="F893">
        <v>100</v>
      </c>
      <c r="G893">
        <f t="shared" ca="1" si="886"/>
        <v>122.38171075863697</v>
      </c>
      <c r="H893">
        <f t="shared" ca="1" si="886"/>
        <v>131.50160574021237</v>
      </c>
      <c r="I893">
        <f t="shared" ca="1" si="886"/>
        <v>127.72589555117459</v>
      </c>
      <c r="J893">
        <f t="shared" ca="1" si="886"/>
        <v>127.64485420467305</v>
      </c>
      <c r="K893">
        <f t="shared" ref="K893:P893" ca="1" si="944">J893*EXP(($C$4-0.5*$C$5^2)*$C$10+$C$5*SQRT($C$10)*NORMINV(RAND(),0,1))</f>
        <v>132.5874967240625</v>
      </c>
      <c r="L893">
        <f t="shared" ca="1" si="944"/>
        <v>121.87951403175919</v>
      </c>
      <c r="M893">
        <f t="shared" ca="1" si="944"/>
        <v>125.52948393144938</v>
      </c>
      <c r="N893">
        <f t="shared" ca="1" si="944"/>
        <v>135.3911288209373</v>
      </c>
      <c r="O893">
        <f t="shared" ca="1" si="944"/>
        <v>141.56544553289029</v>
      </c>
      <c r="P893">
        <f t="shared" ca="1" si="944"/>
        <v>149.15919291280673</v>
      </c>
      <c r="Q893">
        <f t="shared" ca="1" si="888"/>
        <v>128.66966620078202</v>
      </c>
      <c r="R893">
        <f t="shared" ca="1" si="889"/>
        <v>28.669666200782018</v>
      </c>
      <c r="S893">
        <f t="shared" ca="1" si="890"/>
        <v>28.101968774154056</v>
      </c>
    </row>
    <row r="894" spans="5:19" x14ac:dyDescent="0.75">
      <c r="E894">
        <v>889</v>
      </c>
      <c r="F894">
        <v>100</v>
      </c>
      <c r="G894">
        <f t="shared" ca="1" si="886"/>
        <v>98.218063989562253</v>
      </c>
      <c r="H894">
        <f t="shared" ca="1" si="886"/>
        <v>102.0494365947893</v>
      </c>
      <c r="I894">
        <f t="shared" ca="1" si="886"/>
        <v>104.84841931860181</v>
      </c>
      <c r="J894">
        <f t="shared" ca="1" si="886"/>
        <v>107.6124574164853</v>
      </c>
      <c r="K894">
        <f t="shared" ref="K894:P894" ca="1" si="945">J894*EXP(($C$4-0.5*$C$5^2)*$C$10+$C$5*SQRT($C$10)*NORMINV(RAND(),0,1))</f>
        <v>111.85426748635578</v>
      </c>
      <c r="L894">
        <f t="shared" ca="1" si="945"/>
        <v>110.06479954068438</v>
      </c>
      <c r="M894">
        <f t="shared" ca="1" si="945"/>
        <v>105.22348492613465</v>
      </c>
      <c r="N894">
        <f t="shared" ca="1" si="945"/>
        <v>108.51990906010934</v>
      </c>
      <c r="O894">
        <f t="shared" ca="1" si="945"/>
        <v>108.01038247435821</v>
      </c>
      <c r="P894">
        <f t="shared" ca="1" si="945"/>
        <v>109.67948721355688</v>
      </c>
      <c r="Q894">
        <f t="shared" ca="1" si="888"/>
        <v>106.00733709278528</v>
      </c>
      <c r="R894">
        <f t="shared" ca="1" si="889"/>
        <v>6.0073370927852778</v>
      </c>
      <c r="S894">
        <f t="shared" ca="1" si="890"/>
        <v>5.8883838484545894</v>
      </c>
    </row>
    <row r="895" spans="5:19" x14ac:dyDescent="0.75">
      <c r="E895">
        <v>890</v>
      </c>
      <c r="F895">
        <v>100</v>
      </c>
      <c r="G895">
        <f t="shared" ca="1" si="886"/>
        <v>97.568394969616818</v>
      </c>
      <c r="H895">
        <f t="shared" ca="1" si="886"/>
        <v>110.56013728436429</v>
      </c>
      <c r="I895">
        <f t="shared" ca="1" si="886"/>
        <v>104.29294051739582</v>
      </c>
      <c r="J895">
        <f t="shared" ca="1" si="886"/>
        <v>106.44008359634307</v>
      </c>
      <c r="K895">
        <f t="shared" ref="K895:P895" ca="1" si="946">J895*EXP(($C$4-0.5*$C$5^2)*$C$10+$C$5*SQRT($C$10)*NORMINV(RAND(),0,1))</f>
        <v>105.38236352471836</v>
      </c>
      <c r="L895">
        <f t="shared" ca="1" si="946"/>
        <v>98.729211414691221</v>
      </c>
      <c r="M895">
        <f t="shared" ca="1" si="946"/>
        <v>96.820859628619985</v>
      </c>
      <c r="N895">
        <f t="shared" ca="1" si="946"/>
        <v>94.897580077913773</v>
      </c>
      <c r="O895">
        <f t="shared" ca="1" si="946"/>
        <v>99.926751958853515</v>
      </c>
      <c r="P895">
        <f t="shared" ca="1" si="946"/>
        <v>92.438276629719681</v>
      </c>
      <c r="Q895">
        <f t="shared" ca="1" si="888"/>
        <v>100.64150905474879</v>
      </c>
      <c r="R895">
        <f t="shared" ca="1" si="889"/>
        <v>0.64150905474879494</v>
      </c>
      <c r="S895">
        <f t="shared" ca="1" si="890"/>
        <v>0.62880632437903938</v>
      </c>
    </row>
    <row r="896" spans="5:19" x14ac:dyDescent="0.75">
      <c r="E896">
        <v>891</v>
      </c>
      <c r="F896">
        <v>100</v>
      </c>
      <c r="G896">
        <f t="shared" ca="1" si="886"/>
        <v>105.53664572579065</v>
      </c>
      <c r="H896">
        <f t="shared" ca="1" si="886"/>
        <v>107.89916828911213</v>
      </c>
      <c r="I896">
        <f t="shared" ca="1" si="886"/>
        <v>105.65844650413035</v>
      </c>
      <c r="J896">
        <f t="shared" ca="1" si="886"/>
        <v>104.11391979008614</v>
      </c>
      <c r="K896">
        <f t="shared" ref="K896:P896" ca="1" si="947">J896*EXP(($C$4-0.5*$C$5^2)*$C$10+$C$5*SQRT($C$10)*NORMINV(RAND(),0,1))</f>
        <v>96.737737589180739</v>
      </c>
      <c r="L896">
        <f t="shared" ca="1" si="947"/>
        <v>94.912772628346872</v>
      </c>
      <c r="M896">
        <f t="shared" ca="1" si="947"/>
        <v>87.924253421624655</v>
      </c>
      <c r="N896">
        <f t="shared" ca="1" si="947"/>
        <v>88.227805297402483</v>
      </c>
      <c r="O896">
        <f t="shared" ca="1" si="947"/>
        <v>82.021522419052289</v>
      </c>
      <c r="P896">
        <f t="shared" ca="1" si="947"/>
        <v>85.235180415939894</v>
      </c>
      <c r="Q896">
        <f t="shared" ca="1" si="888"/>
        <v>96.206132007333281</v>
      </c>
      <c r="R896">
        <f t="shared" ca="1" si="889"/>
        <v>0</v>
      </c>
      <c r="S896">
        <f t="shared" ca="1" si="890"/>
        <v>0</v>
      </c>
    </row>
    <row r="897" spans="5:19" x14ac:dyDescent="0.75">
      <c r="E897">
        <v>892</v>
      </c>
      <c r="F897">
        <v>100</v>
      </c>
      <c r="G897">
        <f t="shared" ca="1" si="886"/>
        <v>96.311574519505939</v>
      </c>
      <c r="H897">
        <f t="shared" ca="1" si="886"/>
        <v>110.5576276314429</v>
      </c>
      <c r="I897">
        <f t="shared" ca="1" si="886"/>
        <v>120.32756509730612</v>
      </c>
      <c r="J897">
        <f t="shared" ca="1" si="886"/>
        <v>133.78215705775082</v>
      </c>
      <c r="K897">
        <f t="shared" ref="K897:P897" ca="1" si="948">J897*EXP(($C$4-0.5*$C$5^2)*$C$10+$C$5*SQRT($C$10)*NORMINV(RAND(),0,1))</f>
        <v>149.60822266087072</v>
      </c>
      <c r="L897">
        <f t="shared" ca="1" si="948"/>
        <v>145.11223987996223</v>
      </c>
      <c r="M897">
        <f t="shared" ca="1" si="948"/>
        <v>141.0171708486335</v>
      </c>
      <c r="N897">
        <f t="shared" ca="1" si="948"/>
        <v>151.9020153065978</v>
      </c>
      <c r="O897">
        <f t="shared" ca="1" si="948"/>
        <v>131.67525217483669</v>
      </c>
      <c r="P897">
        <f t="shared" ca="1" si="948"/>
        <v>139.25265712544339</v>
      </c>
      <c r="Q897">
        <f t="shared" ca="1" si="888"/>
        <v>129.04968020930457</v>
      </c>
      <c r="R897">
        <f t="shared" ca="1" si="889"/>
        <v>29.049680209304569</v>
      </c>
      <c r="S897">
        <f t="shared" ca="1" si="890"/>
        <v>28.474458001145841</v>
      </c>
    </row>
    <row r="898" spans="5:19" x14ac:dyDescent="0.75">
      <c r="E898">
        <v>893</v>
      </c>
      <c r="F898">
        <v>100</v>
      </c>
      <c r="G898">
        <f t="shared" ca="1" si="886"/>
        <v>109.05458017864275</v>
      </c>
      <c r="H898">
        <f t="shared" ca="1" si="886"/>
        <v>113.16742414825713</v>
      </c>
      <c r="I898">
        <f t="shared" ca="1" si="886"/>
        <v>100.40563780822038</v>
      </c>
      <c r="J898">
        <f t="shared" ca="1" si="886"/>
        <v>96.419292013068969</v>
      </c>
      <c r="K898">
        <f t="shared" ref="K898:P898" ca="1" si="949">J898*EXP(($C$4-0.5*$C$5^2)*$C$10+$C$5*SQRT($C$10)*NORMINV(RAND(),0,1))</f>
        <v>96.656323092634096</v>
      </c>
      <c r="L898">
        <f t="shared" ca="1" si="949"/>
        <v>107.89576061020264</v>
      </c>
      <c r="M898">
        <f t="shared" ca="1" si="949"/>
        <v>102.46254796460607</v>
      </c>
      <c r="N898">
        <f t="shared" ca="1" si="949"/>
        <v>116.90323695791713</v>
      </c>
      <c r="O898">
        <f t="shared" ca="1" si="949"/>
        <v>100.52976021590213</v>
      </c>
      <c r="P898">
        <f t="shared" ca="1" si="949"/>
        <v>102.43914356097306</v>
      </c>
      <c r="Q898">
        <f t="shared" ca="1" si="888"/>
        <v>104.17579150458401</v>
      </c>
      <c r="R898">
        <f t="shared" ca="1" si="889"/>
        <v>4.1757915045840122</v>
      </c>
      <c r="S898">
        <f t="shared" ca="1" si="890"/>
        <v>4.0931052927988683</v>
      </c>
    </row>
    <row r="899" spans="5:19" x14ac:dyDescent="0.75">
      <c r="E899">
        <v>894</v>
      </c>
      <c r="F899">
        <v>100</v>
      </c>
      <c r="G899">
        <f t="shared" ca="1" si="886"/>
        <v>87.034432925036583</v>
      </c>
      <c r="H899">
        <f t="shared" ca="1" si="886"/>
        <v>85.848871227644182</v>
      </c>
      <c r="I899">
        <f t="shared" ca="1" si="886"/>
        <v>86.444078578294153</v>
      </c>
      <c r="J899">
        <f t="shared" ca="1" si="886"/>
        <v>98.87568250425484</v>
      </c>
      <c r="K899">
        <f t="shared" ref="K899:P899" ca="1" si="950">J899*EXP(($C$4-0.5*$C$5^2)*$C$10+$C$5*SQRT($C$10)*NORMINV(RAND(),0,1))</f>
        <v>95.76834104682699</v>
      </c>
      <c r="L899">
        <f t="shared" ca="1" si="950"/>
        <v>97.153195149070186</v>
      </c>
      <c r="M899">
        <f t="shared" ca="1" si="950"/>
        <v>92.511691981528145</v>
      </c>
      <c r="N899">
        <f t="shared" ca="1" si="950"/>
        <v>96.264232623285608</v>
      </c>
      <c r="O899">
        <f t="shared" ca="1" si="950"/>
        <v>106.87588883214728</v>
      </c>
      <c r="P899">
        <f t="shared" ca="1" si="950"/>
        <v>102.20147518244609</v>
      </c>
      <c r="Q899">
        <f t="shared" ca="1" si="888"/>
        <v>95.361626368230375</v>
      </c>
      <c r="R899">
        <f t="shared" ca="1" si="889"/>
        <v>0</v>
      </c>
      <c r="S899">
        <f t="shared" ca="1" si="890"/>
        <v>0</v>
      </c>
    </row>
    <row r="900" spans="5:19" x14ac:dyDescent="0.75">
      <c r="E900">
        <v>895</v>
      </c>
      <c r="F900">
        <v>100</v>
      </c>
      <c r="G900">
        <f t="shared" ca="1" si="886"/>
        <v>97.253855075955613</v>
      </c>
      <c r="H900">
        <f t="shared" ca="1" si="886"/>
        <v>97.00509312187863</v>
      </c>
      <c r="I900">
        <f t="shared" ca="1" si="886"/>
        <v>99.243593814365653</v>
      </c>
      <c r="J900">
        <f t="shared" ca="1" si="886"/>
        <v>97.613140511101776</v>
      </c>
      <c r="K900">
        <f t="shared" ref="K900:P900" ca="1" si="951">J900*EXP(($C$4-0.5*$C$5^2)*$C$10+$C$5*SQRT($C$10)*NORMINV(RAND(),0,1))</f>
        <v>104.62371712575782</v>
      </c>
      <c r="L900">
        <f t="shared" ca="1" si="951"/>
        <v>95.29829843822894</v>
      </c>
      <c r="M900">
        <f t="shared" ca="1" si="951"/>
        <v>93.578650221255302</v>
      </c>
      <c r="N900">
        <f t="shared" ca="1" si="951"/>
        <v>90.376658004700232</v>
      </c>
      <c r="O900">
        <f t="shared" ca="1" si="951"/>
        <v>84.358982863593823</v>
      </c>
      <c r="P900">
        <f t="shared" ca="1" si="951"/>
        <v>88.057832026903682</v>
      </c>
      <c r="Q900">
        <f t="shared" ca="1" si="888"/>
        <v>95.219074654885603</v>
      </c>
      <c r="R900">
        <f t="shared" ca="1" si="889"/>
        <v>0</v>
      </c>
      <c r="S900">
        <f t="shared" ca="1" si="890"/>
        <v>0</v>
      </c>
    </row>
    <row r="901" spans="5:19" x14ac:dyDescent="0.75">
      <c r="E901">
        <v>896</v>
      </c>
      <c r="F901">
        <v>100</v>
      </c>
      <c r="G901">
        <f t="shared" ca="1" si="886"/>
        <v>100.14985913780295</v>
      </c>
      <c r="H901">
        <f t="shared" ca="1" si="886"/>
        <v>107.61638315457739</v>
      </c>
      <c r="I901">
        <f t="shared" ca="1" si="886"/>
        <v>105.36694923022597</v>
      </c>
      <c r="J901">
        <f t="shared" ca="1" si="886"/>
        <v>112.06755697233683</v>
      </c>
      <c r="K901">
        <f t="shared" ref="K901:P901" ca="1" si="952">J901*EXP(($C$4-0.5*$C$5^2)*$C$10+$C$5*SQRT($C$10)*NORMINV(RAND(),0,1))</f>
        <v>119.19085349198583</v>
      </c>
      <c r="L901">
        <f t="shared" ca="1" si="952"/>
        <v>112.82190766821985</v>
      </c>
      <c r="M901">
        <f t="shared" ca="1" si="952"/>
        <v>118.31849594283376</v>
      </c>
      <c r="N901">
        <f t="shared" ca="1" si="952"/>
        <v>125.81297554712009</v>
      </c>
      <c r="O901">
        <f t="shared" ca="1" si="952"/>
        <v>127.98063425012599</v>
      </c>
      <c r="P901">
        <f t="shared" ca="1" si="952"/>
        <v>116.74615369701884</v>
      </c>
      <c r="Q901">
        <f t="shared" ca="1" si="888"/>
        <v>113.27925173565887</v>
      </c>
      <c r="R901">
        <f t="shared" ca="1" si="889"/>
        <v>13.279251735658875</v>
      </c>
      <c r="S901">
        <f t="shared" ca="1" si="890"/>
        <v>13.016304933799256</v>
      </c>
    </row>
    <row r="902" spans="5:19" x14ac:dyDescent="0.75">
      <c r="E902">
        <v>897</v>
      </c>
      <c r="F902">
        <v>100</v>
      </c>
      <c r="G902">
        <f t="shared" ca="1" si="886"/>
        <v>93.412938255349374</v>
      </c>
      <c r="H902">
        <f t="shared" ca="1" si="886"/>
        <v>94.117198107663711</v>
      </c>
      <c r="I902">
        <f t="shared" ca="1" si="886"/>
        <v>88.864341026120954</v>
      </c>
      <c r="J902">
        <f t="shared" ref="J902:P902" ca="1" si="953">I902*EXP(($C$4-0.5*$C$5^2)*$C$10+$C$5*SQRT($C$10)*NORMINV(RAND(),0,1))</f>
        <v>94.032838240131881</v>
      </c>
      <c r="K902">
        <f t="shared" ca="1" si="953"/>
        <v>96.154355094886654</v>
      </c>
      <c r="L902">
        <f t="shared" ca="1" si="953"/>
        <v>94.932224356856494</v>
      </c>
      <c r="M902">
        <f t="shared" ca="1" si="953"/>
        <v>88.753384220550416</v>
      </c>
      <c r="N902">
        <f t="shared" ca="1" si="953"/>
        <v>80.163756638692774</v>
      </c>
      <c r="O902">
        <f t="shared" ca="1" si="953"/>
        <v>76.033821029765534</v>
      </c>
      <c r="P902">
        <f t="shared" ca="1" si="953"/>
        <v>73.894595139075889</v>
      </c>
      <c r="Q902">
        <f t="shared" ca="1" si="888"/>
        <v>89.123586555372157</v>
      </c>
      <c r="R902">
        <f t="shared" ca="1" si="889"/>
        <v>0</v>
      </c>
      <c r="S902">
        <f t="shared" ca="1" si="890"/>
        <v>0</v>
      </c>
    </row>
    <row r="903" spans="5:19" x14ac:dyDescent="0.75">
      <c r="E903">
        <v>898</v>
      </c>
      <c r="F903">
        <v>100</v>
      </c>
      <c r="G903">
        <f t="shared" ref="G903:J966" ca="1" si="954">F903*EXP(($C$4-0.5*$C$5^2)*$C$10+$C$5*SQRT($C$10)*NORMINV(RAND(),0,1))</f>
        <v>102.56810498594329</v>
      </c>
      <c r="H903">
        <f t="shared" ca="1" si="954"/>
        <v>106.16011626950207</v>
      </c>
      <c r="I903">
        <f t="shared" ca="1" si="954"/>
        <v>103.7277861245809</v>
      </c>
      <c r="J903">
        <f t="shared" ca="1" si="954"/>
        <v>112.62443740277153</v>
      </c>
      <c r="K903">
        <f t="shared" ref="K903:P903" ca="1" si="955">J903*EXP(($C$4-0.5*$C$5^2)*$C$10+$C$5*SQRT($C$10)*NORMINV(RAND(),0,1))</f>
        <v>116.45803563755814</v>
      </c>
      <c r="L903">
        <f t="shared" ca="1" si="955"/>
        <v>122.15205242125573</v>
      </c>
      <c r="M903">
        <f t="shared" ca="1" si="955"/>
        <v>124.84196898250154</v>
      </c>
      <c r="N903">
        <f t="shared" ca="1" si="955"/>
        <v>121.60976917274628</v>
      </c>
      <c r="O903">
        <f t="shared" ca="1" si="955"/>
        <v>134.44879275294502</v>
      </c>
      <c r="P903">
        <f t="shared" ca="1" si="955"/>
        <v>132.10196997066842</v>
      </c>
      <c r="Q903">
        <f t="shared" ref="Q903:Q966" ca="1" si="956">AVERAGE(F903:P903)</f>
        <v>116.06300306549755</v>
      </c>
      <c r="R903">
        <f t="shared" ref="R903:R966" ca="1" si="957">MAX(Q903-$C$7,0)</f>
        <v>16.063003065497554</v>
      </c>
      <c r="S903">
        <f t="shared" ref="S903:S966" ca="1" si="958">EXP(-$C$4*$C$6)*R903</f>
        <v>15.744934294123045</v>
      </c>
    </row>
    <row r="904" spans="5:19" x14ac:dyDescent="0.75">
      <c r="E904">
        <v>899</v>
      </c>
      <c r="F904">
        <v>100</v>
      </c>
      <c r="G904">
        <f t="shared" ca="1" si="954"/>
        <v>92.827042357438188</v>
      </c>
      <c r="H904">
        <f t="shared" ca="1" si="954"/>
        <v>91.950312518777821</v>
      </c>
      <c r="I904">
        <f t="shared" ca="1" si="954"/>
        <v>93.716058894861177</v>
      </c>
      <c r="J904">
        <f t="shared" ca="1" si="954"/>
        <v>94.464012010320445</v>
      </c>
      <c r="K904">
        <f t="shared" ref="K904:P904" ca="1" si="959">J904*EXP(($C$4-0.5*$C$5^2)*$C$10+$C$5*SQRT($C$10)*NORMINV(RAND(),0,1))</f>
        <v>80.984339823168867</v>
      </c>
      <c r="L904">
        <f t="shared" ca="1" si="959"/>
        <v>83.537812719089885</v>
      </c>
      <c r="M904">
        <f t="shared" ca="1" si="959"/>
        <v>88.578326526166734</v>
      </c>
      <c r="N904">
        <f t="shared" ca="1" si="959"/>
        <v>85.375315685551527</v>
      </c>
      <c r="O904">
        <f t="shared" ca="1" si="959"/>
        <v>83.787294537560626</v>
      </c>
      <c r="P904">
        <f t="shared" ca="1" si="959"/>
        <v>77.684333317523254</v>
      </c>
      <c r="Q904">
        <f t="shared" ca="1" si="956"/>
        <v>88.445895308223513</v>
      </c>
      <c r="R904">
        <f t="shared" ca="1" si="957"/>
        <v>0</v>
      </c>
      <c r="S904">
        <f t="shared" ca="1" si="958"/>
        <v>0</v>
      </c>
    </row>
    <row r="905" spans="5:19" x14ac:dyDescent="0.75">
      <c r="E905">
        <v>900</v>
      </c>
      <c r="F905">
        <v>100</v>
      </c>
      <c r="G905">
        <f t="shared" ca="1" si="954"/>
        <v>98.224103841894433</v>
      </c>
      <c r="H905">
        <f t="shared" ca="1" si="954"/>
        <v>91.670356770287299</v>
      </c>
      <c r="I905">
        <f t="shared" ca="1" si="954"/>
        <v>92.417489605424834</v>
      </c>
      <c r="J905">
        <f t="shared" ca="1" si="954"/>
        <v>83.115692612677151</v>
      </c>
      <c r="K905">
        <f t="shared" ref="K905:P905" ca="1" si="960">J905*EXP(($C$4-0.5*$C$5^2)*$C$10+$C$5*SQRT($C$10)*NORMINV(RAND(),0,1))</f>
        <v>84.938933964628561</v>
      </c>
      <c r="L905">
        <f t="shared" ca="1" si="960"/>
        <v>84.442310721192115</v>
      </c>
      <c r="M905">
        <f t="shared" ca="1" si="960"/>
        <v>95.475031470109826</v>
      </c>
      <c r="N905">
        <f t="shared" ca="1" si="960"/>
        <v>88.221456229084836</v>
      </c>
      <c r="O905">
        <f t="shared" ca="1" si="960"/>
        <v>89.306396277916377</v>
      </c>
      <c r="P905">
        <f t="shared" ca="1" si="960"/>
        <v>98.207687581868313</v>
      </c>
      <c r="Q905">
        <f t="shared" ca="1" si="956"/>
        <v>91.45631446137125</v>
      </c>
      <c r="R905">
        <f t="shared" ca="1" si="957"/>
        <v>0</v>
      </c>
      <c r="S905">
        <f t="shared" ca="1" si="958"/>
        <v>0</v>
      </c>
    </row>
    <row r="906" spans="5:19" x14ac:dyDescent="0.75">
      <c r="E906">
        <v>901</v>
      </c>
      <c r="F906">
        <v>100</v>
      </c>
      <c r="G906">
        <f t="shared" ca="1" si="954"/>
        <v>109.58210473287042</v>
      </c>
      <c r="H906">
        <f t="shared" ca="1" si="954"/>
        <v>111.58205804229898</v>
      </c>
      <c r="I906">
        <f t="shared" ca="1" si="954"/>
        <v>112.46733643403499</v>
      </c>
      <c r="J906">
        <f t="shared" ca="1" si="954"/>
        <v>107.08428725419776</v>
      </c>
      <c r="K906">
        <f t="shared" ref="K906:P906" ca="1" si="961">J906*EXP(($C$4-0.5*$C$5^2)*$C$10+$C$5*SQRT($C$10)*NORMINV(RAND(),0,1))</f>
        <v>111.31660627888606</v>
      </c>
      <c r="L906">
        <f t="shared" ca="1" si="961"/>
        <v>116.04837176827866</v>
      </c>
      <c r="M906">
        <f t="shared" ca="1" si="961"/>
        <v>110.88663392605463</v>
      </c>
      <c r="N906">
        <f t="shared" ca="1" si="961"/>
        <v>114.3757465767563</v>
      </c>
      <c r="O906">
        <f t="shared" ca="1" si="961"/>
        <v>104.65467997584516</v>
      </c>
      <c r="P906">
        <f t="shared" ca="1" si="961"/>
        <v>96.006171429215556</v>
      </c>
      <c r="Q906">
        <f t="shared" ca="1" si="956"/>
        <v>108.54581785622169</v>
      </c>
      <c r="R906">
        <f t="shared" ca="1" si="957"/>
        <v>8.5458178562216887</v>
      </c>
      <c r="S906">
        <f t="shared" ca="1" si="958"/>
        <v>8.3765993249896784</v>
      </c>
    </row>
    <row r="907" spans="5:19" x14ac:dyDescent="0.75">
      <c r="E907">
        <v>902</v>
      </c>
      <c r="F907">
        <v>100</v>
      </c>
      <c r="G907">
        <f t="shared" ca="1" si="954"/>
        <v>107.12877318210462</v>
      </c>
      <c r="H907">
        <f t="shared" ca="1" si="954"/>
        <v>102.16991718695409</v>
      </c>
      <c r="I907">
        <f t="shared" ca="1" si="954"/>
        <v>110.37443281032219</v>
      </c>
      <c r="J907">
        <f t="shared" ca="1" si="954"/>
        <v>108.00178805244396</v>
      </c>
      <c r="K907">
        <f t="shared" ref="K907:P907" ca="1" si="962">J907*EXP(($C$4-0.5*$C$5^2)*$C$10+$C$5*SQRT($C$10)*NORMINV(RAND(),0,1))</f>
        <v>97.352917115159642</v>
      </c>
      <c r="L907">
        <f t="shared" ca="1" si="962"/>
        <v>103.04681272361981</v>
      </c>
      <c r="M907">
        <f t="shared" ca="1" si="962"/>
        <v>106.70755545826312</v>
      </c>
      <c r="N907">
        <f t="shared" ca="1" si="962"/>
        <v>104.51863741044535</v>
      </c>
      <c r="O907">
        <f t="shared" ca="1" si="962"/>
        <v>95.718035106187969</v>
      </c>
      <c r="P907">
        <f t="shared" ca="1" si="962"/>
        <v>94.42195733008316</v>
      </c>
      <c r="Q907">
        <f t="shared" ca="1" si="956"/>
        <v>102.6764387614167</v>
      </c>
      <c r="R907">
        <f t="shared" ca="1" si="957"/>
        <v>2.6764387614167049</v>
      </c>
      <c r="S907">
        <f t="shared" ca="1" si="958"/>
        <v>2.6234417231274292</v>
      </c>
    </row>
    <row r="908" spans="5:19" x14ac:dyDescent="0.75">
      <c r="E908">
        <v>903</v>
      </c>
      <c r="F908">
        <v>100</v>
      </c>
      <c r="G908">
        <f t="shared" ca="1" si="954"/>
        <v>94.167415980308562</v>
      </c>
      <c r="H908">
        <f t="shared" ca="1" si="954"/>
        <v>86.448477684001716</v>
      </c>
      <c r="I908">
        <f t="shared" ca="1" si="954"/>
        <v>91.016940708675918</v>
      </c>
      <c r="J908">
        <f t="shared" ca="1" si="954"/>
        <v>87.495249088036758</v>
      </c>
      <c r="K908">
        <f t="shared" ref="K908:P908" ca="1" si="963">J908*EXP(($C$4-0.5*$C$5^2)*$C$10+$C$5*SQRT($C$10)*NORMINV(RAND(),0,1))</f>
        <v>89.544571802763755</v>
      </c>
      <c r="L908">
        <f t="shared" ca="1" si="963"/>
        <v>92.210807261207719</v>
      </c>
      <c r="M908">
        <f t="shared" ca="1" si="963"/>
        <v>95.828811156400548</v>
      </c>
      <c r="N908">
        <f t="shared" ca="1" si="963"/>
        <v>94.925542994912206</v>
      </c>
      <c r="O908">
        <f t="shared" ca="1" si="963"/>
        <v>93.368936678667907</v>
      </c>
      <c r="P908">
        <f t="shared" ca="1" si="963"/>
        <v>107.10910350327528</v>
      </c>
      <c r="Q908">
        <f t="shared" ca="1" si="956"/>
        <v>93.82871425984095</v>
      </c>
      <c r="R908">
        <f t="shared" ca="1" si="957"/>
        <v>0</v>
      </c>
      <c r="S908">
        <f t="shared" ca="1" si="958"/>
        <v>0</v>
      </c>
    </row>
    <row r="909" spans="5:19" x14ac:dyDescent="0.75">
      <c r="E909">
        <v>904</v>
      </c>
      <c r="F909">
        <v>100</v>
      </c>
      <c r="G909">
        <f t="shared" ca="1" si="954"/>
        <v>102.66171112773262</v>
      </c>
      <c r="H909">
        <f t="shared" ca="1" si="954"/>
        <v>122.4931489734134</v>
      </c>
      <c r="I909">
        <f t="shared" ca="1" si="954"/>
        <v>123.72334400497914</v>
      </c>
      <c r="J909">
        <f t="shared" ca="1" si="954"/>
        <v>116.99710043865733</v>
      </c>
      <c r="K909">
        <f t="shared" ref="K909:P909" ca="1" si="964">J909*EXP(($C$4-0.5*$C$5^2)*$C$10+$C$5*SQRT($C$10)*NORMINV(RAND(),0,1))</f>
        <v>127.82939166759462</v>
      </c>
      <c r="L909">
        <f t="shared" ca="1" si="964"/>
        <v>120.01577154259657</v>
      </c>
      <c r="M909">
        <f t="shared" ca="1" si="964"/>
        <v>106.86466237919461</v>
      </c>
      <c r="N909">
        <f t="shared" ca="1" si="964"/>
        <v>90.338043846987631</v>
      </c>
      <c r="O909">
        <f t="shared" ca="1" si="964"/>
        <v>89.732566210050919</v>
      </c>
      <c r="P909">
        <f t="shared" ca="1" si="964"/>
        <v>81.925199733210064</v>
      </c>
      <c r="Q909">
        <f t="shared" ca="1" si="956"/>
        <v>107.50735817494697</v>
      </c>
      <c r="R909">
        <f t="shared" ca="1" si="957"/>
        <v>7.5073581749469724</v>
      </c>
      <c r="S909">
        <f t="shared" ca="1" si="958"/>
        <v>7.3587025231216456</v>
      </c>
    </row>
    <row r="910" spans="5:19" x14ac:dyDescent="0.75">
      <c r="E910">
        <v>905</v>
      </c>
      <c r="F910">
        <v>100</v>
      </c>
      <c r="G910">
        <f t="shared" ca="1" si="954"/>
        <v>111.38268562901017</v>
      </c>
      <c r="H910">
        <f t="shared" ca="1" si="954"/>
        <v>120.61334347153513</v>
      </c>
      <c r="I910">
        <f t="shared" ca="1" si="954"/>
        <v>121.21150690418648</v>
      </c>
      <c r="J910">
        <f t="shared" ca="1" si="954"/>
        <v>135.86475622785608</v>
      </c>
      <c r="K910">
        <f t="shared" ref="K910:P910" ca="1" si="965">J910*EXP(($C$4-0.5*$C$5^2)*$C$10+$C$5*SQRT($C$10)*NORMINV(RAND(),0,1))</f>
        <v>131.5018125015491</v>
      </c>
      <c r="L910">
        <f t="shared" ca="1" si="965"/>
        <v>135.2885353559665</v>
      </c>
      <c r="M910">
        <f t="shared" ca="1" si="965"/>
        <v>128.88851272133337</v>
      </c>
      <c r="N910">
        <f t="shared" ca="1" si="965"/>
        <v>114.3162179764883</v>
      </c>
      <c r="O910">
        <f t="shared" ca="1" si="965"/>
        <v>105.3258290754611</v>
      </c>
      <c r="P910">
        <f t="shared" ca="1" si="965"/>
        <v>94.617466218042821</v>
      </c>
      <c r="Q910">
        <f t="shared" ca="1" si="956"/>
        <v>118.09187873467539</v>
      </c>
      <c r="R910">
        <f t="shared" ca="1" si="957"/>
        <v>18.09187873467539</v>
      </c>
      <c r="S910">
        <f t="shared" ca="1" si="958"/>
        <v>17.733635533355514</v>
      </c>
    </row>
    <row r="911" spans="5:19" x14ac:dyDescent="0.75">
      <c r="E911">
        <v>906</v>
      </c>
      <c r="F911">
        <v>100</v>
      </c>
      <c r="G911">
        <f t="shared" ca="1" si="954"/>
        <v>103.64373146838972</v>
      </c>
      <c r="H911">
        <f t="shared" ca="1" si="954"/>
        <v>109.86985813841181</v>
      </c>
      <c r="I911">
        <f t="shared" ca="1" si="954"/>
        <v>110.10393225742418</v>
      </c>
      <c r="J911">
        <f t="shared" ca="1" si="954"/>
        <v>107.32885081548019</v>
      </c>
      <c r="K911">
        <f t="shared" ref="K911:P911" ca="1" si="966">J911*EXP(($C$4-0.5*$C$5^2)*$C$10+$C$5*SQRT($C$10)*NORMINV(RAND(),0,1))</f>
        <v>110.64698150871901</v>
      </c>
      <c r="L911">
        <f t="shared" ca="1" si="966"/>
        <v>111.94511655829284</v>
      </c>
      <c r="M911">
        <f t="shared" ca="1" si="966"/>
        <v>120.14658330459289</v>
      </c>
      <c r="N911">
        <f t="shared" ca="1" si="966"/>
        <v>123.87343956920508</v>
      </c>
      <c r="O911">
        <f t="shared" ca="1" si="966"/>
        <v>128.55810500702447</v>
      </c>
      <c r="P911">
        <f t="shared" ca="1" si="966"/>
        <v>116.59083676273677</v>
      </c>
      <c r="Q911">
        <f t="shared" ca="1" si="956"/>
        <v>112.9734032172979</v>
      </c>
      <c r="R911">
        <f t="shared" ca="1" si="957"/>
        <v>12.9734032172979</v>
      </c>
      <c r="S911">
        <f t="shared" ca="1" si="958"/>
        <v>12.716512621868992</v>
      </c>
    </row>
    <row r="912" spans="5:19" x14ac:dyDescent="0.75">
      <c r="E912">
        <v>907</v>
      </c>
      <c r="F912">
        <v>100</v>
      </c>
      <c r="G912">
        <f t="shared" ca="1" si="954"/>
        <v>94.853821971604532</v>
      </c>
      <c r="H912">
        <f t="shared" ca="1" si="954"/>
        <v>91.981199319848173</v>
      </c>
      <c r="I912">
        <f t="shared" ca="1" si="954"/>
        <v>91.719633568065305</v>
      </c>
      <c r="J912">
        <f t="shared" ca="1" si="954"/>
        <v>86.177873357867341</v>
      </c>
      <c r="K912">
        <f t="shared" ref="K912:P912" ca="1" si="967">J912*EXP(($C$4-0.5*$C$5^2)*$C$10+$C$5*SQRT($C$10)*NORMINV(RAND(),0,1))</f>
        <v>83.411624796317469</v>
      </c>
      <c r="L912">
        <f t="shared" ca="1" si="967"/>
        <v>93.659195942181256</v>
      </c>
      <c r="M912">
        <f t="shared" ca="1" si="967"/>
        <v>96.719099056198303</v>
      </c>
      <c r="N912">
        <f t="shared" ca="1" si="967"/>
        <v>92.765566142155393</v>
      </c>
      <c r="O912">
        <f t="shared" ca="1" si="967"/>
        <v>85.321114511389837</v>
      </c>
      <c r="P912">
        <f t="shared" ca="1" si="967"/>
        <v>88.156717573697776</v>
      </c>
      <c r="Q912">
        <f t="shared" ca="1" si="956"/>
        <v>91.342349658120483</v>
      </c>
      <c r="R912">
        <f t="shared" ca="1" si="957"/>
        <v>0</v>
      </c>
      <c r="S912">
        <f t="shared" ca="1" si="958"/>
        <v>0</v>
      </c>
    </row>
    <row r="913" spans="5:19" x14ac:dyDescent="0.75">
      <c r="E913">
        <v>908</v>
      </c>
      <c r="F913">
        <v>100</v>
      </c>
      <c r="G913">
        <f t="shared" ca="1" si="954"/>
        <v>109.71446529402994</v>
      </c>
      <c r="H913">
        <f t="shared" ca="1" si="954"/>
        <v>110.77654847058028</v>
      </c>
      <c r="I913">
        <f t="shared" ca="1" si="954"/>
        <v>113.24213631812763</v>
      </c>
      <c r="J913">
        <f t="shared" ca="1" si="954"/>
        <v>108.50028829995451</v>
      </c>
      <c r="K913">
        <f t="shared" ref="K913:P913" ca="1" si="968">J913*EXP(($C$4-0.5*$C$5^2)*$C$10+$C$5*SQRT($C$10)*NORMINV(RAND(),0,1))</f>
        <v>107.57600215265721</v>
      </c>
      <c r="L913">
        <f t="shared" ca="1" si="968"/>
        <v>115.38954164787422</v>
      </c>
      <c r="M913">
        <f t="shared" ca="1" si="968"/>
        <v>114.48710150608754</v>
      </c>
      <c r="N913">
        <f t="shared" ca="1" si="968"/>
        <v>121.76902716867467</v>
      </c>
      <c r="O913">
        <f t="shared" ca="1" si="968"/>
        <v>121.217012043929</v>
      </c>
      <c r="P913">
        <f t="shared" ca="1" si="968"/>
        <v>119.82515170623952</v>
      </c>
      <c r="Q913">
        <f t="shared" ca="1" si="956"/>
        <v>112.95429769165042</v>
      </c>
      <c r="R913">
        <f t="shared" ca="1" si="957"/>
        <v>12.954297691650424</v>
      </c>
      <c r="S913">
        <f t="shared" ca="1" si="958"/>
        <v>12.697785410976508</v>
      </c>
    </row>
    <row r="914" spans="5:19" x14ac:dyDescent="0.75">
      <c r="E914">
        <v>909</v>
      </c>
      <c r="F914">
        <v>100</v>
      </c>
      <c r="G914">
        <f t="shared" ca="1" si="954"/>
        <v>103.69769816052209</v>
      </c>
      <c r="H914">
        <f t="shared" ca="1" si="954"/>
        <v>104.85487141397827</v>
      </c>
      <c r="I914">
        <f t="shared" ca="1" si="954"/>
        <v>102.78678002888189</v>
      </c>
      <c r="J914">
        <f t="shared" ca="1" si="954"/>
        <v>97.244890899833322</v>
      </c>
      <c r="K914">
        <f t="shared" ref="K914:P914" ca="1" si="969">J914*EXP(($C$4-0.5*$C$5^2)*$C$10+$C$5*SQRT($C$10)*NORMINV(RAND(),0,1))</f>
        <v>92.876919429893192</v>
      </c>
      <c r="L914">
        <f t="shared" ca="1" si="969"/>
        <v>93.862249128484862</v>
      </c>
      <c r="M914">
        <f t="shared" ca="1" si="969"/>
        <v>98.155912553634323</v>
      </c>
      <c r="N914">
        <f t="shared" ca="1" si="969"/>
        <v>90.8197271639836</v>
      </c>
      <c r="O914">
        <f t="shared" ca="1" si="969"/>
        <v>89.625282343940626</v>
      </c>
      <c r="P914">
        <f t="shared" ca="1" si="969"/>
        <v>80.513292233851601</v>
      </c>
      <c r="Q914">
        <f t="shared" ca="1" si="956"/>
        <v>95.85796575972762</v>
      </c>
      <c r="R914">
        <f t="shared" ca="1" si="957"/>
        <v>0</v>
      </c>
      <c r="S914">
        <f t="shared" ca="1" si="958"/>
        <v>0</v>
      </c>
    </row>
    <row r="915" spans="5:19" x14ac:dyDescent="0.75">
      <c r="E915">
        <v>910</v>
      </c>
      <c r="F915">
        <v>100</v>
      </c>
      <c r="G915">
        <f t="shared" ca="1" si="954"/>
        <v>98.260428157571397</v>
      </c>
      <c r="H915">
        <f t="shared" ca="1" si="954"/>
        <v>91.282423841088175</v>
      </c>
      <c r="I915">
        <f t="shared" ca="1" si="954"/>
        <v>91.784609341258019</v>
      </c>
      <c r="J915">
        <f t="shared" ca="1" si="954"/>
        <v>100.50742823233307</v>
      </c>
      <c r="K915">
        <f t="shared" ref="K915:P915" ca="1" si="970">J915*EXP(($C$4-0.5*$C$5^2)*$C$10+$C$5*SQRT($C$10)*NORMINV(RAND(),0,1))</f>
        <v>101.62504925698845</v>
      </c>
      <c r="L915">
        <f t="shared" ca="1" si="970"/>
        <v>103.22529475909758</v>
      </c>
      <c r="M915">
        <f t="shared" ca="1" si="970"/>
        <v>121.88406355461963</v>
      </c>
      <c r="N915">
        <f t="shared" ca="1" si="970"/>
        <v>122.48512811746512</v>
      </c>
      <c r="O915">
        <f t="shared" ca="1" si="970"/>
        <v>118.59681359800811</v>
      </c>
      <c r="P915">
        <f t="shared" ca="1" si="970"/>
        <v>117.73205623446555</v>
      </c>
      <c r="Q915">
        <f t="shared" ca="1" si="956"/>
        <v>106.12575409935408</v>
      </c>
      <c r="R915">
        <f t="shared" ca="1" si="957"/>
        <v>6.1257540993540829</v>
      </c>
      <c r="S915">
        <f t="shared" ca="1" si="958"/>
        <v>6.0044560411902896</v>
      </c>
    </row>
    <row r="916" spans="5:19" x14ac:dyDescent="0.75">
      <c r="E916">
        <v>911</v>
      </c>
      <c r="F916">
        <v>100</v>
      </c>
      <c r="G916">
        <f t="shared" ca="1" si="954"/>
        <v>110.40811503047765</v>
      </c>
      <c r="H916">
        <f t="shared" ca="1" si="954"/>
        <v>105.77284127015596</v>
      </c>
      <c r="I916">
        <f t="shared" ca="1" si="954"/>
        <v>116.44055457584093</v>
      </c>
      <c r="J916">
        <f t="shared" ca="1" si="954"/>
        <v>116.6114104366936</v>
      </c>
      <c r="K916">
        <f t="shared" ref="K916:P916" ca="1" si="971">J916*EXP(($C$4-0.5*$C$5^2)*$C$10+$C$5*SQRT($C$10)*NORMINV(RAND(),0,1))</f>
        <v>117.47029656347954</v>
      </c>
      <c r="L916">
        <f t="shared" ca="1" si="971"/>
        <v>130.42016290172003</v>
      </c>
      <c r="M916">
        <f t="shared" ca="1" si="971"/>
        <v>136.23803835502881</v>
      </c>
      <c r="N916">
        <f t="shared" ca="1" si="971"/>
        <v>130.43678807171563</v>
      </c>
      <c r="O916">
        <f t="shared" ca="1" si="971"/>
        <v>130.28904494269946</v>
      </c>
      <c r="P916">
        <f t="shared" ca="1" si="971"/>
        <v>126.65292547000151</v>
      </c>
      <c r="Q916">
        <f t="shared" ca="1" si="956"/>
        <v>120.06728887434666</v>
      </c>
      <c r="R916">
        <f t="shared" ca="1" si="957"/>
        <v>20.067288874346659</v>
      </c>
      <c r="S916">
        <f t="shared" ca="1" si="958"/>
        <v>19.669929931498004</v>
      </c>
    </row>
    <row r="917" spans="5:19" x14ac:dyDescent="0.75">
      <c r="E917">
        <v>912</v>
      </c>
      <c r="F917">
        <v>100</v>
      </c>
      <c r="G917">
        <f t="shared" ca="1" si="954"/>
        <v>100.04281951876379</v>
      </c>
      <c r="H917">
        <f t="shared" ca="1" si="954"/>
        <v>95.793234999354624</v>
      </c>
      <c r="I917">
        <f t="shared" ca="1" si="954"/>
        <v>99.705318215251623</v>
      </c>
      <c r="J917">
        <f t="shared" ca="1" si="954"/>
        <v>92.782898496615672</v>
      </c>
      <c r="K917">
        <f t="shared" ref="K917:P917" ca="1" si="972">J917*EXP(($C$4-0.5*$C$5^2)*$C$10+$C$5*SQRT($C$10)*NORMINV(RAND(),0,1))</f>
        <v>98.870116430664183</v>
      </c>
      <c r="L917">
        <f t="shared" ca="1" si="972"/>
        <v>92.253466658413814</v>
      </c>
      <c r="M917">
        <f t="shared" ca="1" si="972"/>
        <v>91.021128598364683</v>
      </c>
      <c r="N917">
        <f t="shared" ca="1" si="972"/>
        <v>85.962842409812609</v>
      </c>
      <c r="O917">
        <f t="shared" ca="1" si="972"/>
        <v>73.932040078727127</v>
      </c>
      <c r="P917">
        <f t="shared" ca="1" si="972"/>
        <v>72.979309001385346</v>
      </c>
      <c r="Q917">
        <f t="shared" ca="1" si="956"/>
        <v>91.213015855213953</v>
      </c>
      <c r="R917">
        <f t="shared" ca="1" si="957"/>
        <v>0</v>
      </c>
      <c r="S917">
        <f t="shared" ca="1" si="958"/>
        <v>0</v>
      </c>
    </row>
    <row r="918" spans="5:19" x14ac:dyDescent="0.75">
      <c r="E918">
        <v>913</v>
      </c>
      <c r="F918">
        <v>100</v>
      </c>
      <c r="G918">
        <f t="shared" ca="1" si="954"/>
        <v>102.86329534206331</v>
      </c>
      <c r="H918">
        <f t="shared" ca="1" si="954"/>
        <v>97.240780495762735</v>
      </c>
      <c r="I918">
        <f t="shared" ca="1" si="954"/>
        <v>99.279292858918552</v>
      </c>
      <c r="J918">
        <f t="shared" ca="1" si="954"/>
        <v>97.339051406378431</v>
      </c>
      <c r="K918">
        <f t="shared" ref="K918:P918" ca="1" si="973">J918*EXP(($C$4-0.5*$C$5^2)*$C$10+$C$5*SQRT($C$10)*NORMINV(RAND(),0,1))</f>
        <v>101.41646110681134</v>
      </c>
      <c r="L918">
        <f t="shared" ca="1" si="973"/>
        <v>89.837369033950793</v>
      </c>
      <c r="M918">
        <f t="shared" ca="1" si="973"/>
        <v>89.827847516700331</v>
      </c>
      <c r="N918">
        <f t="shared" ca="1" si="973"/>
        <v>86.534710097542828</v>
      </c>
      <c r="O918">
        <f t="shared" ca="1" si="973"/>
        <v>88.476263587359028</v>
      </c>
      <c r="P918">
        <f t="shared" ca="1" si="973"/>
        <v>86.206459425231301</v>
      </c>
      <c r="Q918">
        <f t="shared" ca="1" si="956"/>
        <v>94.456502806428958</v>
      </c>
      <c r="R918">
        <f t="shared" ca="1" si="957"/>
        <v>0</v>
      </c>
      <c r="S918">
        <f t="shared" ca="1" si="958"/>
        <v>0</v>
      </c>
    </row>
    <row r="919" spans="5:19" x14ac:dyDescent="0.75">
      <c r="E919">
        <v>914</v>
      </c>
      <c r="F919">
        <v>100</v>
      </c>
      <c r="G919">
        <f t="shared" ca="1" si="954"/>
        <v>95.12069937536603</v>
      </c>
      <c r="H919">
        <f t="shared" ca="1" si="954"/>
        <v>110.69664584341082</v>
      </c>
      <c r="I919">
        <f t="shared" ca="1" si="954"/>
        <v>111.64034736495501</v>
      </c>
      <c r="J919">
        <f t="shared" ca="1" si="954"/>
        <v>112.55426043943201</v>
      </c>
      <c r="K919">
        <f t="shared" ref="K919:P919" ca="1" si="974">J919*EXP(($C$4-0.5*$C$5^2)*$C$10+$C$5*SQRT($C$10)*NORMINV(RAND(),0,1))</f>
        <v>112.49877725882949</v>
      </c>
      <c r="L919">
        <f t="shared" ca="1" si="974"/>
        <v>123.2370258106575</v>
      </c>
      <c r="M919">
        <f t="shared" ca="1" si="974"/>
        <v>129.53677283144199</v>
      </c>
      <c r="N919">
        <f t="shared" ca="1" si="974"/>
        <v>117.75578967268775</v>
      </c>
      <c r="O919">
        <f t="shared" ca="1" si="974"/>
        <v>116.80214836148279</v>
      </c>
      <c r="P919">
        <f t="shared" ca="1" si="974"/>
        <v>125.42367819705801</v>
      </c>
      <c r="Q919">
        <f t="shared" ca="1" si="956"/>
        <v>114.11510410502923</v>
      </c>
      <c r="R919">
        <f t="shared" ca="1" si="957"/>
        <v>14.115104105029232</v>
      </c>
      <c r="S919">
        <f t="shared" ca="1" si="958"/>
        <v>13.835606317336389</v>
      </c>
    </row>
    <row r="920" spans="5:19" x14ac:dyDescent="0.75">
      <c r="E920">
        <v>915</v>
      </c>
      <c r="F920">
        <v>100</v>
      </c>
      <c r="G920">
        <f t="shared" ca="1" si="954"/>
        <v>104.18048374132316</v>
      </c>
      <c r="H920">
        <f t="shared" ca="1" si="954"/>
        <v>101.59659224291275</v>
      </c>
      <c r="I920">
        <f t="shared" ca="1" si="954"/>
        <v>112.50880506360878</v>
      </c>
      <c r="J920">
        <f t="shared" ca="1" si="954"/>
        <v>102.22754583272433</v>
      </c>
      <c r="K920">
        <f t="shared" ref="K920:P920" ca="1" si="975">J920*EXP(($C$4-0.5*$C$5^2)*$C$10+$C$5*SQRT($C$10)*NORMINV(RAND(),0,1))</f>
        <v>92.130713444612852</v>
      </c>
      <c r="L920">
        <f t="shared" ca="1" si="975"/>
        <v>91.220456844608336</v>
      </c>
      <c r="M920">
        <f t="shared" ca="1" si="975"/>
        <v>86.466418419573344</v>
      </c>
      <c r="N920">
        <f t="shared" ca="1" si="975"/>
        <v>89.132462179869435</v>
      </c>
      <c r="O920">
        <f t="shared" ca="1" si="975"/>
        <v>88.804844768764895</v>
      </c>
      <c r="P920">
        <f t="shared" ca="1" si="975"/>
        <v>84.095466621549406</v>
      </c>
      <c r="Q920">
        <f t="shared" ca="1" si="956"/>
        <v>95.669435378140648</v>
      </c>
      <c r="R920">
        <f t="shared" ca="1" si="957"/>
        <v>0</v>
      </c>
      <c r="S920">
        <f t="shared" ca="1" si="958"/>
        <v>0</v>
      </c>
    </row>
    <row r="921" spans="5:19" x14ac:dyDescent="0.75">
      <c r="E921">
        <v>916</v>
      </c>
      <c r="F921">
        <v>100</v>
      </c>
      <c r="G921">
        <f t="shared" ca="1" si="954"/>
        <v>89.702066066145235</v>
      </c>
      <c r="H921">
        <f t="shared" ca="1" si="954"/>
        <v>92.814387520392089</v>
      </c>
      <c r="I921">
        <f t="shared" ca="1" si="954"/>
        <v>89.206885427918536</v>
      </c>
      <c r="J921">
        <f t="shared" ca="1" si="954"/>
        <v>89.511690693450163</v>
      </c>
      <c r="K921">
        <f t="shared" ref="K921:P921" ca="1" si="976">J921*EXP(($C$4-0.5*$C$5^2)*$C$10+$C$5*SQRT($C$10)*NORMINV(RAND(),0,1))</f>
        <v>91.937802388236037</v>
      </c>
      <c r="L921">
        <f t="shared" ca="1" si="976"/>
        <v>93.673063165690792</v>
      </c>
      <c r="M921">
        <f t="shared" ca="1" si="976"/>
        <v>97.680552555285743</v>
      </c>
      <c r="N921">
        <f t="shared" ca="1" si="976"/>
        <v>92.64154057020481</v>
      </c>
      <c r="O921">
        <f t="shared" ca="1" si="976"/>
        <v>89.623006421407425</v>
      </c>
      <c r="P921">
        <f t="shared" ca="1" si="976"/>
        <v>82.417668124260771</v>
      </c>
      <c r="Q921">
        <f t="shared" ca="1" si="956"/>
        <v>91.746242084817425</v>
      </c>
      <c r="R921">
        <f t="shared" ca="1" si="957"/>
        <v>0</v>
      </c>
      <c r="S921">
        <f t="shared" ca="1" si="958"/>
        <v>0</v>
      </c>
    </row>
    <row r="922" spans="5:19" x14ac:dyDescent="0.75">
      <c r="E922">
        <v>917</v>
      </c>
      <c r="F922">
        <v>100</v>
      </c>
      <c r="G922">
        <f t="shared" ca="1" si="954"/>
        <v>96.354618649814356</v>
      </c>
      <c r="H922">
        <f t="shared" ca="1" si="954"/>
        <v>95.643236482095887</v>
      </c>
      <c r="I922">
        <f t="shared" ca="1" si="954"/>
        <v>97.706327574532111</v>
      </c>
      <c r="J922">
        <f t="shared" ca="1" si="954"/>
        <v>104.66417793222739</v>
      </c>
      <c r="K922">
        <f t="shared" ref="K922:P922" ca="1" si="977">J922*EXP(($C$4-0.5*$C$5^2)*$C$10+$C$5*SQRT($C$10)*NORMINV(RAND(),0,1))</f>
        <v>110.50105768733687</v>
      </c>
      <c r="L922">
        <f t="shared" ca="1" si="977"/>
        <v>103.68365782013656</v>
      </c>
      <c r="M922">
        <f t="shared" ca="1" si="977"/>
        <v>94.347904113381162</v>
      </c>
      <c r="N922">
        <f t="shared" ca="1" si="977"/>
        <v>104.62444547098575</v>
      </c>
      <c r="O922">
        <f t="shared" ca="1" si="977"/>
        <v>103.21104909397006</v>
      </c>
      <c r="P922">
        <f t="shared" ca="1" si="977"/>
        <v>109.1410577802572</v>
      </c>
      <c r="Q922">
        <f t="shared" ca="1" si="956"/>
        <v>101.80704841861247</v>
      </c>
      <c r="R922">
        <f t="shared" ca="1" si="957"/>
        <v>1.8070484186124673</v>
      </c>
      <c r="S922">
        <f t="shared" ca="1" si="958"/>
        <v>1.7712664625250105</v>
      </c>
    </row>
    <row r="923" spans="5:19" x14ac:dyDescent="0.75">
      <c r="E923">
        <v>918</v>
      </c>
      <c r="F923">
        <v>100</v>
      </c>
      <c r="G923">
        <f t="shared" ca="1" si="954"/>
        <v>90.545932376968082</v>
      </c>
      <c r="H923">
        <f t="shared" ca="1" si="954"/>
        <v>90.049658810378617</v>
      </c>
      <c r="I923">
        <f t="shared" ca="1" si="954"/>
        <v>91.724044045357061</v>
      </c>
      <c r="J923">
        <f t="shared" ca="1" si="954"/>
        <v>90.61999388076363</v>
      </c>
      <c r="K923">
        <f t="shared" ref="K923:P923" ca="1" si="978">J923*EXP(($C$4-0.5*$C$5^2)*$C$10+$C$5*SQRT($C$10)*NORMINV(RAND(),0,1))</f>
        <v>81.396422087817797</v>
      </c>
      <c r="L923">
        <f t="shared" ca="1" si="978"/>
        <v>81.904513812338081</v>
      </c>
      <c r="M923">
        <f t="shared" ca="1" si="978"/>
        <v>75.05427381461088</v>
      </c>
      <c r="N923">
        <f t="shared" ca="1" si="978"/>
        <v>81.324220277292937</v>
      </c>
      <c r="O923">
        <f t="shared" ca="1" si="978"/>
        <v>83.699354950834106</v>
      </c>
      <c r="P923">
        <f t="shared" ca="1" si="978"/>
        <v>82.677658548162711</v>
      </c>
      <c r="Q923">
        <f t="shared" ca="1" si="956"/>
        <v>86.272370236774904</v>
      </c>
      <c r="R923">
        <f t="shared" ca="1" si="957"/>
        <v>0</v>
      </c>
      <c r="S923">
        <f t="shared" ca="1" si="958"/>
        <v>0</v>
      </c>
    </row>
    <row r="924" spans="5:19" x14ac:dyDescent="0.75">
      <c r="E924">
        <v>919</v>
      </c>
      <c r="F924">
        <v>100</v>
      </c>
      <c r="G924">
        <f t="shared" ca="1" si="954"/>
        <v>88.16941451163639</v>
      </c>
      <c r="H924">
        <f t="shared" ca="1" si="954"/>
        <v>76.418185270213513</v>
      </c>
      <c r="I924">
        <f t="shared" ca="1" si="954"/>
        <v>86.037442921356003</v>
      </c>
      <c r="J924">
        <f t="shared" ca="1" si="954"/>
        <v>87.3262841230259</v>
      </c>
      <c r="K924">
        <f t="shared" ref="K924:P924" ca="1" si="979">J924*EXP(($C$4-0.5*$C$5^2)*$C$10+$C$5*SQRT($C$10)*NORMINV(RAND(),0,1))</f>
        <v>85.969439803731788</v>
      </c>
      <c r="L924">
        <f t="shared" ca="1" si="979"/>
        <v>84.770213093435714</v>
      </c>
      <c r="M924">
        <f t="shared" ca="1" si="979"/>
        <v>86.842484703680995</v>
      </c>
      <c r="N924">
        <f t="shared" ca="1" si="979"/>
        <v>87.443718354730734</v>
      </c>
      <c r="O924">
        <f t="shared" ca="1" si="979"/>
        <v>83.919421914620571</v>
      </c>
      <c r="P924">
        <f t="shared" ca="1" si="979"/>
        <v>88.107466994999186</v>
      </c>
      <c r="Q924">
        <f t="shared" ca="1" si="956"/>
        <v>86.818551971948253</v>
      </c>
      <c r="R924">
        <f t="shared" ca="1" si="957"/>
        <v>0</v>
      </c>
      <c r="S924">
        <f t="shared" ca="1" si="958"/>
        <v>0</v>
      </c>
    </row>
    <row r="925" spans="5:19" x14ac:dyDescent="0.75">
      <c r="E925">
        <v>920</v>
      </c>
      <c r="F925">
        <v>100</v>
      </c>
      <c r="G925">
        <f t="shared" ca="1" si="954"/>
        <v>100.2111910664895</v>
      </c>
      <c r="H925">
        <f t="shared" ca="1" si="954"/>
        <v>92.026151340972973</v>
      </c>
      <c r="I925">
        <f t="shared" ca="1" si="954"/>
        <v>94.63255540087043</v>
      </c>
      <c r="J925">
        <f t="shared" ca="1" si="954"/>
        <v>98.385930206559536</v>
      </c>
      <c r="K925">
        <f t="shared" ref="K925:P925" ca="1" si="980">J925*EXP(($C$4-0.5*$C$5^2)*$C$10+$C$5*SQRT($C$10)*NORMINV(RAND(),0,1))</f>
        <v>105.6590964806727</v>
      </c>
      <c r="L925">
        <f t="shared" ca="1" si="980"/>
        <v>112.12653461285713</v>
      </c>
      <c r="M925">
        <f t="shared" ca="1" si="980"/>
        <v>101.67972678579972</v>
      </c>
      <c r="N925">
        <f t="shared" ca="1" si="980"/>
        <v>101.92388861909234</v>
      </c>
      <c r="O925">
        <f t="shared" ca="1" si="980"/>
        <v>103.72069693572745</v>
      </c>
      <c r="P925">
        <f t="shared" ca="1" si="980"/>
        <v>94.453208608769145</v>
      </c>
      <c r="Q925">
        <f t="shared" ca="1" si="956"/>
        <v>100.43808909616463</v>
      </c>
      <c r="R925">
        <f t="shared" ca="1" si="957"/>
        <v>0.43808909616463154</v>
      </c>
      <c r="S925">
        <f t="shared" ca="1" si="958"/>
        <v>0.42941435085072738</v>
      </c>
    </row>
    <row r="926" spans="5:19" x14ac:dyDescent="0.75">
      <c r="E926">
        <v>921</v>
      </c>
      <c r="F926">
        <v>100</v>
      </c>
      <c r="G926">
        <f t="shared" ca="1" si="954"/>
        <v>103.12029793787214</v>
      </c>
      <c r="H926">
        <f t="shared" ca="1" si="954"/>
        <v>101.0302179580254</v>
      </c>
      <c r="I926">
        <f t="shared" ca="1" si="954"/>
        <v>93.951076723133895</v>
      </c>
      <c r="J926">
        <f t="shared" ca="1" si="954"/>
        <v>86.812095139073719</v>
      </c>
      <c r="K926">
        <f t="shared" ref="K926:P926" ca="1" si="981">J926*EXP(($C$4-0.5*$C$5^2)*$C$10+$C$5*SQRT($C$10)*NORMINV(RAND(),0,1))</f>
        <v>86.430961754569921</v>
      </c>
      <c r="L926">
        <f t="shared" ca="1" si="981"/>
        <v>91.169752469077309</v>
      </c>
      <c r="M926">
        <f t="shared" ca="1" si="981"/>
        <v>94.606564112418383</v>
      </c>
      <c r="N926">
        <f t="shared" ca="1" si="981"/>
        <v>103.44825070414831</v>
      </c>
      <c r="O926">
        <f t="shared" ca="1" si="981"/>
        <v>94.478839281077384</v>
      </c>
      <c r="P926">
        <f t="shared" ca="1" si="981"/>
        <v>87.589979469427973</v>
      </c>
      <c r="Q926">
        <f t="shared" ca="1" si="956"/>
        <v>94.785275958984045</v>
      </c>
      <c r="R926">
        <f t="shared" ca="1" si="957"/>
        <v>0</v>
      </c>
      <c r="S926">
        <f t="shared" ca="1" si="958"/>
        <v>0</v>
      </c>
    </row>
    <row r="927" spans="5:19" x14ac:dyDescent="0.75">
      <c r="E927">
        <v>922</v>
      </c>
      <c r="F927">
        <v>100</v>
      </c>
      <c r="G927">
        <f t="shared" ca="1" si="954"/>
        <v>98.816303723057942</v>
      </c>
      <c r="H927">
        <f t="shared" ca="1" si="954"/>
        <v>102.29929402625255</v>
      </c>
      <c r="I927">
        <f t="shared" ca="1" si="954"/>
        <v>94.910281371509868</v>
      </c>
      <c r="J927">
        <f t="shared" ca="1" si="954"/>
        <v>100.74098523455379</v>
      </c>
      <c r="K927">
        <f t="shared" ref="K927:P927" ca="1" si="982">J927*EXP(($C$4-0.5*$C$5^2)*$C$10+$C$5*SQRT($C$10)*NORMINV(RAND(),0,1))</f>
        <v>104.80403625879059</v>
      </c>
      <c r="L927">
        <f t="shared" ca="1" si="982"/>
        <v>112.89863151221566</v>
      </c>
      <c r="M927">
        <f t="shared" ca="1" si="982"/>
        <v>112.82371115936947</v>
      </c>
      <c r="N927">
        <f t="shared" ca="1" si="982"/>
        <v>118.25727325395594</v>
      </c>
      <c r="O927">
        <f t="shared" ca="1" si="982"/>
        <v>123.01644714632666</v>
      </c>
      <c r="P927">
        <f t="shared" ca="1" si="982"/>
        <v>135.30160936607405</v>
      </c>
      <c r="Q927">
        <f t="shared" ca="1" si="956"/>
        <v>109.44259755019151</v>
      </c>
      <c r="R927">
        <f t="shared" ca="1" si="957"/>
        <v>9.4425975501915076</v>
      </c>
      <c r="S927">
        <f t="shared" ca="1" si="958"/>
        <v>9.2556215912673334</v>
      </c>
    </row>
    <row r="928" spans="5:19" x14ac:dyDescent="0.75">
      <c r="E928">
        <v>923</v>
      </c>
      <c r="F928">
        <v>100</v>
      </c>
      <c r="G928">
        <f t="shared" ca="1" si="954"/>
        <v>94.323684715347284</v>
      </c>
      <c r="H928">
        <f t="shared" ca="1" si="954"/>
        <v>94.787520357332781</v>
      </c>
      <c r="I928">
        <f t="shared" ca="1" si="954"/>
        <v>88.90046476434425</v>
      </c>
      <c r="J928">
        <f t="shared" ca="1" si="954"/>
        <v>97.07390566388942</v>
      </c>
      <c r="K928">
        <f t="shared" ref="K928:P928" ca="1" si="983">J928*EXP(($C$4-0.5*$C$5^2)*$C$10+$C$5*SQRT($C$10)*NORMINV(RAND(),0,1))</f>
        <v>93.670486381635754</v>
      </c>
      <c r="L928">
        <f t="shared" ca="1" si="983"/>
        <v>91.983289250204891</v>
      </c>
      <c r="M928">
        <f t="shared" ca="1" si="983"/>
        <v>97.222131832384818</v>
      </c>
      <c r="N928">
        <f t="shared" ca="1" si="983"/>
        <v>100.60360009751669</v>
      </c>
      <c r="O928">
        <f t="shared" ca="1" si="983"/>
        <v>99.95381645504203</v>
      </c>
      <c r="P928">
        <f t="shared" ca="1" si="983"/>
        <v>103.97982450639651</v>
      </c>
      <c r="Q928">
        <f t="shared" ca="1" si="956"/>
        <v>96.590793093099492</v>
      </c>
      <c r="R928">
        <f t="shared" ca="1" si="957"/>
        <v>0</v>
      </c>
      <c r="S928">
        <f t="shared" ca="1" si="958"/>
        <v>0</v>
      </c>
    </row>
    <row r="929" spans="5:19" x14ac:dyDescent="0.75">
      <c r="E929">
        <v>924</v>
      </c>
      <c r="F929">
        <v>100</v>
      </c>
      <c r="G929">
        <f t="shared" ca="1" si="954"/>
        <v>116.24225381042355</v>
      </c>
      <c r="H929">
        <f t="shared" ca="1" si="954"/>
        <v>112.56639675850072</v>
      </c>
      <c r="I929">
        <f t="shared" ca="1" si="954"/>
        <v>116.56354596641739</v>
      </c>
      <c r="J929">
        <f t="shared" ca="1" si="954"/>
        <v>125.66998023577563</v>
      </c>
      <c r="K929">
        <f t="shared" ref="K929:P929" ca="1" si="984">J929*EXP(($C$4-0.5*$C$5^2)*$C$10+$C$5*SQRT($C$10)*NORMINV(RAND(),0,1))</f>
        <v>123.16831031067186</v>
      </c>
      <c r="L929">
        <f t="shared" ca="1" si="984"/>
        <v>128.18381861676269</v>
      </c>
      <c r="M929">
        <f t="shared" ca="1" si="984"/>
        <v>122.34238457668464</v>
      </c>
      <c r="N929">
        <f t="shared" ca="1" si="984"/>
        <v>123.18060503769684</v>
      </c>
      <c r="O929">
        <f t="shared" ca="1" si="984"/>
        <v>127.12978460511492</v>
      </c>
      <c r="P929">
        <f t="shared" ca="1" si="984"/>
        <v>130.59916594858086</v>
      </c>
      <c r="Q929">
        <f t="shared" ca="1" si="956"/>
        <v>120.51329507878445</v>
      </c>
      <c r="R929">
        <f t="shared" ca="1" si="957"/>
        <v>20.513295078784452</v>
      </c>
      <c r="S929">
        <f t="shared" ca="1" si="958"/>
        <v>20.107104621374511</v>
      </c>
    </row>
    <row r="930" spans="5:19" x14ac:dyDescent="0.75">
      <c r="E930">
        <v>925</v>
      </c>
      <c r="F930">
        <v>100</v>
      </c>
      <c r="G930">
        <f t="shared" ca="1" si="954"/>
        <v>95.65876252881587</v>
      </c>
      <c r="H930">
        <f t="shared" ca="1" si="954"/>
        <v>107.84777126614577</v>
      </c>
      <c r="I930">
        <f t="shared" ca="1" si="954"/>
        <v>103.18207346174923</v>
      </c>
      <c r="J930">
        <f t="shared" ca="1" si="954"/>
        <v>94.421542083376423</v>
      </c>
      <c r="K930">
        <f t="shared" ref="K930:P930" ca="1" si="985">J930*EXP(($C$4-0.5*$C$5^2)*$C$10+$C$5*SQRT($C$10)*NORMINV(RAND(),0,1))</f>
        <v>91.638494183925047</v>
      </c>
      <c r="L930">
        <f t="shared" ca="1" si="985"/>
        <v>92.838041240224413</v>
      </c>
      <c r="M930">
        <f t="shared" ca="1" si="985"/>
        <v>99.132720208343144</v>
      </c>
      <c r="N930">
        <f t="shared" ca="1" si="985"/>
        <v>103.03028734868063</v>
      </c>
      <c r="O930">
        <f t="shared" ca="1" si="985"/>
        <v>94.772812254479831</v>
      </c>
      <c r="P930">
        <f t="shared" ca="1" si="985"/>
        <v>102.82801174771177</v>
      </c>
      <c r="Q930">
        <f t="shared" ca="1" si="956"/>
        <v>98.668228756677451</v>
      </c>
      <c r="R930">
        <f t="shared" ca="1" si="957"/>
        <v>0</v>
      </c>
      <c r="S930">
        <f t="shared" ca="1" si="958"/>
        <v>0</v>
      </c>
    </row>
    <row r="931" spans="5:19" x14ac:dyDescent="0.75">
      <c r="E931">
        <v>926</v>
      </c>
      <c r="F931">
        <v>100</v>
      </c>
      <c r="G931">
        <f t="shared" ca="1" si="954"/>
        <v>99.568949048315289</v>
      </c>
      <c r="H931">
        <f t="shared" ca="1" si="954"/>
        <v>94.25992901186676</v>
      </c>
      <c r="I931">
        <f t="shared" ca="1" si="954"/>
        <v>91.00282720065637</v>
      </c>
      <c r="J931">
        <f t="shared" ca="1" si="954"/>
        <v>90.799926953421561</v>
      </c>
      <c r="K931">
        <f t="shared" ref="K931:P931" ca="1" si="986">J931*EXP(($C$4-0.5*$C$5^2)*$C$10+$C$5*SQRT($C$10)*NORMINV(RAND(),0,1))</f>
        <v>83.861950151132959</v>
      </c>
      <c r="L931">
        <f t="shared" ca="1" si="986"/>
        <v>87.50711814306824</v>
      </c>
      <c r="M931">
        <f t="shared" ca="1" si="986"/>
        <v>89.172655238300734</v>
      </c>
      <c r="N931">
        <f t="shared" ca="1" si="986"/>
        <v>90.343348972857299</v>
      </c>
      <c r="O931">
        <f t="shared" ca="1" si="986"/>
        <v>93.90458485254122</v>
      </c>
      <c r="P931">
        <f t="shared" ca="1" si="986"/>
        <v>121.06572587617761</v>
      </c>
      <c r="Q931">
        <f t="shared" ca="1" si="956"/>
        <v>94.680637768030735</v>
      </c>
      <c r="R931">
        <f t="shared" ca="1" si="957"/>
        <v>0</v>
      </c>
      <c r="S931">
        <f t="shared" ca="1" si="958"/>
        <v>0</v>
      </c>
    </row>
    <row r="932" spans="5:19" x14ac:dyDescent="0.75">
      <c r="E932">
        <v>927</v>
      </c>
      <c r="F932">
        <v>100</v>
      </c>
      <c r="G932">
        <f t="shared" ca="1" si="954"/>
        <v>104.65478767400036</v>
      </c>
      <c r="H932">
        <f t="shared" ca="1" si="954"/>
        <v>105.6947537145398</v>
      </c>
      <c r="I932">
        <f t="shared" ca="1" si="954"/>
        <v>101.02870754019678</v>
      </c>
      <c r="J932">
        <f t="shared" ca="1" si="954"/>
        <v>98.56743983904083</v>
      </c>
      <c r="K932">
        <f t="shared" ref="K932:P932" ca="1" si="987">J932*EXP(($C$4-0.5*$C$5^2)*$C$10+$C$5*SQRT($C$10)*NORMINV(RAND(),0,1))</f>
        <v>89.560355882662932</v>
      </c>
      <c r="L932">
        <f t="shared" ca="1" si="987"/>
        <v>95.441994585645332</v>
      </c>
      <c r="M932">
        <f t="shared" ca="1" si="987"/>
        <v>96.868738256933142</v>
      </c>
      <c r="N932">
        <f t="shared" ca="1" si="987"/>
        <v>95.319948657099019</v>
      </c>
      <c r="O932">
        <f t="shared" ca="1" si="987"/>
        <v>85.940596324078413</v>
      </c>
      <c r="P932">
        <f t="shared" ca="1" si="987"/>
        <v>75.163184259801866</v>
      </c>
      <c r="Q932">
        <f t="shared" ca="1" si="956"/>
        <v>95.294591521272594</v>
      </c>
      <c r="R932">
        <f t="shared" ca="1" si="957"/>
        <v>0</v>
      </c>
      <c r="S932">
        <f t="shared" ca="1" si="958"/>
        <v>0</v>
      </c>
    </row>
    <row r="933" spans="5:19" x14ac:dyDescent="0.75">
      <c r="E933">
        <v>928</v>
      </c>
      <c r="F933">
        <v>100</v>
      </c>
      <c r="G933">
        <f t="shared" ca="1" si="954"/>
        <v>98.880597557072775</v>
      </c>
      <c r="H933">
        <f t="shared" ca="1" si="954"/>
        <v>97.654483531217252</v>
      </c>
      <c r="I933">
        <f t="shared" ca="1" si="954"/>
        <v>93.438906374080617</v>
      </c>
      <c r="J933">
        <f t="shared" ca="1" si="954"/>
        <v>92.574555535804294</v>
      </c>
      <c r="K933">
        <f t="shared" ref="K933:P933" ca="1" si="988">J933*EXP(($C$4-0.5*$C$5^2)*$C$10+$C$5*SQRT($C$10)*NORMINV(RAND(),0,1))</f>
        <v>89.94035729610215</v>
      </c>
      <c r="L933">
        <f t="shared" ca="1" si="988"/>
        <v>78.913528349607233</v>
      </c>
      <c r="M933">
        <f t="shared" ca="1" si="988"/>
        <v>87.71088370419001</v>
      </c>
      <c r="N933">
        <f t="shared" ca="1" si="988"/>
        <v>98.193661756369167</v>
      </c>
      <c r="O933">
        <f t="shared" ca="1" si="988"/>
        <v>97.456168059149547</v>
      </c>
      <c r="P933">
        <f t="shared" ca="1" si="988"/>
        <v>90.543514847460088</v>
      </c>
      <c r="Q933">
        <f t="shared" ca="1" si="956"/>
        <v>93.209696091913898</v>
      </c>
      <c r="R933">
        <f t="shared" ca="1" si="957"/>
        <v>0</v>
      </c>
      <c r="S933">
        <f t="shared" ca="1" si="958"/>
        <v>0</v>
      </c>
    </row>
    <row r="934" spans="5:19" x14ac:dyDescent="0.75">
      <c r="E934">
        <v>929</v>
      </c>
      <c r="F934">
        <v>100</v>
      </c>
      <c r="G934">
        <f t="shared" ca="1" si="954"/>
        <v>101.27812253239466</v>
      </c>
      <c r="H934">
        <f t="shared" ca="1" si="954"/>
        <v>104.10393849816182</v>
      </c>
      <c r="I934">
        <f t="shared" ca="1" si="954"/>
        <v>113.88261339663731</v>
      </c>
      <c r="J934">
        <f t="shared" ca="1" si="954"/>
        <v>113.62160316930327</v>
      </c>
      <c r="K934">
        <f t="shared" ref="K934:P934" ca="1" si="989">J934*EXP(($C$4-0.5*$C$5^2)*$C$10+$C$5*SQRT($C$10)*NORMINV(RAND(),0,1))</f>
        <v>109.5357714614494</v>
      </c>
      <c r="L934">
        <f t="shared" ca="1" si="989"/>
        <v>111.6901105724904</v>
      </c>
      <c r="M934">
        <f t="shared" ca="1" si="989"/>
        <v>111.36951365861391</v>
      </c>
      <c r="N934">
        <f t="shared" ca="1" si="989"/>
        <v>125.46846283252147</v>
      </c>
      <c r="O934">
        <f t="shared" ca="1" si="989"/>
        <v>121.7501946881343</v>
      </c>
      <c r="P934">
        <f t="shared" ca="1" si="989"/>
        <v>121.77692705488317</v>
      </c>
      <c r="Q934">
        <f t="shared" ca="1" si="956"/>
        <v>112.22520526041723</v>
      </c>
      <c r="R934">
        <f t="shared" ca="1" si="957"/>
        <v>12.225205260417226</v>
      </c>
      <c r="S934">
        <f t="shared" ca="1" si="958"/>
        <v>11.983129977163731</v>
      </c>
    </row>
    <row r="935" spans="5:19" x14ac:dyDescent="0.75">
      <c r="E935">
        <v>930</v>
      </c>
      <c r="F935">
        <v>100</v>
      </c>
      <c r="G935">
        <f t="shared" ca="1" si="954"/>
        <v>102.48970679424498</v>
      </c>
      <c r="H935">
        <f t="shared" ca="1" si="954"/>
        <v>104.56993468572095</v>
      </c>
      <c r="I935">
        <f t="shared" ca="1" si="954"/>
        <v>103.36250532499362</v>
      </c>
      <c r="J935">
        <f t="shared" ca="1" si="954"/>
        <v>105.42550265243463</v>
      </c>
      <c r="K935">
        <f t="shared" ref="K935:P935" ca="1" si="990">J935*EXP(($C$4-0.5*$C$5^2)*$C$10+$C$5*SQRT($C$10)*NORMINV(RAND(),0,1))</f>
        <v>111.47278343124131</v>
      </c>
      <c r="L935">
        <f t="shared" ca="1" si="990"/>
        <v>114.12102827419289</v>
      </c>
      <c r="M935">
        <f t="shared" ca="1" si="990"/>
        <v>107.81301066443453</v>
      </c>
      <c r="N935">
        <f t="shared" ca="1" si="990"/>
        <v>120.82481959307722</v>
      </c>
      <c r="O935">
        <f t="shared" ca="1" si="990"/>
        <v>126.49538362213853</v>
      </c>
      <c r="P935">
        <f t="shared" ca="1" si="990"/>
        <v>111.60615317336938</v>
      </c>
      <c r="Q935">
        <f t="shared" ca="1" si="956"/>
        <v>109.83462074689527</v>
      </c>
      <c r="R935">
        <f t="shared" ca="1" si="957"/>
        <v>9.8346207468952684</v>
      </c>
      <c r="S935">
        <f t="shared" ca="1" si="958"/>
        <v>9.6398822085818328</v>
      </c>
    </row>
    <row r="936" spans="5:19" x14ac:dyDescent="0.75">
      <c r="E936">
        <v>931</v>
      </c>
      <c r="F936">
        <v>100</v>
      </c>
      <c r="G936">
        <f t="shared" ca="1" si="954"/>
        <v>100.20378637041132</v>
      </c>
      <c r="H936">
        <f t="shared" ca="1" si="954"/>
        <v>110.82248442233283</v>
      </c>
      <c r="I936">
        <f t="shared" ca="1" si="954"/>
        <v>105.87226988643371</v>
      </c>
      <c r="J936">
        <f t="shared" ca="1" si="954"/>
        <v>100.30549173223729</v>
      </c>
      <c r="K936">
        <f t="shared" ref="K936:P936" ca="1" si="991">J936*EXP(($C$4-0.5*$C$5^2)*$C$10+$C$5*SQRT($C$10)*NORMINV(RAND(),0,1))</f>
        <v>102.46627582137046</v>
      </c>
      <c r="L936">
        <f t="shared" ca="1" si="991"/>
        <v>113.3778182970233</v>
      </c>
      <c r="M936">
        <f t="shared" ca="1" si="991"/>
        <v>109.18672179109284</v>
      </c>
      <c r="N936">
        <f t="shared" ca="1" si="991"/>
        <v>111.50090247991881</v>
      </c>
      <c r="O936">
        <f t="shared" ca="1" si="991"/>
        <v>127.70579637611119</v>
      </c>
      <c r="P936">
        <f t="shared" ca="1" si="991"/>
        <v>137.44224662375808</v>
      </c>
      <c r="Q936">
        <f t="shared" ca="1" si="956"/>
        <v>110.80761761824455</v>
      </c>
      <c r="R936">
        <f t="shared" ca="1" si="957"/>
        <v>10.807617618244549</v>
      </c>
      <c r="S936">
        <f t="shared" ca="1" si="958"/>
        <v>10.593612451010021</v>
      </c>
    </row>
    <row r="937" spans="5:19" x14ac:dyDescent="0.75">
      <c r="E937">
        <v>932</v>
      </c>
      <c r="F937">
        <v>100</v>
      </c>
      <c r="G937">
        <f t="shared" ca="1" si="954"/>
        <v>98.481806576975004</v>
      </c>
      <c r="H937">
        <f t="shared" ca="1" si="954"/>
        <v>88.672172977631988</v>
      </c>
      <c r="I937">
        <f t="shared" ca="1" si="954"/>
        <v>96.04591285843226</v>
      </c>
      <c r="J937">
        <f t="shared" ca="1" si="954"/>
        <v>95.614625331706264</v>
      </c>
      <c r="K937">
        <f t="shared" ref="K937:P937" ca="1" si="992">J937*EXP(($C$4-0.5*$C$5^2)*$C$10+$C$5*SQRT($C$10)*NORMINV(RAND(),0,1))</f>
        <v>99.566117788128949</v>
      </c>
      <c r="L937">
        <f t="shared" ca="1" si="992"/>
        <v>100.94687705503311</v>
      </c>
      <c r="M937">
        <f t="shared" ca="1" si="992"/>
        <v>107.39246082493371</v>
      </c>
      <c r="N937">
        <f t="shared" ca="1" si="992"/>
        <v>96.415990472638015</v>
      </c>
      <c r="O937">
        <f t="shared" ca="1" si="992"/>
        <v>95.5702420536158</v>
      </c>
      <c r="P937">
        <f t="shared" ca="1" si="992"/>
        <v>100.0472157096593</v>
      </c>
      <c r="Q937">
        <f t="shared" ca="1" si="956"/>
        <v>98.068492877159485</v>
      </c>
      <c r="R937">
        <f t="shared" ca="1" si="957"/>
        <v>0</v>
      </c>
      <c r="S937">
        <f t="shared" ca="1" si="958"/>
        <v>0</v>
      </c>
    </row>
    <row r="938" spans="5:19" x14ac:dyDescent="0.75">
      <c r="E938">
        <v>933</v>
      </c>
      <c r="F938">
        <v>100</v>
      </c>
      <c r="G938">
        <f t="shared" ca="1" si="954"/>
        <v>100.88609945095463</v>
      </c>
      <c r="H938">
        <f t="shared" ca="1" si="954"/>
        <v>102.26045890584588</v>
      </c>
      <c r="I938">
        <f t="shared" ca="1" si="954"/>
        <v>96.163549697925603</v>
      </c>
      <c r="J938">
        <f t="shared" ca="1" si="954"/>
        <v>90.561519547661831</v>
      </c>
      <c r="K938">
        <f t="shared" ref="K938:P938" ca="1" si="993">J938*EXP(($C$4-0.5*$C$5^2)*$C$10+$C$5*SQRT($C$10)*NORMINV(RAND(),0,1))</f>
        <v>96.671570304217838</v>
      </c>
      <c r="L938">
        <f t="shared" ca="1" si="993"/>
        <v>86.106865406151655</v>
      </c>
      <c r="M938">
        <f t="shared" ca="1" si="993"/>
        <v>85.455921687149456</v>
      </c>
      <c r="N938">
        <f t="shared" ca="1" si="993"/>
        <v>91.658353369494037</v>
      </c>
      <c r="O938">
        <f t="shared" ca="1" si="993"/>
        <v>84.943093587055358</v>
      </c>
      <c r="P938">
        <f t="shared" ca="1" si="993"/>
        <v>83.197861801253694</v>
      </c>
      <c r="Q938">
        <f t="shared" ca="1" si="956"/>
        <v>92.536844887064547</v>
      </c>
      <c r="R938">
        <f t="shared" ca="1" si="957"/>
        <v>0</v>
      </c>
      <c r="S938">
        <f t="shared" ca="1" si="958"/>
        <v>0</v>
      </c>
    </row>
    <row r="939" spans="5:19" x14ac:dyDescent="0.75">
      <c r="E939">
        <v>934</v>
      </c>
      <c r="F939">
        <v>100</v>
      </c>
      <c r="G939">
        <f t="shared" ca="1" si="954"/>
        <v>94.287621505639237</v>
      </c>
      <c r="H939">
        <f t="shared" ca="1" si="954"/>
        <v>90.816012934381178</v>
      </c>
      <c r="I939">
        <f t="shared" ca="1" si="954"/>
        <v>85.98094393998332</v>
      </c>
      <c r="J939">
        <f t="shared" ca="1" si="954"/>
        <v>83.786242572153711</v>
      </c>
      <c r="K939">
        <f t="shared" ref="K939:P939" ca="1" si="994">J939*EXP(($C$4-0.5*$C$5^2)*$C$10+$C$5*SQRT($C$10)*NORMINV(RAND(),0,1))</f>
        <v>88.099261531231605</v>
      </c>
      <c r="L939">
        <f t="shared" ca="1" si="994"/>
        <v>101.89202863906075</v>
      </c>
      <c r="M939">
        <f t="shared" ca="1" si="994"/>
        <v>103.63812397655317</v>
      </c>
      <c r="N939">
        <f t="shared" ca="1" si="994"/>
        <v>96.663416510473482</v>
      </c>
      <c r="O939">
        <f t="shared" ca="1" si="994"/>
        <v>111.73853597746442</v>
      </c>
      <c r="P939">
        <f t="shared" ca="1" si="994"/>
        <v>117.74324628016117</v>
      </c>
      <c r="Q939">
        <f t="shared" ca="1" si="956"/>
        <v>97.695039442463809</v>
      </c>
      <c r="R939">
        <f t="shared" ca="1" si="957"/>
        <v>0</v>
      </c>
      <c r="S939">
        <f t="shared" ca="1" si="958"/>
        <v>0</v>
      </c>
    </row>
    <row r="940" spans="5:19" x14ac:dyDescent="0.75">
      <c r="E940">
        <v>935</v>
      </c>
      <c r="F940">
        <v>100</v>
      </c>
      <c r="G940">
        <f t="shared" ca="1" si="954"/>
        <v>102.79734309503337</v>
      </c>
      <c r="H940">
        <f t="shared" ca="1" si="954"/>
        <v>115.06916167152275</v>
      </c>
      <c r="I940">
        <f t="shared" ca="1" si="954"/>
        <v>125.67271303523573</v>
      </c>
      <c r="J940">
        <f t="shared" ca="1" si="954"/>
        <v>117.89669853249812</v>
      </c>
      <c r="K940">
        <f t="shared" ref="K940:P940" ca="1" si="995">J940*EXP(($C$4-0.5*$C$5^2)*$C$10+$C$5*SQRT($C$10)*NORMINV(RAND(),0,1))</f>
        <v>121.78676008371733</v>
      </c>
      <c r="L940">
        <f t="shared" ca="1" si="995"/>
        <v>123.43947448728262</v>
      </c>
      <c r="M940">
        <f t="shared" ca="1" si="995"/>
        <v>127.82491499090303</v>
      </c>
      <c r="N940">
        <f t="shared" ca="1" si="995"/>
        <v>139.48836620107119</v>
      </c>
      <c r="O940">
        <f t="shared" ca="1" si="995"/>
        <v>123.87523474789157</v>
      </c>
      <c r="P940">
        <f t="shared" ca="1" si="995"/>
        <v>119.70333718203111</v>
      </c>
      <c r="Q940">
        <f t="shared" ca="1" si="956"/>
        <v>119.77763672974424</v>
      </c>
      <c r="R940">
        <f t="shared" ca="1" si="957"/>
        <v>19.777636729744245</v>
      </c>
      <c r="S940">
        <f t="shared" ca="1" si="958"/>
        <v>19.386013283638263</v>
      </c>
    </row>
    <row r="941" spans="5:19" x14ac:dyDescent="0.75">
      <c r="E941">
        <v>936</v>
      </c>
      <c r="F941">
        <v>100</v>
      </c>
      <c r="G941">
        <f t="shared" ca="1" si="954"/>
        <v>105.36039867032092</v>
      </c>
      <c r="H941">
        <f t="shared" ca="1" si="954"/>
        <v>112.97384210182265</v>
      </c>
      <c r="I941">
        <f t="shared" ca="1" si="954"/>
        <v>108.86755756219537</v>
      </c>
      <c r="J941">
        <f t="shared" ca="1" si="954"/>
        <v>104.09520968225257</v>
      </c>
      <c r="K941">
        <f t="shared" ref="K941:P941" ca="1" si="996">J941*EXP(($C$4-0.5*$C$5^2)*$C$10+$C$5*SQRT($C$10)*NORMINV(RAND(),0,1))</f>
        <v>109.05960421720263</v>
      </c>
      <c r="L941">
        <f t="shared" ca="1" si="996"/>
        <v>113.36243018906234</v>
      </c>
      <c r="M941">
        <f t="shared" ca="1" si="996"/>
        <v>121.91866318048322</v>
      </c>
      <c r="N941">
        <f t="shared" ca="1" si="996"/>
        <v>128.2884386091645</v>
      </c>
      <c r="O941">
        <f t="shared" ca="1" si="996"/>
        <v>122.24604212694085</v>
      </c>
      <c r="P941">
        <f t="shared" ca="1" si="996"/>
        <v>114.8574930483976</v>
      </c>
      <c r="Q941">
        <f t="shared" ca="1" si="956"/>
        <v>112.82087994434933</v>
      </c>
      <c r="R941">
        <f t="shared" ca="1" si="957"/>
        <v>12.820879944349329</v>
      </c>
      <c r="S941">
        <f t="shared" ca="1" si="958"/>
        <v>12.567009512076398</v>
      </c>
    </row>
    <row r="942" spans="5:19" x14ac:dyDescent="0.75">
      <c r="E942">
        <v>937</v>
      </c>
      <c r="F942">
        <v>100</v>
      </c>
      <c r="G942">
        <f t="shared" ca="1" si="954"/>
        <v>98.199017781684276</v>
      </c>
      <c r="H942">
        <f t="shared" ca="1" si="954"/>
        <v>94.196149344656433</v>
      </c>
      <c r="I942">
        <f t="shared" ca="1" si="954"/>
        <v>94.112172878692789</v>
      </c>
      <c r="J942">
        <f t="shared" ca="1" si="954"/>
        <v>88.446760600167124</v>
      </c>
      <c r="K942">
        <f t="shared" ref="K942:P942" ca="1" si="997">J942*EXP(($C$4-0.5*$C$5^2)*$C$10+$C$5*SQRT($C$10)*NORMINV(RAND(),0,1))</f>
        <v>86.682172905898796</v>
      </c>
      <c r="L942">
        <f t="shared" ca="1" si="997"/>
        <v>88.122002280753421</v>
      </c>
      <c r="M942">
        <f t="shared" ca="1" si="997"/>
        <v>88.716261967332855</v>
      </c>
      <c r="N942">
        <f t="shared" ca="1" si="997"/>
        <v>75.980604987741657</v>
      </c>
      <c r="O942">
        <f t="shared" ca="1" si="997"/>
        <v>74.757846683337377</v>
      </c>
      <c r="P942">
        <f t="shared" ca="1" si="997"/>
        <v>72.038927102355586</v>
      </c>
      <c r="Q942">
        <f t="shared" ca="1" si="956"/>
        <v>87.386537866601856</v>
      </c>
      <c r="R942">
        <f t="shared" ca="1" si="957"/>
        <v>0</v>
      </c>
      <c r="S942">
        <f t="shared" ca="1" si="958"/>
        <v>0</v>
      </c>
    </row>
    <row r="943" spans="5:19" x14ac:dyDescent="0.75">
      <c r="E943">
        <v>938</v>
      </c>
      <c r="F943">
        <v>100</v>
      </c>
      <c r="G943">
        <f t="shared" ca="1" si="954"/>
        <v>83.193813631638875</v>
      </c>
      <c r="H943">
        <f t="shared" ca="1" si="954"/>
        <v>83.935729560566813</v>
      </c>
      <c r="I943">
        <f t="shared" ca="1" si="954"/>
        <v>86.024250304445445</v>
      </c>
      <c r="J943">
        <f t="shared" ca="1" si="954"/>
        <v>81.939752400052598</v>
      </c>
      <c r="K943">
        <f t="shared" ref="K943:P943" ca="1" si="998">J943*EXP(($C$4-0.5*$C$5^2)*$C$10+$C$5*SQRT($C$10)*NORMINV(RAND(),0,1))</f>
        <v>78.37974233152066</v>
      </c>
      <c r="L943">
        <f t="shared" ca="1" si="998"/>
        <v>77.951517744144908</v>
      </c>
      <c r="M943">
        <f t="shared" ca="1" si="998"/>
        <v>74.338298555881124</v>
      </c>
      <c r="N943">
        <f t="shared" ca="1" si="998"/>
        <v>76.771636679085361</v>
      </c>
      <c r="O943">
        <f t="shared" ca="1" si="998"/>
        <v>87.717418537811014</v>
      </c>
      <c r="P943">
        <f t="shared" ca="1" si="998"/>
        <v>83.779170599942333</v>
      </c>
      <c r="Q943">
        <f t="shared" ca="1" si="956"/>
        <v>83.093757304099015</v>
      </c>
      <c r="R943">
        <f t="shared" ca="1" si="957"/>
        <v>0</v>
      </c>
      <c r="S943">
        <f t="shared" ca="1" si="958"/>
        <v>0</v>
      </c>
    </row>
    <row r="944" spans="5:19" x14ac:dyDescent="0.75">
      <c r="E944">
        <v>939</v>
      </c>
      <c r="F944">
        <v>100</v>
      </c>
      <c r="G944">
        <f t="shared" ca="1" si="954"/>
        <v>101.99364948502571</v>
      </c>
      <c r="H944">
        <f t="shared" ca="1" si="954"/>
        <v>111.06609892477252</v>
      </c>
      <c r="I944">
        <f t="shared" ca="1" si="954"/>
        <v>106.76351167333485</v>
      </c>
      <c r="J944">
        <f t="shared" ca="1" si="954"/>
        <v>117.61384227721979</v>
      </c>
      <c r="K944">
        <f t="shared" ref="K944:P944" ca="1" si="999">J944*EXP(($C$4-0.5*$C$5^2)*$C$10+$C$5*SQRT($C$10)*NORMINV(RAND(),0,1))</f>
        <v>136.03985496334809</v>
      </c>
      <c r="L944">
        <f t="shared" ca="1" si="999"/>
        <v>136.43702074710205</v>
      </c>
      <c r="M944">
        <f t="shared" ca="1" si="999"/>
        <v>124.24092624881835</v>
      </c>
      <c r="N944">
        <f t="shared" ca="1" si="999"/>
        <v>114.26329260171423</v>
      </c>
      <c r="O944">
        <f t="shared" ca="1" si="999"/>
        <v>100.78189065825715</v>
      </c>
      <c r="P944">
        <f t="shared" ca="1" si="999"/>
        <v>92.678206881370798</v>
      </c>
      <c r="Q944">
        <f t="shared" ca="1" si="956"/>
        <v>112.89802676917851</v>
      </c>
      <c r="R944">
        <f t="shared" ca="1" si="957"/>
        <v>12.898026769178514</v>
      </c>
      <c r="S944">
        <f t="shared" ca="1" si="958"/>
        <v>12.642628727423794</v>
      </c>
    </row>
    <row r="945" spans="5:19" x14ac:dyDescent="0.75">
      <c r="E945">
        <v>940</v>
      </c>
      <c r="F945">
        <v>100</v>
      </c>
      <c r="G945">
        <f t="shared" ca="1" si="954"/>
        <v>99.867012427024449</v>
      </c>
      <c r="H945">
        <f t="shared" ca="1" si="954"/>
        <v>109.42578459067806</v>
      </c>
      <c r="I945">
        <f t="shared" ca="1" si="954"/>
        <v>115.85207686222434</v>
      </c>
      <c r="J945">
        <f t="shared" ca="1" si="954"/>
        <v>114.03082542486192</v>
      </c>
      <c r="K945">
        <f t="shared" ref="K945:P945" ca="1" si="1000">J945*EXP(($C$4-0.5*$C$5^2)*$C$10+$C$5*SQRT($C$10)*NORMINV(RAND(),0,1))</f>
        <v>103.24667644056525</v>
      </c>
      <c r="L945">
        <f t="shared" ca="1" si="1000"/>
        <v>99.962496290769906</v>
      </c>
      <c r="M945">
        <f t="shared" ca="1" si="1000"/>
        <v>101.67472626046893</v>
      </c>
      <c r="N945">
        <f t="shared" ca="1" si="1000"/>
        <v>101.89955645559417</v>
      </c>
      <c r="O945">
        <f t="shared" ca="1" si="1000"/>
        <v>81.300629107383841</v>
      </c>
      <c r="P945">
        <f t="shared" ca="1" si="1000"/>
        <v>78.107744915049324</v>
      </c>
      <c r="Q945">
        <f t="shared" ca="1" si="956"/>
        <v>100.48795716132912</v>
      </c>
      <c r="R945">
        <f t="shared" ca="1" si="957"/>
        <v>0.48795716132912048</v>
      </c>
      <c r="S945">
        <f t="shared" ca="1" si="958"/>
        <v>0.47829496216533424</v>
      </c>
    </row>
    <row r="946" spans="5:19" x14ac:dyDescent="0.75">
      <c r="E946">
        <v>941</v>
      </c>
      <c r="F946">
        <v>100</v>
      </c>
      <c r="G946">
        <f t="shared" ca="1" si="954"/>
        <v>96.261356052282494</v>
      </c>
      <c r="H946">
        <f t="shared" ca="1" si="954"/>
        <v>92.751976715294703</v>
      </c>
      <c r="I946">
        <f t="shared" ca="1" si="954"/>
        <v>86.828849153588791</v>
      </c>
      <c r="J946">
        <f t="shared" ca="1" si="954"/>
        <v>91.857290912174662</v>
      </c>
      <c r="K946">
        <f t="shared" ref="K946:P946" ca="1" si="1001">J946*EXP(($C$4-0.5*$C$5^2)*$C$10+$C$5*SQRT($C$10)*NORMINV(RAND(),0,1))</f>
        <v>94.550884260968914</v>
      </c>
      <c r="L946">
        <f t="shared" ca="1" si="1001"/>
        <v>91.984325691445562</v>
      </c>
      <c r="M946">
        <f t="shared" ca="1" si="1001"/>
        <v>90.779173943350315</v>
      </c>
      <c r="N946">
        <f t="shared" ca="1" si="1001"/>
        <v>96.494171650623727</v>
      </c>
      <c r="O946">
        <f t="shared" ca="1" si="1001"/>
        <v>107.28434810696356</v>
      </c>
      <c r="P946">
        <f t="shared" ca="1" si="1001"/>
        <v>111.55207765969205</v>
      </c>
      <c r="Q946">
        <f t="shared" ca="1" si="956"/>
        <v>96.394950376944067</v>
      </c>
      <c r="R946">
        <f t="shared" ca="1" si="957"/>
        <v>0</v>
      </c>
      <c r="S946">
        <f t="shared" ca="1" si="958"/>
        <v>0</v>
      </c>
    </row>
    <row r="947" spans="5:19" x14ac:dyDescent="0.75">
      <c r="E947">
        <v>942</v>
      </c>
      <c r="F947">
        <v>100</v>
      </c>
      <c r="G947">
        <f t="shared" ca="1" si="954"/>
        <v>96.919070305671752</v>
      </c>
      <c r="H947">
        <f t="shared" ca="1" si="954"/>
        <v>95.589967683796587</v>
      </c>
      <c r="I947">
        <f t="shared" ca="1" si="954"/>
        <v>104.08449290906256</v>
      </c>
      <c r="J947">
        <f t="shared" ca="1" si="954"/>
        <v>111.23621359124608</v>
      </c>
      <c r="K947">
        <f t="shared" ref="K947:P947" ca="1" si="1002">J947*EXP(($C$4-0.5*$C$5^2)*$C$10+$C$5*SQRT($C$10)*NORMINV(RAND(),0,1))</f>
        <v>117.83741095421011</v>
      </c>
      <c r="L947">
        <f t="shared" ca="1" si="1002"/>
        <v>125.2538411903311</v>
      </c>
      <c r="M947">
        <f t="shared" ca="1" si="1002"/>
        <v>118.65251637539728</v>
      </c>
      <c r="N947">
        <f t="shared" ca="1" si="1002"/>
        <v>125.75617597860024</v>
      </c>
      <c r="O947">
        <f t="shared" ca="1" si="1002"/>
        <v>126.3471307620532</v>
      </c>
      <c r="P947">
        <f t="shared" ca="1" si="1002"/>
        <v>117.59564044900505</v>
      </c>
      <c r="Q947">
        <f t="shared" ca="1" si="956"/>
        <v>112.66113274539762</v>
      </c>
      <c r="R947">
        <f t="shared" ca="1" si="957"/>
        <v>12.661132745397623</v>
      </c>
      <c r="S947">
        <f t="shared" ca="1" si="958"/>
        <v>12.410425519599466</v>
      </c>
    </row>
    <row r="948" spans="5:19" x14ac:dyDescent="0.75">
      <c r="E948">
        <v>943</v>
      </c>
      <c r="F948">
        <v>100</v>
      </c>
      <c r="G948">
        <f t="shared" ca="1" si="954"/>
        <v>97.761636788611298</v>
      </c>
      <c r="H948">
        <f t="shared" ca="1" si="954"/>
        <v>92.808500411212606</v>
      </c>
      <c r="I948">
        <f t="shared" ca="1" si="954"/>
        <v>95.399328070299376</v>
      </c>
      <c r="J948">
        <f t="shared" ca="1" si="954"/>
        <v>100.21843585773188</v>
      </c>
      <c r="K948">
        <f t="shared" ref="K948:P948" ca="1" si="1003">J948*EXP(($C$4-0.5*$C$5^2)*$C$10+$C$5*SQRT($C$10)*NORMINV(RAND(),0,1))</f>
        <v>111.51948281872605</v>
      </c>
      <c r="L948">
        <f t="shared" ca="1" si="1003"/>
        <v>109.5702537450243</v>
      </c>
      <c r="M948">
        <f t="shared" ca="1" si="1003"/>
        <v>110.21521581878024</v>
      </c>
      <c r="N948">
        <f t="shared" ca="1" si="1003"/>
        <v>108.86234640521879</v>
      </c>
      <c r="O948">
        <f t="shared" ca="1" si="1003"/>
        <v>113.30836306113208</v>
      </c>
      <c r="P948">
        <f t="shared" ca="1" si="1003"/>
        <v>117.05237782820025</v>
      </c>
      <c r="Q948">
        <f t="shared" ca="1" si="956"/>
        <v>105.15599461863061</v>
      </c>
      <c r="R948">
        <f t="shared" ca="1" si="957"/>
        <v>5.1559946186306149</v>
      </c>
      <c r="S948">
        <f t="shared" ca="1" si="958"/>
        <v>5.0538990847584984</v>
      </c>
    </row>
    <row r="949" spans="5:19" x14ac:dyDescent="0.75">
      <c r="E949">
        <v>944</v>
      </c>
      <c r="F949">
        <v>100</v>
      </c>
      <c r="G949">
        <f t="shared" ca="1" si="954"/>
        <v>96.804061791753341</v>
      </c>
      <c r="H949">
        <f t="shared" ca="1" si="954"/>
        <v>99.512222149418463</v>
      </c>
      <c r="I949">
        <f t="shared" ca="1" si="954"/>
        <v>104.01171223031984</v>
      </c>
      <c r="J949">
        <f t="shared" ca="1" si="954"/>
        <v>101.39168938590674</v>
      </c>
      <c r="K949">
        <f t="shared" ref="K949:P949" ca="1" si="1004">J949*EXP(($C$4-0.5*$C$5^2)*$C$10+$C$5*SQRT($C$10)*NORMINV(RAND(),0,1))</f>
        <v>106.53184019892798</v>
      </c>
      <c r="L949">
        <f t="shared" ca="1" si="1004"/>
        <v>116.52117279933003</v>
      </c>
      <c r="M949">
        <f t="shared" ca="1" si="1004"/>
        <v>128.02818980267116</v>
      </c>
      <c r="N949">
        <f t="shared" ca="1" si="1004"/>
        <v>140.18899739599834</v>
      </c>
      <c r="O949">
        <f t="shared" ca="1" si="1004"/>
        <v>139.1100509015167</v>
      </c>
      <c r="P949">
        <f t="shared" ca="1" si="1004"/>
        <v>138.10217774018847</v>
      </c>
      <c r="Q949">
        <f t="shared" ca="1" si="956"/>
        <v>115.47291949054828</v>
      </c>
      <c r="R949">
        <f t="shared" ca="1" si="957"/>
        <v>15.472919490548279</v>
      </c>
      <c r="S949">
        <f t="shared" ca="1" si="958"/>
        <v>15.166535156817657</v>
      </c>
    </row>
    <row r="950" spans="5:19" x14ac:dyDescent="0.75">
      <c r="E950">
        <v>945</v>
      </c>
      <c r="F950">
        <v>100</v>
      </c>
      <c r="G950">
        <f t="shared" ca="1" si="954"/>
        <v>88.688365625517434</v>
      </c>
      <c r="H950">
        <f t="shared" ca="1" si="954"/>
        <v>87.23044208507703</v>
      </c>
      <c r="I950">
        <f t="shared" ca="1" si="954"/>
        <v>91.952584891801749</v>
      </c>
      <c r="J950">
        <f t="shared" ca="1" si="954"/>
        <v>88.628293185992618</v>
      </c>
      <c r="K950">
        <f t="shared" ref="K950:P950" ca="1" si="1005">J950*EXP(($C$4-0.5*$C$5^2)*$C$10+$C$5*SQRT($C$10)*NORMINV(RAND(),0,1))</f>
        <v>82.295462734706064</v>
      </c>
      <c r="L950">
        <f t="shared" ca="1" si="1005"/>
        <v>78.507301711114252</v>
      </c>
      <c r="M950">
        <f t="shared" ca="1" si="1005"/>
        <v>68.28973166148387</v>
      </c>
      <c r="N950">
        <f t="shared" ca="1" si="1005"/>
        <v>71.872321703375817</v>
      </c>
      <c r="O950">
        <f t="shared" ca="1" si="1005"/>
        <v>65.260342561935033</v>
      </c>
      <c r="P950">
        <f t="shared" ca="1" si="1005"/>
        <v>59.844528765277801</v>
      </c>
      <c r="Q950">
        <f t="shared" ca="1" si="956"/>
        <v>80.233579538752878</v>
      </c>
      <c r="R950">
        <f t="shared" ca="1" si="957"/>
        <v>0</v>
      </c>
      <c r="S950">
        <f t="shared" ca="1" si="958"/>
        <v>0</v>
      </c>
    </row>
    <row r="951" spans="5:19" x14ac:dyDescent="0.75">
      <c r="E951">
        <v>946</v>
      </c>
      <c r="F951">
        <v>100</v>
      </c>
      <c r="G951">
        <f t="shared" ca="1" si="954"/>
        <v>103.92514403559989</v>
      </c>
      <c r="H951">
        <f t="shared" ca="1" si="954"/>
        <v>95.051425347943919</v>
      </c>
      <c r="I951">
        <f t="shared" ca="1" si="954"/>
        <v>89.696677842886174</v>
      </c>
      <c r="J951">
        <f t="shared" ca="1" si="954"/>
        <v>92.113592829393141</v>
      </c>
      <c r="K951">
        <f t="shared" ref="K951:P951" ca="1" si="1006">J951*EXP(($C$4-0.5*$C$5^2)*$C$10+$C$5*SQRT($C$10)*NORMINV(RAND(),0,1))</f>
        <v>94.655267372577924</v>
      </c>
      <c r="L951">
        <f t="shared" ca="1" si="1006"/>
        <v>90.368099000353922</v>
      </c>
      <c r="M951">
        <f t="shared" ca="1" si="1006"/>
        <v>89.455724970822388</v>
      </c>
      <c r="N951">
        <f t="shared" ca="1" si="1006"/>
        <v>93.853502887351851</v>
      </c>
      <c r="O951">
        <f t="shared" ca="1" si="1006"/>
        <v>85.243304842877905</v>
      </c>
      <c r="P951">
        <f t="shared" ca="1" si="1006"/>
        <v>86.799777771543049</v>
      </c>
      <c r="Q951">
        <f t="shared" ca="1" si="956"/>
        <v>92.832956081940935</v>
      </c>
      <c r="R951">
        <f t="shared" ca="1" si="957"/>
        <v>0</v>
      </c>
      <c r="S951">
        <f t="shared" ca="1" si="958"/>
        <v>0</v>
      </c>
    </row>
    <row r="952" spans="5:19" x14ac:dyDescent="0.75">
      <c r="E952">
        <v>947</v>
      </c>
      <c r="F952">
        <v>100</v>
      </c>
      <c r="G952">
        <f t="shared" ca="1" si="954"/>
        <v>109.02848822340938</v>
      </c>
      <c r="H952">
        <f t="shared" ca="1" si="954"/>
        <v>128.56797414820176</v>
      </c>
      <c r="I952">
        <f t="shared" ca="1" si="954"/>
        <v>122.83441243252167</v>
      </c>
      <c r="J952">
        <f t="shared" ca="1" si="954"/>
        <v>103.39145369121294</v>
      </c>
      <c r="K952">
        <f t="shared" ref="K952:P952" ca="1" si="1007">J952*EXP(($C$4-0.5*$C$5^2)*$C$10+$C$5*SQRT($C$10)*NORMINV(RAND(),0,1))</f>
        <v>108.15380759475909</v>
      </c>
      <c r="L952">
        <f t="shared" ca="1" si="1007"/>
        <v>105.98833765887474</v>
      </c>
      <c r="M952">
        <f t="shared" ca="1" si="1007"/>
        <v>113.66518810581609</v>
      </c>
      <c r="N952">
        <f t="shared" ca="1" si="1007"/>
        <v>115.31832794447425</v>
      </c>
      <c r="O952">
        <f t="shared" ca="1" si="1007"/>
        <v>123.24172824454008</v>
      </c>
      <c r="P952">
        <f t="shared" ca="1" si="1007"/>
        <v>130.55515822075128</v>
      </c>
      <c r="Q952">
        <f t="shared" ca="1" si="956"/>
        <v>114.61317056950557</v>
      </c>
      <c r="R952">
        <f t="shared" ca="1" si="957"/>
        <v>14.61317056950557</v>
      </c>
      <c r="S952">
        <f t="shared" ca="1" si="958"/>
        <v>14.323810405034681</v>
      </c>
    </row>
    <row r="953" spans="5:19" x14ac:dyDescent="0.75">
      <c r="E953">
        <v>948</v>
      </c>
      <c r="F953">
        <v>100</v>
      </c>
      <c r="G953">
        <f t="shared" ca="1" si="954"/>
        <v>106.95742426008611</v>
      </c>
      <c r="H953">
        <f t="shared" ca="1" si="954"/>
        <v>92.344530601254974</v>
      </c>
      <c r="I953">
        <f t="shared" ca="1" si="954"/>
        <v>93.094019562121929</v>
      </c>
      <c r="J953">
        <f t="shared" ca="1" si="954"/>
        <v>87.43946114680277</v>
      </c>
      <c r="K953">
        <f t="shared" ref="K953:P953" ca="1" si="1008">J953*EXP(($C$4-0.5*$C$5^2)*$C$10+$C$5*SQRT($C$10)*NORMINV(RAND(),0,1))</f>
        <v>89.928481844949616</v>
      </c>
      <c r="L953">
        <f t="shared" ca="1" si="1008"/>
        <v>92.95299941812722</v>
      </c>
      <c r="M953">
        <f t="shared" ca="1" si="1008"/>
        <v>88.425091139098853</v>
      </c>
      <c r="N953">
        <f t="shared" ca="1" si="1008"/>
        <v>81.98247560528992</v>
      </c>
      <c r="O953">
        <f t="shared" ca="1" si="1008"/>
        <v>79.549928966687432</v>
      </c>
      <c r="P953">
        <f t="shared" ca="1" si="1008"/>
        <v>80.056464193340318</v>
      </c>
      <c r="Q953">
        <f t="shared" ca="1" si="956"/>
        <v>90.248261521614467</v>
      </c>
      <c r="R953">
        <f t="shared" ca="1" si="957"/>
        <v>0</v>
      </c>
      <c r="S953">
        <f t="shared" ca="1" si="958"/>
        <v>0</v>
      </c>
    </row>
    <row r="954" spans="5:19" x14ac:dyDescent="0.75">
      <c r="E954">
        <v>949</v>
      </c>
      <c r="F954">
        <v>100</v>
      </c>
      <c r="G954">
        <f t="shared" ca="1" si="954"/>
        <v>98.023513351482379</v>
      </c>
      <c r="H954">
        <f t="shared" ca="1" si="954"/>
        <v>101.3523966431692</v>
      </c>
      <c r="I954">
        <f t="shared" ca="1" si="954"/>
        <v>109.53932364207365</v>
      </c>
      <c r="J954">
        <f t="shared" ca="1" si="954"/>
        <v>106.8221986133243</v>
      </c>
      <c r="K954">
        <f t="shared" ref="K954:P954" ca="1" si="1009">J954*EXP(($C$4-0.5*$C$5^2)*$C$10+$C$5*SQRT($C$10)*NORMINV(RAND(),0,1))</f>
        <v>109.01565939957349</v>
      </c>
      <c r="L954">
        <f t="shared" ca="1" si="1009"/>
        <v>101.22703042854646</v>
      </c>
      <c r="M954">
        <f t="shared" ca="1" si="1009"/>
        <v>104.23397371923203</v>
      </c>
      <c r="N954">
        <f t="shared" ca="1" si="1009"/>
        <v>116.96685848860916</v>
      </c>
      <c r="O954">
        <f t="shared" ca="1" si="1009"/>
        <v>103.37356515928283</v>
      </c>
      <c r="P954">
        <f t="shared" ca="1" si="1009"/>
        <v>104.7773942090402</v>
      </c>
      <c r="Q954">
        <f t="shared" ca="1" si="956"/>
        <v>105.0301739685758</v>
      </c>
      <c r="R954">
        <f t="shared" ca="1" si="957"/>
        <v>5.0301739685757951</v>
      </c>
      <c r="S954">
        <f t="shared" ca="1" si="958"/>
        <v>4.93056985050017</v>
      </c>
    </row>
    <row r="955" spans="5:19" x14ac:dyDescent="0.75">
      <c r="E955">
        <v>950</v>
      </c>
      <c r="F955">
        <v>100</v>
      </c>
      <c r="G955">
        <f t="shared" ca="1" si="954"/>
        <v>100.75938335417662</v>
      </c>
      <c r="H955">
        <f t="shared" ca="1" si="954"/>
        <v>101.08951485198965</v>
      </c>
      <c r="I955">
        <f t="shared" ca="1" si="954"/>
        <v>99.110238492399574</v>
      </c>
      <c r="J955">
        <f t="shared" ca="1" si="954"/>
        <v>100.77836086277379</v>
      </c>
      <c r="K955">
        <f t="shared" ref="K955:P955" ca="1" si="1010">J955*EXP(($C$4-0.5*$C$5^2)*$C$10+$C$5*SQRT($C$10)*NORMINV(RAND(),0,1))</f>
        <v>100.96147069695498</v>
      </c>
      <c r="L955">
        <f t="shared" ca="1" si="1010"/>
        <v>98.848217326395172</v>
      </c>
      <c r="M955">
        <f t="shared" ca="1" si="1010"/>
        <v>81.534393887901061</v>
      </c>
      <c r="N955">
        <f t="shared" ca="1" si="1010"/>
        <v>84.090396443051475</v>
      </c>
      <c r="O955">
        <f t="shared" ca="1" si="1010"/>
        <v>82.234868354859898</v>
      </c>
      <c r="P955">
        <f t="shared" ca="1" si="1010"/>
        <v>87.249023497974122</v>
      </c>
      <c r="Q955">
        <f t="shared" ca="1" si="956"/>
        <v>94.241442524406921</v>
      </c>
      <c r="R955">
        <f t="shared" ca="1" si="957"/>
        <v>0</v>
      </c>
      <c r="S955">
        <f t="shared" ca="1" si="958"/>
        <v>0</v>
      </c>
    </row>
    <row r="956" spans="5:19" x14ac:dyDescent="0.75">
      <c r="E956">
        <v>951</v>
      </c>
      <c r="F956">
        <v>100</v>
      </c>
      <c r="G956">
        <f t="shared" ca="1" si="954"/>
        <v>104.55184472476819</v>
      </c>
      <c r="H956">
        <f t="shared" ca="1" si="954"/>
        <v>105.28912551002944</v>
      </c>
      <c r="I956">
        <f t="shared" ca="1" si="954"/>
        <v>123.53521153344153</v>
      </c>
      <c r="J956">
        <f t="shared" ca="1" si="954"/>
        <v>134.82481591356614</v>
      </c>
      <c r="K956">
        <f t="shared" ref="K956:P956" ca="1" si="1011">J956*EXP(($C$4-0.5*$C$5^2)*$C$10+$C$5*SQRT($C$10)*NORMINV(RAND(),0,1))</f>
        <v>137.87727800387202</v>
      </c>
      <c r="L956">
        <f t="shared" ca="1" si="1011"/>
        <v>129.31331457705841</v>
      </c>
      <c r="M956">
        <f t="shared" ca="1" si="1011"/>
        <v>112.97569918962998</v>
      </c>
      <c r="N956">
        <f t="shared" ca="1" si="1011"/>
        <v>115.99070681054492</v>
      </c>
      <c r="O956">
        <f t="shared" ca="1" si="1011"/>
        <v>109.27949479808912</v>
      </c>
      <c r="P956">
        <f t="shared" ca="1" si="1011"/>
        <v>107.4653077530761</v>
      </c>
      <c r="Q956">
        <f t="shared" ca="1" si="956"/>
        <v>116.46389080127962</v>
      </c>
      <c r="R956">
        <f t="shared" ca="1" si="957"/>
        <v>16.463890801279618</v>
      </c>
      <c r="S956">
        <f t="shared" ca="1" si="958"/>
        <v>16.137883920881574</v>
      </c>
    </row>
    <row r="957" spans="5:19" x14ac:dyDescent="0.75">
      <c r="E957">
        <v>952</v>
      </c>
      <c r="F957">
        <v>100</v>
      </c>
      <c r="G957">
        <f t="shared" ca="1" si="954"/>
        <v>102.17254634475526</v>
      </c>
      <c r="H957">
        <f t="shared" ca="1" si="954"/>
        <v>102.83831319279268</v>
      </c>
      <c r="I957">
        <f t="shared" ca="1" si="954"/>
        <v>108.13428159720885</v>
      </c>
      <c r="J957">
        <f t="shared" ca="1" si="954"/>
        <v>100.23292808950276</v>
      </c>
      <c r="K957">
        <f t="shared" ref="K957:P957" ca="1" si="1012">J957*EXP(($C$4-0.5*$C$5^2)*$C$10+$C$5*SQRT($C$10)*NORMINV(RAND(),0,1))</f>
        <v>96.700880989039433</v>
      </c>
      <c r="L957">
        <f t="shared" ca="1" si="1012"/>
        <v>97.168709967914978</v>
      </c>
      <c r="M957">
        <f t="shared" ca="1" si="1012"/>
        <v>100.24994070062282</v>
      </c>
      <c r="N957">
        <f t="shared" ca="1" si="1012"/>
        <v>103.19082885600002</v>
      </c>
      <c r="O957">
        <f t="shared" ca="1" si="1012"/>
        <v>99.786913361190301</v>
      </c>
      <c r="P957">
        <f t="shared" ca="1" si="1012"/>
        <v>93.147342693109067</v>
      </c>
      <c r="Q957">
        <f t="shared" ca="1" si="956"/>
        <v>100.32933507201238</v>
      </c>
      <c r="R957">
        <f t="shared" ca="1" si="957"/>
        <v>0.32933507201238399</v>
      </c>
      <c r="S957">
        <f t="shared" ca="1" si="958"/>
        <v>0.32281380065992349</v>
      </c>
    </row>
    <row r="958" spans="5:19" x14ac:dyDescent="0.75">
      <c r="E958">
        <v>953</v>
      </c>
      <c r="F958">
        <v>100</v>
      </c>
      <c r="G958">
        <f t="shared" ca="1" si="954"/>
        <v>101.82505118329119</v>
      </c>
      <c r="H958">
        <f t="shared" ca="1" si="954"/>
        <v>107.10156581198581</v>
      </c>
      <c r="I958">
        <f t="shared" ca="1" si="954"/>
        <v>107.40693353801294</v>
      </c>
      <c r="J958">
        <f t="shared" ca="1" si="954"/>
        <v>99.605840511048697</v>
      </c>
      <c r="K958">
        <f t="shared" ref="K958:P958" ca="1" si="1013">J958*EXP(($C$4-0.5*$C$5^2)*$C$10+$C$5*SQRT($C$10)*NORMINV(RAND(),0,1))</f>
        <v>95.456040967143892</v>
      </c>
      <c r="L958">
        <f t="shared" ca="1" si="1013"/>
        <v>102.29187159541704</v>
      </c>
      <c r="M958">
        <f t="shared" ca="1" si="1013"/>
        <v>106.96490834354147</v>
      </c>
      <c r="N958">
        <f t="shared" ca="1" si="1013"/>
        <v>97.411492558696267</v>
      </c>
      <c r="O958">
        <f t="shared" ca="1" si="1013"/>
        <v>100.76323720678592</v>
      </c>
      <c r="P958">
        <f t="shared" ca="1" si="1013"/>
        <v>100.78266601279154</v>
      </c>
      <c r="Q958">
        <f t="shared" ca="1" si="956"/>
        <v>101.78269161170132</v>
      </c>
      <c r="R958">
        <f t="shared" ca="1" si="957"/>
        <v>1.7826916117013241</v>
      </c>
      <c r="S958">
        <f t="shared" ca="1" si="958"/>
        <v>1.747391952704719</v>
      </c>
    </row>
    <row r="959" spans="5:19" x14ac:dyDescent="0.75">
      <c r="E959">
        <v>954</v>
      </c>
      <c r="F959">
        <v>100</v>
      </c>
      <c r="G959">
        <f t="shared" ca="1" si="954"/>
        <v>98.49651750991346</v>
      </c>
      <c r="H959">
        <f t="shared" ca="1" si="954"/>
        <v>100.85958695669422</v>
      </c>
      <c r="I959">
        <f t="shared" ca="1" si="954"/>
        <v>117.98560789557627</v>
      </c>
      <c r="J959">
        <f t="shared" ca="1" si="954"/>
        <v>121.16436691026065</v>
      </c>
      <c r="K959">
        <f t="shared" ref="K959:P959" ca="1" si="1014">J959*EXP(($C$4-0.5*$C$5^2)*$C$10+$C$5*SQRT($C$10)*NORMINV(RAND(),0,1))</f>
        <v>131.51837422892226</v>
      </c>
      <c r="L959">
        <f t="shared" ca="1" si="1014"/>
        <v>152.27459602393446</v>
      </c>
      <c r="M959">
        <f t="shared" ca="1" si="1014"/>
        <v>145.98943921029661</v>
      </c>
      <c r="N959">
        <f t="shared" ca="1" si="1014"/>
        <v>148.28531212181602</v>
      </c>
      <c r="O959">
        <f t="shared" ca="1" si="1014"/>
        <v>138.3147698022409</v>
      </c>
      <c r="P959">
        <f t="shared" ca="1" si="1014"/>
        <v>138.18244503942873</v>
      </c>
      <c r="Q959">
        <f t="shared" ca="1" si="956"/>
        <v>126.64281960900759</v>
      </c>
      <c r="R959">
        <f t="shared" ca="1" si="957"/>
        <v>26.642819609007589</v>
      </c>
      <c r="S959">
        <f t="shared" ca="1" si="958"/>
        <v>26.115256433900441</v>
      </c>
    </row>
    <row r="960" spans="5:19" x14ac:dyDescent="0.75">
      <c r="E960">
        <v>955</v>
      </c>
      <c r="F960">
        <v>100</v>
      </c>
      <c r="G960">
        <f t="shared" ca="1" si="954"/>
        <v>96.275760489783252</v>
      </c>
      <c r="H960">
        <f t="shared" ca="1" si="954"/>
        <v>94.360904679390359</v>
      </c>
      <c r="I960">
        <f t="shared" ca="1" si="954"/>
        <v>98.543787068541633</v>
      </c>
      <c r="J960">
        <f t="shared" ca="1" si="954"/>
        <v>91.331454379033332</v>
      </c>
      <c r="K960">
        <f t="shared" ref="K960:P960" ca="1" si="1015">J960*EXP(($C$4-0.5*$C$5^2)*$C$10+$C$5*SQRT($C$10)*NORMINV(RAND(),0,1))</f>
        <v>100.68656902384015</v>
      </c>
      <c r="L960">
        <f t="shared" ca="1" si="1015"/>
        <v>112.55503523048434</v>
      </c>
      <c r="M960">
        <f t="shared" ca="1" si="1015"/>
        <v>105.76754401710102</v>
      </c>
      <c r="N960">
        <f t="shared" ca="1" si="1015"/>
        <v>103.30881572082055</v>
      </c>
      <c r="O960">
        <f t="shared" ca="1" si="1015"/>
        <v>101.49853093125139</v>
      </c>
      <c r="P960">
        <f t="shared" ca="1" si="1015"/>
        <v>102.27476369394832</v>
      </c>
      <c r="Q960">
        <f t="shared" ca="1" si="956"/>
        <v>100.60028774856313</v>
      </c>
      <c r="R960">
        <f t="shared" ca="1" si="957"/>
        <v>0.60028774856313305</v>
      </c>
      <c r="S960">
        <f t="shared" ca="1" si="958"/>
        <v>0.58840125474388205</v>
      </c>
    </row>
    <row r="961" spans="5:19" x14ac:dyDescent="0.75">
      <c r="E961">
        <v>956</v>
      </c>
      <c r="F961">
        <v>100</v>
      </c>
      <c r="G961">
        <f t="shared" ca="1" si="954"/>
        <v>99.780183751775027</v>
      </c>
      <c r="H961">
        <f t="shared" ca="1" si="954"/>
        <v>109.06562452960294</v>
      </c>
      <c r="I961">
        <f t="shared" ca="1" si="954"/>
        <v>136.58543433766994</v>
      </c>
      <c r="J961">
        <f t="shared" ca="1" si="954"/>
        <v>150.61607254933813</v>
      </c>
      <c r="K961">
        <f t="shared" ref="K961:P961" ca="1" si="1016">J961*EXP(($C$4-0.5*$C$5^2)*$C$10+$C$5*SQRT($C$10)*NORMINV(RAND(),0,1))</f>
        <v>159.36988282771512</v>
      </c>
      <c r="L961">
        <f t="shared" ca="1" si="1016"/>
        <v>154.9773336673012</v>
      </c>
      <c r="M961">
        <f t="shared" ca="1" si="1016"/>
        <v>148.93033821352998</v>
      </c>
      <c r="N961">
        <f t="shared" ca="1" si="1016"/>
        <v>140.06163496724525</v>
      </c>
      <c r="O961">
        <f t="shared" ca="1" si="1016"/>
        <v>159.75407125802781</v>
      </c>
      <c r="P961">
        <f t="shared" ca="1" si="1016"/>
        <v>166.67924124760265</v>
      </c>
      <c r="Q961">
        <f t="shared" ca="1" si="956"/>
        <v>138.71089248634618</v>
      </c>
      <c r="R961">
        <f t="shared" ca="1" si="957"/>
        <v>38.710892486346182</v>
      </c>
      <c r="S961">
        <f t="shared" ca="1" si="958"/>
        <v>37.94436545763697</v>
      </c>
    </row>
    <row r="962" spans="5:19" x14ac:dyDescent="0.75">
      <c r="E962">
        <v>957</v>
      </c>
      <c r="F962">
        <v>100</v>
      </c>
      <c r="G962">
        <f t="shared" ca="1" si="954"/>
        <v>102.32139833145165</v>
      </c>
      <c r="H962">
        <f t="shared" ca="1" si="954"/>
        <v>104.03894691644649</v>
      </c>
      <c r="I962">
        <f t="shared" ca="1" si="954"/>
        <v>106.57899466810774</v>
      </c>
      <c r="J962">
        <f t="shared" ca="1" si="954"/>
        <v>105.98128941252023</v>
      </c>
      <c r="K962">
        <f t="shared" ref="K962:P962" ca="1" si="1017">J962*EXP(($C$4-0.5*$C$5^2)*$C$10+$C$5*SQRT($C$10)*NORMINV(RAND(),0,1))</f>
        <v>103.77146738457915</v>
      </c>
      <c r="L962">
        <f t="shared" ca="1" si="1017"/>
        <v>101.28608144956216</v>
      </c>
      <c r="M962">
        <f t="shared" ca="1" si="1017"/>
        <v>99.621312806942171</v>
      </c>
      <c r="N962">
        <f t="shared" ca="1" si="1017"/>
        <v>103.73807221684666</v>
      </c>
      <c r="O962">
        <f t="shared" ca="1" si="1017"/>
        <v>107.66582437164048</v>
      </c>
      <c r="P962">
        <f t="shared" ca="1" si="1017"/>
        <v>97.647899718368166</v>
      </c>
      <c r="Q962">
        <f t="shared" ca="1" si="956"/>
        <v>102.96829884331497</v>
      </c>
      <c r="R962">
        <f t="shared" ca="1" si="957"/>
        <v>2.9682988433149688</v>
      </c>
      <c r="S962">
        <f t="shared" ca="1" si="958"/>
        <v>2.9095225881953088</v>
      </c>
    </row>
    <row r="963" spans="5:19" x14ac:dyDescent="0.75">
      <c r="E963">
        <v>958</v>
      </c>
      <c r="F963">
        <v>100</v>
      </c>
      <c r="G963">
        <f t="shared" ca="1" si="954"/>
        <v>104.49091540161182</v>
      </c>
      <c r="H963">
        <f t="shared" ca="1" si="954"/>
        <v>115.66710022978951</v>
      </c>
      <c r="I963">
        <f t="shared" ca="1" si="954"/>
        <v>105.92255837856915</v>
      </c>
      <c r="J963">
        <f t="shared" ca="1" si="954"/>
        <v>105.31748961334362</v>
      </c>
      <c r="K963">
        <f t="shared" ref="K963:P963" ca="1" si="1018">J963*EXP(($C$4-0.5*$C$5^2)*$C$10+$C$5*SQRT($C$10)*NORMINV(RAND(),0,1))</f>
        <v>101.32416811982998</v>
      </c>
      <c r="L963">
        <f t="shared" ca="1" si="1018"/>
        <v>106.94683755632759</v>
      </c>
      <c r="M963">
        <f t="shared" ca="1" si="1018"/>
        <v>111.88559236549489</v>
      </c>
      <c r="N963">
        <f t="shared" ca="1" si="1018"/>
        <v>99.61618432860682</v>
      </c>
      <c r="O963">
        <f t="shared" ca="1" si="1018"/>
        <v>92.477973889498088</v>
      </c>
      <c r="P963">
        <f t="shared" ca="1" si="1018"/>
        <v>91.03182900086594</v>
      </c>
      <c r="Q963">
        <f t="shared" ca="1" si="956"/>
        <v>103.15278626217611</v>
      </c>
      <c r="R963">
        <f t="shared" ca="1" si="957"/>
        <v>3.1527862621761074</v>
      </c>
      <c r="S963">
        <f t="shared" ca="1" si="958"/>
        <v>3.0903569114047844</v>
      </c>
    </row>
    <row r="964" spans="5:19" x14ac:dyDescent="0.75">
      <c r="E964">
        <v>959</v>
      </c>
      <c r="F964">
        <v>100</v>
      </c>
      <c r="G964">
        <f t="shared" ca="1" si="954"/>
        <v>96.273921888222119</v>
      </c>
      <c r="H964">
        <f t="shared" ca="1" si="954"/>
        <v>94.078188997154371</v>
      </c>
      <c r="I964">
        <f t="shared" ca="1" si="954"/>
        <v>103.20698104701754</v>
      </c>
      <c r="J964">
        <f t="shared" ca="1" si="954"/>
        <v>99.520103036569722</v>
      </c>
      <c r="K964">
        <f t="shared" ref="K964:P964" ca="1" si="1019">J964*EXP(($C$4-0.5*$C$5^2)*$C$10+$C$5*SQRT($C$10)*NORMINV(RAND(),0,1))</f>
        <v>96.698457286059707</v>
      </c>
      <c r="L964">
        <f t="shared" ca="1" si="1019"/>
        <v>94.831058687107557</v>
      </c>
      <c r="M964">
        <f t="shared" ca="1" si="1019"/>
        <v>98.556950347101719</v>
      </c>
      <c r="N964">
        <f t="shared" ca="1" si="1019"/>
        <v>95.787839265924561</v>
      </c>
      <c r="O964">
        <f t="shared" ca="1" si="1019"/>
        <v>91.335959397919382</v>
      </c>
      <c r="P964">
        <f t="shared" ca="1" si="1019"/>
        <v>91.297602074917492</v>
      </c>
      <c r="Q964">
        <f t="shared" ca="1" si="956"/>
        <v>96.507914729817642</v>
      </c>
      <c r="R964">
        <f t="shared" ca="1" si="957"/>
        <v>0</v>
      </c>
      <c r="S964">
        <f t="shared" ca="1" si="958"/>
        <v>0</v>
      </c>
    </row>
    <row r="965" spans="5:19" x14ac:dyDescent="0.75">
      <c r="E965">
        <v>960</v>
      </c>
      <c r="F965">
        <v>100</v>
      </c>
      <c r="G965">
        <f t="shared" ca="1" si="954"/>
        <v>98.507198391140378</v>
      </c>
      <c r="H965">
        <f t="shared" ca="1" si="954"/>
        <v>105.3129940945916</v>
      </c>
      <c r="I965">
        <f t="shared" ca="1" si="954"/>
        <v>112.96555679641749</v>
      </c>
      <c r="J965">
        <f t="shared" ca="1" si="954"/>
        <v>116.54833993771132</v>
      </c>
      <c r="K965">
        <f t="shared" ref="K965:P965" ca="1" si="1020">J965*EXP(($C$4-0.5*$C$5^2)*$C$10+$C$5*SQRT($C$10)*NORMINV(RAND(),0,1))</f>
        <v>118.16906737025593</v>
      </c>
      <c r="L965">
        <f t="shared" ca="1" si="1020"/>
        <v>117.41966478755327</v>
      </c>
      <c r="M965">
        <f t="shared" ca="1" si="1020"/>
        <v>124.31937788873621</v>
      </c>
      <c r="N965">
        <f t="shared" ca="1" si="1020"/>
        <v>117.84858642448924</v>
      </c>
      <c r="O965">
        <f t="shared" ca="1" si="1020"/>
        <v>117.49639547889603</v>
      </c>
      <c r="P965">
        <f t="shared" ca="1" si="1020"/>
        <v>126.88210316125198</v>
      </c>
      <c r="Q965">
        <f t="shared" ca="1" si="956"/>
        <v>114.13357130282212</v>
      </c>
      <c r="R965">
        <f t="shared" ca="1" si="957"/>
        <v>14.133571302822119</v>
      </c>
      <c r="S965">
        <f t="shared" ca="1" si="958"/>
        <v>13.853707840112669</v>
      </c>
    </row>
    <row r="966" spans="5:19" x14ac:dyDescent="0.75">
      <c r="E966">
        <v>961</v>
      </c>
      <c r="F966">
        <v>100</v>
      </c>
      <c r="G966">
        <f t="shared" ca="1" si="954"/>
        <v>105.75354405579907</v>
      </c>
      <c r="H966">
        <f t="shared" ca="1" si="954"/>
        <v>104.53378472895865</v>
      </c>
      <c r="I966">
        <f t="shared" ca="1" si="954"/>
        <v>105.39027799201514</v>
      </c>
      <c r="J966">
        <f t="shared" ref="J966:P966" ca="1" si="1021">I966*EXP(($C$4-0.5*$C$5^2)*$C$10+$C$5*SQRT($C$10)*NORMINV(RAND(),0,1))</f>
        <v>96.872717559345958</v>
      </c>
      <c r="K966">
        <f t="shared" ca="1" si="1021"/>
        <v>94.202214090601643</v>
      </c>
      <c r="L966">
        <f t="shared" ca="1" si="1021"/>
        <v>93.433005104808117</v>
      </c>
      <c r="M966">
        <f t="shared" ca="1" si="1021"/>
        <v>100.10436283850186</v>
      </c>
      <c r="N966">
        <f t="shared" ca="1" si="1021"/>
        <v>88.024753397259062</v>
      </c>
      <c r="O966">
        <f t="shared" ca="1" si="1021"/>
        <v>82.704320946278145</v>
      </c>
      <c r="P966">
        <f t="shared" ca="1" si="1021"/>
        <v>95.294946314667527</v>
      </c>
      <c r="Q966">
        <f t="shared" ca="1" si="956"/>
        <v>96.937629729839543</v>
      </c>
      <c r="R966">
        <f t="shared" ca="1" si="957"/>
        <v>0</v>
      </c>
      <c r="S966">
        <f t="shared" ca="1" si="958"/>
        <v>0</v>
      </c>
    </row>
    <row r="967" spans="5:19" x14ac:dyDescent="0.75">
      <c r="E967">
        <v>962</v>
      </c>
      <c r="F967">
        <v>100</v>
      </c>
      <c r="G967">
        <f t="shared" ref="G967:M1005" ca="1" si="1022">F967*EXP(($C$4-0.5*$C$5^2)*$C$10+$C$5*SQRT($C$10)*NORMINV(RAND(),0,1))</f>
        <v>108.98429446286499</v>
      </c>
      <c r="H967">
        <f t="shared" ca="1" si="1022"/>
        <v>112.63146058235917</v>
      </c>
      <c r="I967">
        <f t="shared" ca="1" si="1022"/>
        <v>115.77448967259244</v>
      </c>
      <c r="J967">
        <f t="shared" ca="1" si="1022"/>
        <v>116.10185650380157</v>
      </c>
      <c r="K967">
        <f t="shared" ca="1" si="1022"/>
        <v>125.3299420361441</v>
      </c>
      <c r="L967">
        <f t="shared" ca="1" si="1022"/>
        <v>124.77924926731662</v>
      </c>
      <c r="M967">
        <f t="shared" ca="1" si="1022"/>
        <v>123.89341914824718</v>
      </c>
      <c r="N967">
        <f t="shared" ref="N967:P967" ca="1" si="1023">M967*EXP(($C$4-0.5*$C$5^2)*$C$10+$C$5*SQRT($C$10)*NORMINV(RAND(),0,1))</f>
        <v>121.375920431639</v>
      </c>
      <c r="O967">
        <f t="shared" ca="1" si="1023"/>
        <v>123.67114376969995</v>
      </c>
      <c r="P967">
        <f t="shared" ca="1" si="1023"/>
        <v>116.85130458581756</v>
      </c>
      <c r="Q967">
        <f t="shared" ref="Q967:Q1005" ca="1" si="1024">AVERAGE(F967:P967)</f>
        <v>117.21755276913478</v>
      </c>
      <c r="R967">
        <f t="shared" ref="R967:R1005" ca="1" si="1025">MAX(Q967-$C$7,0)</f>
        <v>17.217552769134784</v>
      </c>
      <c r="S967">
        <f t="shared" ref="S967:S1005" ca="1" si="1026">EXP(-$C$4*$C$6)*R967</f>
        <v>16.876622381894965</v>
      </c>
    </row>
    <row r="968" spans="5:19" x14ac:dyDescent="0.75">
      <c r="E968">
        <v>963</v>
      </c>
      <c r="F968">
        <v>100</v>
      </c>
      <c r="G968">
        <f t="shared" ca="1" si="1022"/>
        <v>99.553015672926747</v>
      </c>
      <c r="H968">
        <f t="shared" ca="1" si="1022"/>
        <v>101.85745069329631</v>
      </c>
      <c r="I968">
        <f t="shared" ca="1" si="1022"/>
        <v>107.29013538805205</v>
      </c>
      <c r="J968">
        <f t="shared" ca="1" si="1022"/>
        <v>103.36346208080681</v>
      </c>
      <c r="K968">
        <f t="shared" ca="1" si="1022"/>
        <v>98.879382735141249</v>
      </c>
      <c r="L968">
        <f t="shared" ca="1" si="1022"/>
        <v>107.90889715093458</v>
      </c>
      <c r="M968">
        <f t="shared" ca="1" si="1022"/>
        <v>111.26461755565595</v>
      </c>
      <c r="N968">
        <f t="shared" ref="N968:P968" ca="1" si="1027">M968*EXP(($C$4-0.5*$C$5^2)*$C$10+$C$5*SQRT($C$10)*NORMINV(RAND(),0,1))</f>
        <v>108.13504358425097</v>
      </c>
      <c r="O968">
        <f t="shared" ca="1" si="1027"/>
        <v>95.812299836797436</v>
      </c>
      <c r="P968">
        <f t="shared" ca="1" si="1027"/>
        <v>94.903060827991283</v>
      </c>
      <c r="Q968">
        <f t="shared" ca="1" si="1024"/>
        <v>102.63339686598668</v>
      </c>
      <c r="R968">
        <f t="shared" ca="1" si="1025"/>
        <v>2.6333968659866827</v>
      </c>
      <c r="S968">
        <f t="shared" ca="1" si="1026"/>
        <v>2.5812521143303133</v>
      </c>
    </row>
    <row r="969" spans="5:19" x14ac:dyDescent="0.75">
      <c r="E969">
        <v>964</v>
      </c>
      <c r="F969">
        <v>100</v>
      </c>
      <c r="G969">
        <f t="shared" ca="1" si="1022"/>
        <v>100.43339012889854</v>
      </c>
      <c r="H969">
        <f t="shared" ca="1" si="1022"/>
        <v>107.60225455928968</v>
      </c>
      <c r="I969">
        <f t="shared" ca="1" si="1022"/>
        <v>110.86339375548728</v>
      </c>
      <c r="J969">
        <f t="shared" ca="1" si="1022"/>
        <v>115.89416978115459</v>
      </c>
      <c r="K969">
        <f t="shared" ca="1" si="1022"/>
        <v>120.44467329264897</v>
      </c>
      <c r="L969">
        <f t="shared" ca="1" si="1022"/>
        <v>115.53604218851258</v>
      </c>
      <c r="M969">
        <f t="shared" ca="1" si="1022"/>
        <v>128.30261714381518</v>
      </c>
      <c r="N969">
        <f t="shared" ref="N969:P969" ca="1" si="1028">M969*EXP(($C$4-0.5*$C$5^2)*$C$10+$C$5*SQRT($C$10)*NORMINV(RAND(),0,1))</f>
        <v>131.79715285439994</v>
      </c>
      <c r="O969">
        <f t="shared" ca="1" si="1028"/>
        <v>145.06584596036603</v>
      </c>
      <c r="P969">
        <f t="shared" ca="1" si="1028"/>
        <v>130.83283934332925</v>
      </c>
      <c r="Q969">
        <f t="shared" ca="1" si="1024"/>
        <v>118.79748900071836</v>
      </c>
      <c r="R969">
        <f t="shared" ca="1" si="1025"/>
        <v>18.797489000718357</v>
      </c>
      <c r="S969">
        <f t="shared" ca="1" si="1026"/>
        <v>18.42527378000246</v>
      </c>
    </row>
    <row r="970" spans="5:19" x14ac:dyDescent="0.75">
      <c r="E970">
        <v>965</v>
      </c>
      <c r="F970">
        <v>100</v>
      </c>
      <c r="G970">
        <f t="shared" ca="1" si="1022"/>
        <v>98.596564519163522</v>
      </c>
      <c r="H970">
        <f t="shared" ca="1" si="1022"/>
        <v>114.7019851666799</v>
      </c>
      <c r="I970">
        <f t="shared" ca="1" si="1022"/>
        <v>103.95537213939819</v>
      </c>
      <c r="J970">
        <f t="shared" ca="1" si="1022"/>
        <v>108.59838568612631</v>
      </c>
      <c r="K970">
        <f t="shared" ca="1" si="1022"/>
        <v>114.80147114763511</v>
      </c>
      <c r="L970">
        <f t="shared" ca="1" si="1022"/>
        <v>114.82614500711327</v>
      </c>
      <c r="M970">
        <f t="shared" ca="1" si="1022"/>
        <v>105.24886846565377</v>
      </c>
      <c r="N970">
        <f t="shared" ref="N970:P970" ca="1" si="1029">M970*EXP(($C$4-0.5*$C$5^2)*$C$10+$C$5*SQRT($C$10)*NORMINV(RAND(),0,1))</f>
        <v>97.838629396982242</v>
      </c>
      <c r="O970">
        <f t="shared" ca="1" si="1029"/>
        <v>107.93952034628521</v>
      </c>
      <c r="P970">
        <f t="shared" ca="1" si="1029"/>
        <v>104.20253212056528</v>
      </c>
      <c r="Q970">
        <f t="shared" ca="1" si="1024"/>
        <v>106.42813399960026</v>
      </c>
      <c r="R970">
        <f t="shared" ca="1" si="1025"/>
        <v>6.4281339996002629</v>
      </c>
      <c r="S970">
        <f t="shared" ca="1" si="1026"/>
        <v>6.3008484182462237</v>
      </c>
    </row>
    <row r="971" spans="5:19" x14ac:dyDescent="0.75">
      <c r="E971">
        <v>966</v>
      </c>
      <c r="F971">
        <v>100</v>
      </c>
      <c r="G971">
        <f t="shared" ca="1" si="1022"/>
        <v>109.01031395529759</v>
      </c>
      <c r="H971">
        <f t="shared" ca="1" si="1022"/>
        <v>108.8396716540507</v>
      </c>
      <c r="I971">
        <f t="shared" ca="1" si="1022"/>
        <v>104.95628072950751</v>
      </c>
      <c r="J971">
        <f t="shared" ca="1" si="1022"/>
        <v>98.593991371281263</v>
      </c>
      <c r="K971">
        <f t="shared" ca="1" si="1022"/>
        <v>103.10204869788362</v>
      </c>
      <c r="L971">
        <f t="shared" ca="1" si="1022"/>
        <v>98.337659037739726</v>
      </c>
      <c r="M971">
        <f t="shared" ca="1" si="1022"/>
        <v>98.899073695641917</v>
      </c>
      <c r="N971">
        <f t="shared" ref="N971:P971" ca="1" si="1030">M971*EXP(($C$4-0.5*$C$5^2)*$C$10+$C$5*SQRT($C$10)*NORMINV(RAND(),0,1))</f>
        <v>107.19729940692727</v>
      </c>
      <c r="O971">
        <f t="shared" ca="1" si="1030"/>
        <v>112.21952708074076</v>
      </c>
      <c r="P971">
        <f t="shared" ca="1" si="1030"/>
        <v>113.62441396050322</v>
      </c>
      <c r="Q971">
        <f t="shared" ca="1" si="1024"/>
        <v>104.98002541723399</v>
      </c>
      <c r="R971">
        <f t="shared" ca="1" si="1025"/>
        <v>4.9800254172339891</v>
      </c>
      <c r="S971">
        <f t="shared" ca="1" si="1026"/>
        <v>4.8814143070066764</v>
      </c>
    </row>
    <row r="972" spans="5:19" x14ac:dyDescent="0.75">
      <c r="E972">
        <v>967</v>
      </c>
      <c r="F972">
        <v>100</v>
      </c>
      <c r="G972">
        <f t="shared" ca="1" si="1022"/>
        <v>92.961707836424495</v>
      </c>
      <c r="H972">
        <f t="shared" ca="1" si="1022"/>
        <v>91.047078636233024</v>
      </c>
      <c r="I972">
        <f t="shared" ca="1" si="1022"/>
        <v>94.099199007492089</v>
      </c>
      <c r="J972">
        <f t="shared" ca="1" si="1022"/>
        <v>101.47392820729655</v>
      </c>
      <c r="K972">
        <f t="shared" ca="1" si="1022"/>
        <v>99.775616238679504</v>
      </c>
      <c r="L972">
        <f t="shared" ca="1" si="1022"/>
        <v>102.629136354915</v>
      </c>
      <c r="M972">
        <f t="shared" ca="1" si="1022"/>
        <v>107.64438963541502</v>
      </c>
      <c r="N972">
        <f t="shared" ref="N972:P972" ca="1" si="1031">M972*EXP(($C$4-0.5*$C$5^2)*$C$10+$C$5*SQRT($C$10)*NORMINV(RAND(),0,1))</f>
        <v>109.37004388990523</v>
      </c>
      <c r="O972">
        <f t="shared" ca="1" si="1031"/>
        <v>109.29168129194188</v>
      </c>
      <c r="P972">
        <f t="shared" ca="1" si="1031"/>
        <v>115.19606528716039</v>
      </c>
      <c r="Q972">
        <f t="shared" ca="1" si="1024"/>
        <v>102.13534967140573</v>
      </c>
      <c r="R972">
        <f t="shared" ca="1" si="1025"/>
        <v>2.1353496714057343</v>
      </c>
      <c r="S972">
        <f t="shared" ca="1" si="1026"/>
        <v>2.0930669149579164</v>
      </c>
    </row>
    <row r="973" spans="5:19" x14ac:dyDescent="0.75">
      <c r="E973">
        <v>968</v>
      </c>
      <c r="F973">
        <v>100</v>
      </c>
      <c r="G973">
        <f t="shared" ca="1" si="1022"/>
        <v>90.105407740231954</v>
      </c>
      <c r="H973">
        <f t="shared" ca="1" si="1022"/>
        <v>91.285461244955286</v>
      </c>
      <c r="I973">
        <f t="shared" ca="1" si="1022"/>
        <v>97.41092402612756</v>
      </c>
      <c r="J973">
        <f t="shared" ca="1" si="1022"/>
        <v>109.50039145679057</v>
      </c>
      <c r="K973">
        <f t="shared" ca="1" si="1022"/>
        <v>112.12514482619513</v>
      </c>
      <c r="L973">
        <f t="shared" ca="1" si="1022"/>
        <v>109.12297901004121</v>
      </c>
      <c r="M973">
        <f t="shared" ca="1" si="1022"/>
        <v>110.73402563286184</v>
      </c>
      <c r="N973">
        <f t="shared" ref="N973:P973" ca="1" si="1032">M973*EXP(($C$4-0.5*$C$5^2)*$C$10+$C$5*SQRT($C$10)*NORMINV(RAND(),0,1))</f>
        <v>107.2513595606204</v>
      </c>
      <c r="O973">
        <f t="shared" ca="1" si="1032"/>
        <v>113.65233673704451</v>
      </c>
      <c r="P973">
        <f t="shared" ca="1" si="1032"/>
        <v>111.88302814051626</v>
      </c>
      <c r="Q973">
        <f t="shared" ca="1" si="1024"/>
        <v>104.82464167048951</v>
      </c>
      <c r="R973">
        <f t="shared" ca="1" si="1025"/>
        <v>4.8246416704895125</v>
      </c>
      <c r="S973">
        <f t="shared" ca="1" si="1026"/>
        <v>4.7291073645943076</v>
      </c>
    </row>
    <row r="974" spans="5:19" x14ac:dyDescent="0.75">
      <c r="E974">
        <v>969</v>
      </c>
      <c r="F974">
        <v>100</v>
      </c>
      <c r="G974">
        <f t="shared" ca="1" si="1022"/>
        <v>97.740335734038808</v>
      </c>
      <c r="H974">
        <f t="shared" ca="1" si="1022"/>
        <v>97.727050814540647</v>
      </c>
      <c r="I974">
        <f t="shared" ca="1" si="1022"/>
        <v>99.570204217838352</v>
      </c>
      <c r="J974">
        <f t="shared" ca="1" si="1022"/>
        <v>106.12216027971773</v>
      </c>
      <c r="K974">
        <f t="shared" ca="1" si="1022"/>
        <v>92.732798489807351</v>
      </c>
      <c r="L974">
        <f t="shared" ca="1" si="1022"/>
        <v>97.722146966712742</v>
      </c>
      <c r="M974">
        <f t="shared" ca="1" si="1022"/>
        <v>86.535494111866655</v>
      </c>
      <c r="N974">
        <f t="shared" ref="N974:P974" ca="1" si="1033">M974*EXP(($C$4-0.5*$C$5^2)*$C$10+$C$5*SQRT($C$10)*NORMINV(RAND(),0,1))</f>
        <v>77.281898064551172</v>
      </c>
      <c r="O974">
        <f t="shared" ca="1" si="1033"/>
        <v>74.832776450895295</v>
      </c>
      <c r="P974">
        <f t="shared" ca="1" si="1033"/>
        <v>79.022826627759528</v>
      </c>
      <c r="Q974">
        <f t="shared" ca="1" si="1024"/>
        <v>91.753426523429852</v>
      </c>
      <c r="R974">
        <f t="shared" ca="1" si="1025"/>
        <v>0</v>
      </c>
      <c r="S974">
        <f t="shared" ca="1" si="1026"/>
        <v>0</v>
      </c>
    </row>
    <row r="975" spans="5:19" x14ac:dyDescent="0.75">
      <c r="E975">
        <v>970</v>
      </c>
      <c r="F975">
        <v>100</v>
      </c>
      <c r="G975">
        <f t="shared" ca="1" si="1022"/>
        <v>107.88066942522229</v>
      </c>
      <c r="H975">
        <f t="shared" ca="1" si="1022"/>
        <v>109.32899574411455</v>
      </c>
      <c r="I975">
        <f t="shared" ca="1" si="1022"/>
        <v>99.980913564794989</v>
      </c>
      <c r="J975">
        <f t="shared" ca="1" si="1022"/>
        <v>89.563391782342535</v>
      </c>
      <c r="K975">
        <f t="shared" ca="1" si="1022"/>
        <v>83.967902420539531</v>
      </c>
      <c r="L975">
        <f t="shared" ca="1" si="1022"/>
        <v>74.797858554173914</v>
      </c>
      <c r="M975">
        <f t="shared" ca="1" si="1022"/>
        <v>76.819813387738421</v>
      </c>
      <c r="N975">
        <f t="shared" ref="N975:P975" ca="1" si="1034">M975*EXP(($C$4-0.5*$C$5^2)*$C$10+$C$5*SQRT($C$10)*NORMINV(RAND(),0,1))</f>
        <v>73.242749671892469</v>
      </c>
      <c r="O975">
        <f t="shared" ca="1" si="1034"/>
        <v>71.294373106902341</v>
      </c>
      <c r="P975">
        <f t="shared" ca="1" si="1034"/>
        <v>69.113792615076932</v>
      </c>
      <c r="Q975">
        <f t="shared" ca="1" si="1024"/>
        <v>86.908223661163461</v>
      </c>
      <c r="R975">
        <f t="shared" ca="1" si="1025"/>
        <v>0</v>
      </c>
      <c r="S975">
        <f t="shared" ca="1" si="1026"/>
        <v>0</v>
      </c>
    </row>
    <row r="976" spans="5:19" x14ac:dyDescent="0.75">
      <c r="E976">
        <v>971</v>
      </c>
      <c r="F976">
        <v>100</v>
      </c>
      <c r="G976">
        <f t="shared" ca="1" si="1022"/>
        <v>101.48780844354404</v>
      </c>
      <c r="H976">
        <f t="shared" ca="1" si="1022"/>
        <v>107.56214458483873</v>
      </c>
      <c r="I976">
        <f t="shared" ca="1" si="1022"/>
        <v>107.75898203702735</v>
      </c>
      <c r="J976">
        <f t="shared" ca="1" si="1022"/>
        <v>109.43365691125709</v>
      </c>
      <c r="K976">
        <f t="shared" ca="1" si="1022"/>
        <v>115.32742637605531</v>
      </c>
      <c r="L976">
        <f t="shared" ca="1" si="1022"/>
        <v>109.91066427092471</v>
      </c>
      <c r="M976">
        <f t="shared" ca="1" si="1022"/>
        <v>121.27674147807372</v>
      </c>
      <c r="N976">
        <f t="shared" ref="N976:P976" ca="1" si="1035">M976*EXP(($C$4-0.5*$C$5^2)*$C$10+$C$5*SQRT($C$10)*NORMINV(RAND(),0,1))</f>
        <v>130.54605992830579</v>
      </c>
      <c r="O976">
        <f t="shared" ca="1" si="1035"/>
        <v>130.52883689568679</v>
      </c>
      <c r="P976">
        <f t="shared" ca="1" si="1035"/>
        <v>128.93823181333372</v>
      </c>
      <c r="Q976">
        <f t="shared" ca="1" si="1024"/>
        <v>114.79732297627702</v>
      </c>
      <c r="R976">
        <f t="shared" ca="1" si="1025"/>
        <v>14.797322976277016</v>
      </c>
      <c r="S976">
        <f t="shared" ca="1" si="1026"/>
        <v>14.504316349838298</v>
      </c>
    </row>
    <row r="977" spans="5:19" x14ac:dyDescent="0.75">
      <c r="E977">
        <v>972</v>
      </c>
      <c r="F977">
        <v>100</v>
      </c>
      <c r="G977">
        <f t="shared" ca="1" si="1022"/>
        <v>99.11138587327811</v>
      </c>
      <c r="H977">
        <f t="shared" ca="1" si="1022"/>
        <v>102.95637542819428</v>
      </c>
      <c r="I977">
        <f t="shared" ca="1" si="1022"/>
        <v>109.45377715148605</v>
      </c>
      <c r="J977">
        <f t="shared" ca="1" si="1022"/>
        <v>110.71224969568067</v>
      </c>
      <c r="K977">
        <f t="shared" ca="1" si="1022"/>
        <v>109.45040255503397</v>
      </c>
      <c r="L977">
        <f t="shared" ca="1" si="1022"/>
        <v>102.57590362258622</v>
      </c>
      <c r="M977">
        <f t="shared" ca="1" si="1022"/>
        <v>104.49451707213071</v>
      </c>
      <c r="N977">
        <f t="shared" ref="N977:P977" ca="1" si="1036">M977*EXP(($C$4-0.5*$C$5^2)*$C$10+$C$5*SQRT($C$10)*NORMINV(RAND(),0,1))</f>
        <v>110.82908286051104</v>
      </c>
      <c r="O977">
        <f t="shared" ca="1" si="1036"/>
        <v>103.47506249212832</v>
      </c>
      <c r="P977">
        <f t="shared" ca="1" si="1036"/>
        <v>100.69954069421884</v>
      </c>
      <c r="Q977">
        <f t="shared" ca="1" si="1024"/>
        <v>104.88711794956802</v>
      </c>
      <c r="R977">
        <f t="shared" ca="1" si="1025"/>
        <v>4.8871179495680224</v>
      </c>
      <c r="S977">
        <f t="shared" ca="1" si="1026"/>
        <v>4.790346530460206</v>
      </c>
    </row>
    <row r="978" spans="5:19" x14ac:dyDescent="0.75">
      <c r="E978">
        <v>973</v>
      </c>
      <c r="F978">
        <v>100</v>
      </c>
      <c r="G978">
        <f t="shared" ca="1" si="1022"/>
        <v>100.37591529275511</v>
      </c>
      <c r="H978">
        <f t="shared" ca="1" si="1022"/>
        <v>94.080929578337816</v>
      </c>
      <c r="I978">
        <f t="shared" ca="1" si="1022"/>
        <v>88.554302596589366</v>
      </c>
      <c r="J978">
        <f t="shared" ca="1" si="1022"/>
        <v>85.506836593163214</v>
      </c>
      <c r="K978">
        <f t="shared" ca="1" si="1022"/>
        <v>85.33422109135077</v>
      </c>
      <c r="L978">
        <f t="shared" ca="1" si="1022"/>
        <v>87.240064013286613</v>
      </c>
      <c r="M978">
        <f t="shared" ca="1" si="1022"/>
        <v>88.493494989944679</v>
      </c>
      <c r="N978">
        <f t="shared" ref="N978:P978" ca="1" si="1037">M978*EXP(($C$4-0.5*$C$5^2)*$C$10+$C$5*SQRT($C$10)*NORMINV(RAND(),0,1))</f>
        <v>90.587052956774016</v>
      </c>
      <c r="O978">
        <f t="shared" ca="1" si="1037"/>
        <v>88.673701883450562</v>
      </c>
      <c r="P978">
        <f t="shared" ca="1" si="1037"/>
        <v>85.0418841117624</v>
      </c>
      <c r="Q978">
        <f t="shared" ca="1" si="1024"/>
        <v>90.353491191583146</v>
      </c>
      <c r="R978">
        <f t="shared" ca="1" si="1025"/>
        <v>0</v>
      </c>
      <c r="S978">
        <f t="shared" ca="1" si="1026"/>
        <v>0</v>
      </c>
    </row>
    <row r="979" spans="5:19" x14ac:dyDescent="0.75">
      <c r="E979">
        <v>974</v>
      </c>
      <c r="F979">
        <v>100</v>
      </c>
      <c r="G979">
        <f t="shared" ca="1" si="1022"/>
        <v>104.46434054805212</v>
      </c>
      <c r="H979">
        <f t="shared" ca="1" si="1022"/>
        <v>96.943975108917499</v>
      </c>
      <c r="I979">
        <f t="shared" ca="1" si="1022"/>
        <v>92.168153138493778</v>
      </c>
      <c r="J979">
        <f t="shared" ca="1" si="1022"/>
        <v>95.824714996685145</v>
      </c>
      <c r="K979">
        <f t="shared" ca="1" si="1022"/>
        <v>86.062318056479356</v>
      </c>
      <c r="L979">
        <f t="shared" ca="1" si="1022"/>
        <v>87.739339883175191</v>
      </c>
      <c r="M979">
        <f t="shared" ca="1" si="1022"/>
        <v>89.753933941254971</v>
      </c>
      <c r="N979">
        <f t="shared" ref="N979:P979" ca="1" si="1038">M979*EXP(($C$4-0.5*$C$5^2)*$C$10+$C$5*SQRT($C$10)*NORMINV(RAND(),0,1))</f>
        <v>93.275469238459195</v>
      </c>
      <c r="O979">
        <f t="shared" ca="1" si="1038"/>
        <v>95.622118279540345</v>
      </c>
      <c r="P979">
        <f t="shared" ca="1" si="1038"/>
        <v>100.78850476510951</v>
      </c>
      <c r="Q979">
        <f t="shared" ca="1" si="1024"/>
        <v>94.785715268742479</v>
      </c>
      <c r="R979">
        <f t="shared" ca="1" si="1025"/>
        <v>0</v>
      </c>
      <c r="S979">
        <f t="shared" ca="1" si="1026"/>
        <v>0</v>
      </c>
    </row>
    <row r="980" spans="5:19" x14ac:dyDescent="0.75">
      <c r="E980">
        <v>975</v>
      </c>
      <c r="F980">
        <v>100</v>
      </c>
      <c r="G980">
        <f t="shared" ca="1" si="1022"/>
        <v>105.09366111687999</v>
      </c>
      <c r="H980">
        <f t="shared" ca="1" si="1022"/>
        <v>96.752360154982057</v>
      </c>
      <c r="I980">
        <f t="shared" ca="1" si="1022"/>
        <v>81.096558767969498</v>
      </c>
      <c r="J980">
        <f t="shared" ca="1" si="1022"/>
        <v>81.350590786816454</v>
      </c>
      <c r="K980">
        <f t="shared" ca="1" si="1022"/>
        <v>82.350549342119635</v>
      </c>
      <c r="L980">
        <f t="shared" ca="1" si="1022"/>
        <v>84.183864287715778</v>
      </c>
      <c r="M980">
        <f t="shared" ca="1" si="1022"/>
        <v>78.410925706579405</v>
      </c>
      <c r="N980">
        <f t="shared" ref="N980:P980" ca="1" si="1039">M980*EXP(($C$4-0.5*$C$5^2)*$C$10+$C$5*SQRT($C$10)*NORMINV(RAND(),0,1))</f>
        <v>76.578164328635808</v>
      </c>
      <c r="O980">
        <f t="shared" ca="1" si="1039"/>
        <v>74.138706135731667</v>
      </c>
      <c r="P980">
        <f t="shared" ca="1" si="1039"/>
        <v>74.331208021516161</v>
      </c>
      <c r="Q980">
        <f t="shared" ca="1" si="1024"/>
        <v>84.935144422631495</v>
      </c>
      <c r="R980">
        <f t="shared" ca="1" si="1025"/>
        <v>0</v>
      </c>
      <c r="S980">
        <f t="shared" ca="1" si="1026"/>
        <v>0</v>
      </c>
    </row>
    <row r="981" spans="5:19" x14ac:dyDescent="0.75">
      <c r="E981">
        <v>976</v>
      </c>
      <c r="F981">
        <v>100</v>
      </c>
      <c r="G981">
        <f t="shared" ca="1" si="1022"/>
        <v>98.599034694559691</v>
      </c>
      <c r="H981">
        <f t="shared" ca="1" si="1022"/>
        <v>96.596060369561584</v>
      </c>
      <c r="I981">
        <f t="shared" ca="1" si="1022"/>
        <v>100.78050582990289</v>
      </c>
      <c r="J981">
        <f t="shared" ca="1" si="1022"/>
        <v>114.41667443792633</v>
      </c>
      <c r="K981">
        <f t="shared" ca="1" si="1022"/>
        <v>114.17497270872087</v>
      </c>
      <c r="L981">
        <f t="shared" ca="1" si="1022"/>
        <v>108.21331979161914</v>
      </c>
      <c r="M981">
        <f t="shared" ca="1" si="1022"/>
        <v>131.57909197119793</v>
      </c>
      <c r="N981">
        <f t="shared" ref="N981:P981" ca="1" si="1040">M981*EXP(($C$4-0.5*$C$5^2)*$C$10+$C$5*SQRT($C$10)*NORMINV(RAND(),0,1))</f>
        <v>118.38157047353651</v>
      </c>
      <c r="O981">
        <f t="shared" ca="1" si="1040"/>
        <v>117.10613436490537</v>
      </c>
      <c r="P981">
        <f t="shared" ca="1" si="1040"/>
        <v>121.37501960320665</v>
      </c>
      <c r="Q981">
        <f t="shared" ca="1" si="1024"/>
        <v>111.0202167495579</v>
      </c>
      <c r="R981">
        <f t="shared" ca="1" si="1025"/>
        <v>11.020216749557903</v>
      </c>
      <c r="S981">
        <f t="shared" ca="1" si="1026"/>
        <v>10.80200183746954</v>
      </c>
    </row>
    <row r="982" spans="5:19" x14ac:dyDescent="0.75">
      <c r="E982">
        <v>977</v>
      </c>
      <c r="F982">
        <v>100</v>
      </c>
      <c r="G982">
        <f t="shared" ca="1" si="1022"/>
        <v>103.98147158819029</v>
      </c>
      <c r="H982">
        <f t="shared" ca="1" si="1022"/>
        <v>98.637197363851939</v>
      </c>
      <c r="I982">
        <f t="shared" ca="1" si="1022"/>
        <v>100.81705189464688</v>
      </c>
      <c r="J982">
        <f t="shared" ca="1" si="1022"/>
        <v>103.38186609201388</v>
      </c>
      <c r="K982">
        <f t="shared" ca="1" si="1022"/>
        <v>104.0747349554395</v>
      </c>
      <c r="L982">
        <f t="shared" ca="1" si="1022"/>
        <v>99.580159112671993</v>
      </c>
      <c r="M982">
        <f t="shared" ca="1" si="1022"/>
        <v>99.603963900907985</v>
      </c>
      <c r="N982">
        <f t="shared" ref="N982:P982" ca="1" si="1041">M982*EXP(($C$4-0.5*$C$5^2)*$C$10+$C$5*SQRT($C$10)*NORMINV(RAND(),0,1))</f>
        <v>110.06529232887256</v>
      </c>
      <c r="O982">
        <f t="shared" ca="1" si="1041"/>
        <v>108.94716131948823</v>
      </c>
      <c r="P982">
        <f t="shared" ca="1" si="1041"/>
        <v>112.75236686114404</v>
      </c>
      <c r="Q982">
        <f t="shared" ca="1" si="1024"/>
        <v>103.80375140156612</v>
      </c>
      <c r="R982">
        <f t="shared" ca="1" si="1025"/>
        <v>3.8037514015661174</v>
      </c>
      <c r="S982">
        <f t="shared" ca="1" si="1026"/>
        <v>3.7284320774038191</v>
      </c>
    </row>
    <row r="983" spans="5:19" x14ac:dyDescent="0.75">
      <c r="E983">
        <v>978</v>
      </c>
      <c r="F983">
        <v>100</v>
      </c>
      <c r="G983">
        <f t="shared" ca="1" si="1022"/>
        <v>110.74839614762611</v>
      </c>
      <c r="H983">
        <f t="shared" ca="1" si="1022"/>
        <v>107.21252980206359</v>
      </c>
      <c r="I983">
        <f t="shared" ca="1" si="1022"/>
        <v>105.19018197773252</v>
      </c>
      <c r="J983">
        <f t="shared" ca="1" si="1022"/>
        <v>97.714077435513445</v>
      </c>
      <c r="K983">
        <f t="shared" ca="1" si="1022"/>
        <v>94.283229944703535</v>
      </c>
      <c r="L983">
        <f t="shared" ca="1" si="1022"/>
        <v>106.67592760944029</v>
      </c>
      <c r="M983">
        <f t="shared" ca="1" si="1022"/>
        <v>90.529731793499366</v>
      </c>
      <c r="N983">
        <f t="shared" ref="N983:P983" ca="1" si="1042">M983*EXP(($C$4-0.5*$C$5^2)*$C$10+$C$5*SQRT($C$10)*NORMINV(RAND(),0,1))</f>
        <v>94.522918961760809</v>
      </c>
      <c r="O983">
        <f t="shared" ca="1" si="1042"/>
        <v>94.53368046709079</v>
      </c>
      <c r="P983">
        <f t="shared" ca="1" si="1042"/>
        <v>85.991113955037932</v>
      </c>
      <c r="Q983">
        <f t="shared" ca="1" si="1024"/>
        <v>98.854708008588034</v>
      </c>
      <c r="R983">
        <f t="shared" ca="1" si="1025"/>
        <v>0</v>
      </c>
      <c r="S983">
        <f t="shared" ca="1" si="1026"/>
        <v>0</v>
      </c>
    </row>
    <row r="984" spans="5:19" x14ac:dyDescent="0.75">
      <c r="E984">
        <v>979</v>
      </c>
      <c r="F984">
        <v>100</v>
      </c>
      <c r="G984">
        <f t="shared" ca="1" si="1022"/>
        <v>103.74366293594481</v>
      </c>
      <c r="H984">
        <f t="shared" ca="1" si="1022"/>
        <v>114.23825777411807</v>
      </c>
      <c r="I984">
        <f t="shared" ca="1" si="1022"/>
        <v>100.49928944058388</v>
      </c>
      <c r="J984">
        <f t="shared" ca="1" si="1022"/>
        <v>107.97118229463359</v>
      </c>
      <c r="K984">
        <f t="shared" ca="1" si="1022"/>
        <v>100.28966183787232</v>
      </c>
      <c r="L984">
        <f t="shared" ca="1" si="1022"/>
        <v>98.76487221583848</v>
      </c>
      <c r="M984">
        <f t="shared" ca="1" si="1022"/>
        <v>111.20146360935621</v>
      </c>
      <c r="N984">
        <f t="shared" ref="N984:P984" ca="1" si="1043">M984*EXP(($C$4-0.5*$C$5^2)*$C$10+$C$5*SQRT($C$10)*NORMINV(RAND(),0,1))</f>
        <v>115.36002674706229</v>
      </c>
      <c r="O984">
        <f t="shared" ca="1" si="1043"/>
        <v>98.842655575000578</v>
      </c>
      <c r="P984">
        <f t="shared" ca="1" si="1043"/>
        <v>97.638882387295723</v>
      </c>
      <c r="Q984">
        <f t="shared" ca="1" si="1024"/>
        <v>104.4136322561551</v>
      </c>
      <c r="R984">
        <f t="shared" ca="1" si="1025"/>
        <v>4.4136322561550969</v>
      </c>
      <c r="S984">
        <f t="shared" ca="1" si="1026"/>
        <v>4.3262364819471273</v>
      </c>
    </row>
    <row r="985" spans="5:19" x14ac:dyDescent="0.75">
      <c r="E985">
        <v>980</v>
      </c>
      <c r="F985">
        <v>100</v>
      </c>
      <c r="G985">
        <f t="shared" ca="1" si="1022"/>
        <v>106.45707374272075</v>
      </c>
      <c r="H985">
        <f t="shared" ca="1" si="1022"/>
        <v>99.087215445978089</v>
      </c>
      <c r="I985">
        <f t="shared" ca="1" si="1022"/>
        <v>97.888862749824781</v>
      </c>
      <c r="J985">
        <f t="shared" ca="1" si="1022"/>
        <v>95.814462940961533</v>
      </c>
      <c r="K985">
        <f t="shared" ca="1" si="1022"/>
        <v>86.411520451843288</v>
      </c>
      <c r="L985">
        <f t="shared" ca="1" si="1022"/>
        <v>85.14936477212072</v>
      </c>
      <c r="M985">
        <f t="shared" ca="1" si="1022"/>
        <v>81.622400686454824</v>
      </c>
      <c r="N985">
        <f t="shared" ref="N985:P985" ca="1" si="1044">M985*EXP(($C$4-0.5*$C$5^2)*$C$10+$C$5*SQRT($C$10)*NORMINV(RAND(),0,1))</f>
        <v>72.985007960608968</v>
      </c>
      <c r="O985">
        <f t="shared" ca="1" si="1044"/>
        <v>78.957856261669889</v>
      </c>
      <c r="P985">
        <f t="shared" ca="1" si="1044"/>
        <v>89.801195371920926</v>
      </c>
      <c r="Q985">
        <f t="shared" ca="1" si="1024"/>
        <v>90.379541853100349</v>
      </c>
      <c r="R985">
        <f t="shared" ca="1" si="1025"/>
        <v>0</v>
      </c>
      <c r="S985">
        <f t="shared" ca="1" si="1026"/>
        <v>0</v>
      </c>
    </row>
    <row r="986" spans="5:19" x14ac:dyDescent="0.75">
      <c r="E986">
        <v>981</v>
      </c>
      <c r="F986">
        <v>100</v>
      </c>
      <c r="G986">
        <f t="shared" ca="1" si="1022"/>
        <v>107.9116091455635</v>
      </c>
      <c r="H986">
        <f t="shared" ca="1" si="1022"/>
        <v>103.38251058522663</v>
      </c>
      <c r="I986">
        <f t="shared" ca="1" si="1022"/>
        <v>85.41569542304083</v>
      </c>
      <c r="J986">
        <f t="shared" ca="1" si="1022"/>
        <v>78.840268851257221</v>
      </c>
      <c r="K986">
        <f t="shared" ca="1" si="1022"/>
        <v>85.332923627356763</v>
      </c>
      <c r="L986">
        <f t="shared" ca="1" si="1022"/>
        <v>89.62691174854352</v>
      </c>
      <c r="M986">
        <f t="shared" ca="1" si="1022"/>
        <v>88.884839967316154</v>
      </c>
      <c r="N986">
        <f t="shared" ref="N986:P986" ca="1" si="1045">M986*EXP(($C$4-0.5*$C$5^2)*$C$10+$C$5*SQRT($C$10)*NORMINV(RAND(),0,1))</f>
        <v>88.98204423437997</v>
      </c>
      <c r="O986">
        <f t="shared" ca="1" si="1045"/>
        <v>86.848173101415767</v>
      </c>
      <c r="P986">
        <f t="shared" ca="1" si="1045"/>
        <v>89.277374100297536</v>
      </c>
      <c r="Q986">
        <f t="shared" ca="1" si="1024"/>
        <v>91.318395525854356</v>
      </c>
      <c r="R986">
        <f t="shared" ca="1" si="1025"/>
        <v>0</v>
      </c>
      <c r="S986">
        <f t="shared" ca="1" si="1026"/>
        <v>0</v>
      </c>
    </row>
    <row r="987" spans="5:19" x14ac:dyDescent="0.75">
      <c r="E987">
        <v>982</v>
      </c>
      <c r="F987">
        <v>100</v>
      </c>
      <c r="G987">
        <f t="shared" ca="1" si="1022"/>
        <v>93.419412214609395</v>
      </c>
      <c r="H987">
        <f t="shared" ca="1" si="1022"/>
        <v>96.328170887010103</v>
      </c>
      <c r="I987">
        <f t="shared" ca="1" si="1022"/>
        <v>88.536709771345471</v>
      </c>
      <c r="J987">
        <f t="shared" ca="1" si="1022"/>
        <v>92.449939899241002</v>
      </c>
      <c r="K987">
        <f t="shared" ca="1" si="1022"/>
        <v>91.148651359985664</v>
      </c>
      <c r="L987">
        <f t="shared" ca="1" si="1022"/>
        <v>90.136930934001271</v>
      </c>
      <c r="M987">
        <f t="shared" ca="1" si="1022"/>
        <v>100.79107908253935</v>
      </c>
      <c r="N987">
        <f t="shared" ref="N987:P987" ca="1" si="1046">M987*EXP(($C$4-0.5*$C$5^2)*$C$10+$C$5*SQRT($C$10)*NORMINV(RAND(),0,1))</f>
        <v>98.178977821767958</v>
      </c>
      <c r="O987">
        <f t="shared" ca="1" si="1046"/>
        <v>102.78577013779409</v>
      </c>
      <c r="P987">
        <f t="shared" ca="1" si="1046"/>
        <v>104.75367400772031</v>
      </c>
      <c r="Q987">
        <f t="shared" ca="1" si="1024"/>
        <v>96.229937828728623</v>
      </c>
      <c r="R987">
        <f t="shared" ca="1" si="1025"/>
        <v>0</v>
      </c>
      <c r="S987">
        <f t="shared" ca="1" si="1026"/>
        <v>0</v>
      </c>
    </row>
    <row r="988" spans="5:19" x14ac:dyDescent="0.75">
      <c r="E988">
        <v>983</v>
      </c>
      <c r="F988">
        <v>100</v>
      </c>
      <c r="G988">
        <f t="shared" ca="1" si="1022"/>
        <v>98.795010869293307</v>
      </c>
      <c r="H988">
        <f t="shared" ca="1" si="1022"/>
        <v>106.6570209054854</v>
      </c>
      <c r="I988">
        <f t="shared" ca="1" si="1022"/>
        <v>118.16934001374383</v>
      </c>
      <c r="J988">
        <f t="shared" ca="1" si="1022"/>
        <v>107.05061432226128</v>
      </c>
      <c r="K988">
        <f t="shared" ca="1" si="1022"/>
        <v>105.55476306288016</v>
      </c>
      <c r="L988">
        <f t="shared" ca="1" si="1022"/>
        <v>115.25331908181829</v>
      </c>
      <c r="M988">
        <f t="shared" ref="M988:P988" ca="1" si="1047">L988*EXP(($C$4-0.5*$C$5^2)*$C$10+$C$5*SQRT($C$10)*NORMINV(RAND(),0,1))</f>
        <v>116.82871234180877</v>
      </c>
      <c r="N988">
        <f t="shared" ca="1" si="1047"/>
        <v>121.22766936600175</v>
      </c>
      <c r="O988">
        <f t="shared" ca="1" si="1047"/>
        <v>112.55480451406363</v>
      </c>
      <c r="P988">
        <f t="shared" ca="1" si="1047"/>
        <v>118.22569843614124</v>
      </c>
      <c r="Q988">
        <f t="shared" ca="1" si="1024"/>
        <v>110.93790481031797</v>
      </c>
      <c r="R988">
        <f t="shared" ca="1" si="1025"/>
        <v>10.937904810317974</v>
      </c>
      <c r="S988">
        <f t="shared" ca="1" si="1026"/>
        <v>10.721319783829255</v>
      </c>
    </row>
    <row r="989" spans="5:19" x14ac:dyDescent="0.75">
      <c r="E989">
        <v>984</v>
      </c>
      <c r="F989">
        <v>100</v>
      </c>
      <c r="G989">
        <f t="shared" ca="1" si="1022"/>
        <v>93.99738591247052</v>
      </c>
      <c r="H989">
        <f t="shared" ca="1" si="1022"/>
        <v>95.510799108359691</v>
      </c>
      <c r="I989">
        <f t="shared" ca="1" si="1022"/>
        <v>86.753389797110998</v>
      </c>
      <c r="J989">
        <f t="shared" ca="1" si="1022"/>
        <v>91.763311203123266</v>
      </c>
      <c r="K989">
        <f t="shared" ca="1" si="1022"/>
        <v>89.709403009566671</v>
      </c>
      <c r="L989">
        <f t="shared" ca="1" si="1022"/>
        <v>80.684525126510522</v>
      </c>
      <c r="M989">
        <f t="shared" ref="M989:P989" ca="1" si="1048">L989*EXP(($C$4-0.5*$C$5^2)*$C$10+$C$5*SQRT($C$10)*NORMINV(RAND(),0,1))</f>
        <v>73.815028788632517</v>
      </c>
      <c r="N989">
        <f t="shared" ca="1" si="1048"/>
        <v>78.589894230161946</v>
      </c>
      <c r="O989">
        <f t="shared" ca="1" si="1048"/>
        <v>71.533310691136322</v>
      </c>
      <c r="P989">
        <f t="shared" ca="1" si="1048"/>
        <v>71.877461208664627</v>
      </c>
      <c r="Q989">
        <f t="shared" ca="1" si="1024"/>
        <v>84.930409915976099</v>
      </c>
      <c r="R989">
        <f t="shared" ca="1" si="1025"/>
        <v>0</v>
      </c>
      <c r="S989">
        <f t="shared" ca="1" si="1026"/>
        <v>0</v>
      </c>
    </row>
    <row r="990" spans="5:19" x14ac:dyDescent="0.75">
      <c r="E990">
        <v>985</v>
      </c>
      <c r="F990">
        <v>100</v>
      </c>
      <c r="G990">
        <f t="shared" ca="1" si="1022"/>
        <v>116.85259838575868</v>
      </c>
      <c r="H990">
        <f t="shared" ca="1" si="1022"/>
        <v>111.32248463024889</v>
      </c>
      <c r="I990">
        <f t="shared" ca="1" si="1022"/>
        <v>112.14734797233746</v>
      </c>
      <c r="J990">
        <f t="shared" ca="1" si="1022"/>
        <v>114.76120828336521</v>
      </c>
      <c r="K990">
        <f t="shared" ca="1" si="1022"/>
        <v>126.52244746336883</v>
      </c>
      <c r="L990">
        <f t="shared" ca="1" si="1022"/>
        <v>142.54110470288373</v>
      </c>
      <c r="M990">
        <f t="shared" ref="M990:P990" ca="1" si="1049">L990*EXP(($C$4-0.5*$C$5^2)*$C$10+$C$5*SQRT($C$10)*NORMINV(RAND(),0,1))</f>
        <v>142.58354127754131</v>
      </c>
      <c r="N990">
        <f t="shared" ca="1" si="1049"/>
        <v>139.65425487952618</v>
      </c>
      <c r="O990">
        <f t="shared" ca="1" si="1049"/>
        <v>143.78706126204091</v>
      </c>
      <c r="P990">
        <f t="shared" ca="1" si="1049"/>
        <v>131.43600724955689</v>
      </c>
      <c r="Q990">
        <f t="shared" ca="1" si="1024"/>
        <v>125.60073237332985</v>
      </c>
      <c r="R990">
        <f t="shared" ca="1" si="1025"/>
        <v>25.600732373329848</v>
      </c>
      <c r="S990">
        <f t="shared" ca="1" si="1026"/>
        <v>25.093803908019215</v>
      </c>
    </row>
    <row r="991" spans="5:19" x14ac:dyDescent="0.75">
      <c r="E991">
        <v>986</v>
      </c>
      <c r="F991">
        <v>100</v>
      </c>
      <c r="G991">
        <f t="shared" ca="1" si="1022"/>
        <v>100.59601506656928</v>
      </c>
      <c r="H991">
        <f t="shared" ca="1" si="1022"/>
        <v>90.983061335104765</v>
      </c>
      <c r="I991">
        <f t="shared" ca="1" si="1022"/>
        <v>90.923178456100501</v>
      </c>
      <c r="J991">
        <f t="shared" ca="1" si="1022"/>
        <v>86.286762050164498</v>
      </c>
      <c r="K991">
        <f t="shared" ca="1" si="1022"/>
        <v>93.687152572320983</v>
      </c>
      <c r="L991">
        <f t="shared" ca="1" si="1022"/>
        <v>91.874338925482277</v>
      </c>
      <c r="M991">
        <f t="shared" ref="M991:P991" ca="1" si="1050">L991*EXP(($C$4-0.5*$C$5^2)*$C$10+$C$5*SQRT($C$10)*NORMINV(RAND(),0,1))</f>
        <v>97.989575402568676</v>
      </c>
      <c r="N991">
        <f t="shared" ca="1" si="1050"/>
        <v>100.74051590570569</v>
      </c>
      <c r="O991">
        <f t="shared" ca="1" si="1050"/>
        <v>99.296600089708633</v>
      </c>
      <c r="P991">
        <f t="shared" ca="1" si="1050"/>
        <v>93.30727667698514</v>
      </c>
      <c r="Q991">
        <f t="shared" ca="1" si="1024"/>
        <v>95.06222513461006</v>
      </c>
      <c r="R991">
        <f t="shared" ca="1" si="1025"/>
        <v>0</v>
      </c>
      <c r="S991">
        <f t="shared" ca="1" si="1026"/>
        <v>0</v>
      </c>
    </row>
    <row r="992" spans="5:19" x14ac:dyDescent="0.75">
      <c r="E992">
        <v>987</v>
      </c>
      <c r="F992">
        <v>100</v>
      </c>
      <c r="G992">
        <f t="shared" ca="1" si="1022"/>
        <v>103.02879884576153</v>
      </c>
      <c r="H992">
        <f t="shared" ca="1" si="1022"/>
        <v>97.334777143265597</v>
      </c>
      <c r="I992">
        <f t="shared" ca="1" si="1022"/>
        <v>100.79868583068209</v>
      </c>
      <c r="J992">
        <f t="shared" ca="1" si="1022"/>
        <v>110.23677222853121</v>
      </c>
      <c r="K992">
        <f t="shared" ca="1" si="1022"/>
        <v>116.71120215118287</v>
      </c>
      <c r="L992">
        <f t="shared" ca="1" si="1022"/>
        <v>123.56034424963421</v>
      </c>
      <c r="M992">
        <f t="shared" ref="M992:P992" ca="1" si="1051">L992*EXP(($C$4-0.5*$C$5^2)*$C$10+$C$5*SQRT($C$10)*NORMINV(RAND(),0,1))</f>
        <v>115.30382635196766</v>
      </c>
      <c r="N992">
        <f t="shared" ca="1" si="1051"/>
        <v>119.07041600873485</v>
      </c>
      <c r="O992">
        <f t="shared" ca="1" si="1051"/>
        <v>121.71210360506744</v>
      </c>
      <c r="P992">
        <f t="shared" ca="1" si="1051"/>
        <v>115.85585275808251</v>
      </c>
      <c r="Q992">
        <f t="shared" ca="1" si="1024"/>
        <v>111.23752537935546</v>
      </c>
      <c r="R992">
        <f t="shared" ca="1" si="1025"/>
        <v>11.237525379355461</v>
      </c>
      <c r="S992">
        <f t="shared" ca="1" si="1026"/>
        <v>11.015007468095215</v>
      </c>
    </row>
    <row r="993" spans="5:19" x14ac:dyDescent="0.75">
      <c r="E993">
        <v>988</v>
      </c>
      <c r="F993">
        <v>100</v>
      </c>
      <c r="G993">
        <f t="shared" ca="1" si="1022"/>
        <v>93.101835841533543</v>
      </c>
      <c r="H993">
        <f t="shared" ca="1" si="1022"/>
        <v>99.920295970441217</v>
      </c>
      <c r="I993">
        <f t="shared" ca="1" si="1022"/>
        <v>110.14751247875286</v>
      </c>
      <c r="J993">
        <f t="shared" ca="1" si="1022"/>
        <v>113.69013594971715</v>
      </c>
      <c r="K993">
        <f t="shared" ca="1" si="1022"/>
        <v>113.59026096163551</v>
      </c>
      <c r="L993">
        <f t="shared" ca="1" si="1022"/>
        <v>122.39956872044145</v>
      </c>
      <c r="M993">
        <f t="shared" ref="M993:P993" ca="1" si="1052">L993*EXP(($C$4-0.5*$C$5^2)*$C$10+$C$5*SQRT($C$10)*NORMINV(RAND(),0,1))</f>
        <v>133.47876589603661</v>
      </c>
      <c r="N993">
        <f t="shared" ca="1" si="1052"/>
        <v>135.89714440020467</v>
      </c>
      <c r="O993">
        <f t="shared" ca="1" si="1052"/>
        <v>121.88956976611041</v>
      </c>
      <c r="P993">
        <f t="shared" ca="1" si="1052"/>
        <v>131.00065919135827</v>
      </c>
      <c r="Q993">
        <f t="shared" ca="1" si="1024"/>
        <v>115.91961356147561</v>
      </c>
      <c r="R993">
        <f t="shared" ca="1" si="1025"/>
        <v>15.919613561475614</v>
      </c>
      <c r="S993">
        <f t="shared" ca="1" si="1026"/>
        <v>15.604384092514627</v>
      </c>
    </row>
    <row r="994" spans="5:19" x14ac:dyDescent="0.75">
      <c r="E994">
        <v>989</v>
      </c>
      <c r="F994">
        <v>100</v>
      </c>
      <c r="G994">
        <f t="shared" ca="1" si="1022"/>
        <v>102.21433146440697</v>
      </c>
      <c r="H994">
        <f t="shared" ca="1" si="1022"/>
        <v>92.562992371310983</v>
      </c>
      <c r="I994">
        <f t="shared" ca="1" si="1022"/>
        <v>92.452170978480027</v>
      </c>
      <c r="J994">
        <f t="shared" ca="1" si="1022"/>
        <v>86.475361893628303</v>
      </c>
      <c r="K994">
        <f t="shared" ca="1" si="1022"/>
        <v>83.779314915513382</v>
      </c>
      <c r="L994">
        <f t="shared" ca="1" si="1022"/>
        <v>84.025858474187061</v>
      </c>
      <c r="M994">
        <f t="shared" ref="M994:P994" ca="1" si="1053">L994*EXP(($C$4-0.5*$C$5^2)*$C$10+$C$5*SQRT($C$10)*NORMINV(RAND(),0,1))</f>
        <v>88.536243234940699</v>
      </c>
      <c r="N994">
        <f t="shared" ca="1" si="1053"/>
        <v>85.421942944688212</v>
      </c>
      <c r="O994">
        <f t="shared" ca="1" si="1053"/>
        <v>97.084237147207403</v>
      </c>
      <c r="P994">
        <f t="shared" ca="1" si="1053"/>
        <v>100.31177566823044</v>
      </c>
      <c r="Q994">
        <f t="shared" ca="1" si="1024"/>
        <v>92.078566281144859</v>
      </c>
      <c r="R994">
        <f t="shared" ca="1" si="1025"/>
        <v>0</v>
      </c>
      <c r="S994">
        <f t="shared" ca="1" si="1026"/>
        <v>0</v>
      </c>
    </row>
    <row r="995" spans="5:19" x14ac:dyDescent="0.75">
      <c r="E995">
        <v>990</v>
      </c>
      <c r="F995">
        <v>100</v>
      </c>
      <c r="G995">
        <f t="shared" ca="1" si="1022"/>
        <v>96.793141741001989</v>
      </c>
      <c r="H995">
        <f t="shared" ca="1" si="1022"/>
        <v>101.3902548853696</v>
      </c>
      <c r="I995">
        <f t="shared" ca="1" si="1022"/>
        <v>106.24814983911698</v>
      </c>
      <c r="J995">
        <f t="shared" ca="1" si="1022"/>
        <v>105.58840563411896</v>
      </c>
      <c r="K995">
        <f t="shared" ca="1" si="1022"/>
        <v>100.94749045199812</v>
      </c>
      <c r="L995">
        <f t="shared" ca="1" si="1022"/>
        <v>108.48883658356073</v>
      </c>
      <c r="M995">
        <f t="shared" ref="M995:P995" ca="1" si="1054">L995*EXP(($C$4-0.5*$C$5^2)*$C$10+$C$5*SQRT($C$10)*NORMINV(RAND(),0,1))</f>
        <v>113.44192668556894</v>
      </c>
      <c r="N995">
        <f t="shared" ca="1" si="1054"/>
        <v>126.90321648420441</v>
      </c>
      <c r="O995">
        <f t="shared" ca="1" si="1054"/>
        <v>125.91635582445537</v>
      </c>
      <c r="P995">
        <f t="shared" ca="1" si="1054"/>
        <v>120.90466632041148</v>
      </c>
      <c r="Q995">
        <f t="shared" ca="1" si="1024"/>
        <v>109.69294949543696</v>
      </c>
      <c r="R995">
        <f t="shared" ca="1" si="1025"/>
        <v>9.692949495436963</v>
      </c>
      <c r="S995">
        <f t="shared" ca="1" si="1026"/>
        <v>9.5010162358566941</v>
      </c>
    </row>
    <row r="996" spans="5:19" x14ac:dyDescent="0.75">
      <c r="E996">
        <v>991</v>
      </c>
      <c r="F996">
        <v>100</v>
      </c>
      <c r="G996">
        <f t="shared" ca="1" si="1022"/>
        <v>98.2613765891155</v>
      </c>
      <c r="H996">
        <f t="shared" ca="1" si="1022"/>
        <v>99.018185859362191</v>
      </c>
      <c r="I996">
        <f t="shared" ca="1" si="1022"/>
        <v>99.346483420638108</v>
      </c>
      <c r="J996">
        <f t="shared" ca="1" si="1022"/>
        <v>101.0441724783979</v>
      </c>
      <c r="K996">
        <f t="shared" ca="1" si="1022"/>
        <v>96.639918468685224</v>
      </c>
      <c r="L996">
        <f t="shared" ca="1" si="1022"/>
        <v>87.641138374376666</v>
      </c>
      <c r="M996">
        <f t="shared" ref="M996:P996" ca="1" si="1055">L996*EXP(($C$4-0.5*$C$5^2)*$C$10+$C$5*SQRT($C$10)*NORMINV(RAND(),0,1))</f>
        <v>75.002925896815896</v>
      </c>
      <c r="N996">
        <f t="shared" ca="1" si="1055"/>
        <v>72.802850062741115</v>
      </c>
      <c r="O996">
        <f t="shared" ca="1" si="1055"/>
        <v>74.734690857918324</v>
      </c>
      <c r="P996">
        <f t="shared" ca="1" si="1055"/>
        <v>76.175952113050926</v>
      </c>
      <c r="Q996">
        <f t="shared" ca="1" si="1024"/>
        <v>89.151608556463785</v>
      </c>
      <c r="R996">
        <f t="shared" ca="1" si="1025"/>
        <v>0</v>
      </c>
      <c r="S996">
        <f t="shared" ca="1" si="1026"/>
        <v>0</v>
      </c>
    </row>
    <row r="997" spans="5:19" x14ac:dyDescent="0.75">
      <c r="E997">
        <v>992</v>
      </c>
      <c r="F997">
        <v>100</v>
      </c>
      <c r="G997">
        <f t="shared" ca="1" si="1022"/>
        <v>98.692656745680949</v>
      </c>
      <c r="H997">
        <f t="shared" ca="1" si="1022"/>
        <v>89.534526343165012</v>
      </c>
      <c r="I997">
        <f t="shared" ca="1" si="1022"/>
        <v>96.069309549359062</v>
      </c>
      <c r="J997">
        <f t="shared" ca="1" si="1022"/>
        <v>90.296038957221029</v>
      </c>
      <c r="K997">
        <f t="shared" ca="1" si="1022"/>
        <v>92.862101698192461</v>
      </c>
      <c r="L997">
        <f t="shared" ca="1" si="1022"/>
        <v>92.544781519145673</v>
      </c>
      <c r="M997">
        <f t="shared" ref="M997:P997" ca="1" si="1056">L997*EXP(($C$4-0.5*$C$5^2)*$C$10+$C$5*SQRT($C$10)*NORMINV(RAND(),0,1))</f>
        <v>92.863800856556182</v>
      </c>
      <c r="N997">
        <f t="shared" ca="1" si="1056"/>
        <v>97.617428269214358</v>
      </c>
      <c r="O997">
        <f t="shared" ca="1" si="1056"/>
        <v>94.661971752447513</v>
      </c>
      <c r="P997">
        <f t="shared" ca="1" si="1056"/>
        <v>95.887674712524273</v>
      </c>
      <c r="Q997">
        <f t="shared" ca="1" si="1024"/>
        <v>94.63911730940967</v>
      </c>
      <c r="R997">
        <f t="shared" ca="1" si="1025"/>
        <v>0</v>
      </c>
      <c r="S997">
        <f t="shared" ca="1" si="1026"/>
        <v>0</v>
      </c>
    </row>
    <row r="998" spans="5:19" x14ac:dyDescent="0.75">
      <c r="E998">
        <v>993</v>
      </c>
      <c r="F998">
        <v>100</v>
      </c>
      <c r="G998">
        <f t="shared" ca="1" si="1022"/>
        <v>92.776493658285801</v>
      </c>
      <c r="H998">
        <f t="shared" ca="1" si="1022"/>
        <v>91.918665173774642</v>
      </c>
      <c r="I998">
        <f t="shared" ca="1" si="1022"/>
        <v>88.016172907060835</v>
      </c>
      <c r="J998">
        <f t="shared" ca="1" si="1022"/>
        <v>81.326378374528772</v>
      </c>
      <c r="K998">
        <f t="shared" ca="1" si="1022"/>
        <v>81.031508863303912</v>
      </c>
      <c r="L998">
        <f t="shared" ca="1" si="1022"/>
        <v>85.804244066474197</v>
      </c>
      <c r="M998">
        <f t="shared" ref="M998:P998" ca="1" si="1057">L998*EXP(($C$4-0.5*$C$5^2)*$C$10+$C$5*SQRT($C$10)*NORMINV(RAND(),0,1))</f>
        <v>87.426065531484895</v>
      </c>
      <c r="N998">
        <f t="shared" ca="1" si="1057"/>
        <v>85.029670312214833</v>
      </c>
      <c r="O998">
        <f t="shared" ca="1" si="1057"/>
        <v>83.810501678349141</v>
      </c>
      <c r="P998">
        <f t="shared" ca="1" si="1057"/>
        <v>83.765421902413337</v>
      </c>
      <c r="Q998">
        <f t="shared" ca="1" si="1024"/>
        <v>87.355011133444592</v>
      </c>
      <c r="R998">
        <f t="shared" ca="1" si="1025"/>
        <v>0</v>
      </c>
      <c r="S998">
        <f t="shared" ca="1" si="1026"/>
        <v>0</v>
      </c>
    </row>
    <row r="999" spans="5:19" x14ac:dyDescent="0.75">
      <c r="E999">
        <v>994</v>
      </c>
      <c r="F999">
        <v>100</v>
      </c>
      <c r="G999">
        <f t="shared" ca="1" si="1022"/>
        <v>100.08388511784121</v>
      </c>
      <c r="H999">
        <f t="shared" ca="1" si="1022"/>
        <v>99.770106494916575</v>
      </c>
      <c r="I999">
        <f t="shared" ca="1" si="1022"/>
        <v>96.905308663250764</v>
      </c>
      <c r="J999">
        <f t="shared" ca="1" si="1022"/>
        <v>83.915131660335916</v>
      </c>
      <c r="K999">
        <f t="shared" ca="1" si="1022"/>
        <v>80.853554755368265</v>
      </c>
      <c r="L999">
        <f t="shared" ca="1" si="1022"/>
        <v>83.371835715258712</v>
      </c>
      <c r="M999">
        <f t="shared" ref="M999:P999" ca="1" si="1058">L999*EXP(($C$4-0.5*$C$5^2)*$C$10+$C$5*SQRT($C$10)*NORMINV(RAND(),0,1))</f>
        <v>81.065413158404397</v>
      </c>
      <c r="N999">
        <f t="shared" ca="1" si="1058"/>
        <v>78.194207785103274</v>
      </c>
      <c r="O999">
        <f t="shared" ca="1" si="1058"/>
        <v>73.065704131870206</v>
      </c>
      <c r="P999">
        <f t="shared" ca="1" si="1058"/>
        <v>76.023086648095827</v>
      </c>
      <c r="Q999">
        <f t="shared" ca="1" si="1024"/>
        <v>86.658930375495018</v>
      </c>
      <c r="R999">
        <f t="shared" ca="1" si="1025"/>
        <v>0</v>
      </c>
      <c r="S999">
        <f t="shared" ca="1" si="1026"/>
        <v>0</v>
      </c>
    </row>
    <row r="1000" spans="5:19" x14ac:dyDescent="0.75">
      <c r="E1000">
        <v>995</v>
      </c>
      <c r="F1000">
        <v>100</v>
      </c>
      <c r="G1000">
        <f t="shared" ca="1" si="1022"/>
        <v>103.22964807219913</v>
      </c>
      <c r="H1000">
        <f t="shared" ca="1" si="1022"/>
        <v>125.8634879641407</v>
      </c>
      <c r="I1000">
        <f t="shared" ca="1" si="1022"/>
        <v>139.06315247213681</v>
      </c>
      <c r="J1000">
        <f t="shared" ca="1" si="1022"/>
        <v>139.70306012356812</v>
      </c>
      <c r="K1000">
        <f t="shared" ca="1" si="1022"/>
        <v>155.63399596015128</v>
      </c>
      <c r="L1000">
        <f t="shared" ca="1" si="1022"/>
        <v>142.02416781276307</v>
      </c>
      <c r="M1000">
        <f t="shared" ref="M1000:P1000" ca="1" si="1059">L1000*EXP(($C$4-0.5*$C$5^2)*$C$10+$C$5*SQRT($C$10)*NORMINV(RAND(),0,1))</f>
        <v>134.8486528437887</v>
      </c>
      <c r="N1000">
        <f t="shared" ca="1" si="1059"/>
        <v>155.36433329838442</v>
      </c>
      <c r="O1000">
        <f t="shared" ca="1" si="1059"/>
        <v>144.15835932659556</v>
      </c>
      <c r="P1000">
        <f t="shared" ca="1" si="1059"/>
        <v>146.33767349095655</v>
      </c>
      <c r="Q1000">
        <f t="shared" ca="1" si="1024"/>
        <v>135.11150285133496</v>
      </c>
      <c r="R1000">
        <f t="shared" ca="1" si="1025"/>
        <v>35.111502851334961</v>
      </c>
      <c r="S1000">
        <f t="shared" ca="1" si="1026"/>
        <v>34.416248512684881</v>
      </c>
    </row>
    <row r="1001" spans="5:19" x14ac:dyDescent="0.75">
      <c r="E1001">
        <v>996</v>
      </c>
      <c r="F1001">
        <v>100</v>
      </c>
      <c r="G1001">
        <f t="shared" ca="1" si="1022"/>
        <v>98.537420811574208</v>
      </c>
      <c r="H1001">
        <f t="shared" ca="1" si="1022"/>
        <v>91.204259549240575</v>
      </c>
      <c r="I1001">
        <f t="shared" ca="1" si="1022"/>
        <v>87.015590244091484</v>
      </c>
      <c r="J1001">
        <f t="shared" ca="1" si="1022"/>
        <v>93.985338001484621</v>
      </c>
      <c r="K1001">
        <f t="shared" ca="1" si="1022"/>
        <v>105.06661016928325</v>
      </c>
      <c r="L1001">
        <f t="shared" ca="1" si="1022"/>
        <v>99.911561836106387</v>
      </c>
      <c r="M1001">
        <f t="shared" ref="M1001:P1001" ca="1" si="1060">L1001*EXP(($C$4-0.5*$C$5^2)*$C$10+$C$5*SQRT($C$10)*NORMINV(RAND(),0,1))</f>
        <v>94.092987181592747</v>
      </c>
      <c r="N1001">
        <f t="shared" ca="1" si="1060"/>
        <v>87.582291270397576</v>
      </c>
      <c r="O1001">
        <f t="shared" ca="1" si="1060"/>
        <v>81.625212627954184</v>
      </c>
      <c r="P1001">
        <f t="shared" ca="1" si="1060"/>
        <v>65.710723143201093</v>
      </c>
      <c r="Q1001">
        <f t="shared" ca="1" si="1024"/>
        <v>91.339272257720552</v>
      </c>
      <c r="R1001">
        <f t="shared" ca="1" si="1025"/>
        <v>0</v>
      </c>
      <c r="S1001">
        <f t="shared" ca="1" si="1026"/>
        <v>0</v>
      </c>
    </row>
    <row r="1002" spans="5:19" x14ac:dyDescent="0.75">
      <c r="E1002">
        <v>997</v>
      </c>
      <c r="F1002">
        <v>100</v>
      </c>
      <c r="G1002">
        <f t="shared" ca="1" si="1022"/>
        <v>106.35497941176119</v>
      </c>
      <c r="H1002">
        <f t="shared" ca="1" si="1022"/>
        <v>110.51595297818487</v>
      </c>
      <c r="I1002">
        <f t="shared" ca="1" si="1022"/>
        <v>99.689881807169641</v>
      </c>
      <c r="J1002">
        <f t="shared" ca="1" si="1022"/>
        <v>101.68082800954492</v>
      </c>
      <c r="K1002">
        <f t="shared" ca="1" si="1022"/>
        <v>101.93141430450783</v>
      </c>
      <c r="L1002">
        <f t="shared" ca="1" si="1022"/>
        <v>95.004928867751275</v>
      </c>
      <c r="M1002">
        <f t="shared" ref="M1002:P1002" ca="1" si="1061">L1002*EXP(($C$4-0.5*$C$5^2)*$C$10+$C$5*SQRT($C$10)*NORMINV(RAND(),0,1))</f>
        <v>86.727933354824003</v>
      </c>
      <c r="N1002">
        <f t="shared" ca="1" si="1061"/>
        <v>89.739106683845463</v>
      </c>
      <c r="O1002">
        <f t="shared" ca="1" si="1061"/>
        <v>90.231020985538507</v>
      </c>
      <c r="P1002">
        <f t="shared" ca="1" si="1061"/>
        <v>97.797318043246889</v>
      </c>
      <c r="Q1002">
        <f t="shared" ca="1" si="1024"/>
        <v>98.152124040579508</v>
      </c>
      <c r="R1002">
        <f t="shared" ca="1" si="1025"/>
        <v>0</v>
      </c>
      <c r="S1002">
        <f t="shared" ca="1" si="1026"/>
        <v>0</v>
      </c>
    </row>
    <row r="1003" spans="5:19" x14ac:dyDescent="0.75">
      <c r="E1003">
        <v>998</v>
      </c>
      <c r="F1003">
        <v>100</v>
      </c>
      <c r="G1003">
        <f t="shared" ca="1" si="1022"/>
        <v>102.68700178412796</v>
      </c>
      <c r="H1003">
        <f t="shared" ca="1" si="1022"/>
        <v>99.041122726940102</v>
      </c>
      <c r="I1003">
        <f t="shared" ca="1" si="1022"/>
        <v>98.216872616092814</v>
      </c>
      <c r="J1003">
        <f t="shared" ca="1" si="1022"/>
        <v>95.715525327556023</v>
      </c>
      <c r="K1003">
        <f t="shared" ca="1" si="1022"/>
        <v>98.886959121133827</v>
      </c>
      <c r="L1003">
        <f t="shared" ca="1" si="1022"/>
        <v>107.31770301059638</v>
      </c>
      <c r="M1003">
        <f t="shared" ref="M1003:P1003" ca="1" si="1062">L1003*EXP(($C$4-0.5*$C$5^2)*$C$10+$C$5*SQRT($C$10)*NORMINV(RAND(),0,1))</f>
        <v>105.94240929519658</v>
      </c>
      <c r="N1003">
        <f t="shared" ca="1" si="1062"/>
        <v>106.032673741325</v>
      </c>
      <c r="O1003">
        <f t="shared" ca="1" si="1062"/>
        <v>105.82882608304827</v>
      </c>
      <c r="P1003">
        <f t="shared" ca="1" si="1062"/>
        <v>114.79582373439459</v>
      </c>
      <c r="Q1003">
        <f t="shared" ca="1" si="1024"/>
        <v>103.13317431276468</v>
      </c>
      <c r="R1003">
        <f t="shared" ca="1" si="1025"/>
        <v>3.1331743127646803</v>
      </c>
      <c r="S1003">
        <f t="shared" ca="1" si="1026"/>
        <v>3.0711333046107443</v>
      </c>
    </row>
    <row r="1004" spans="5:19" x14ac:dyDescent="0.75">
      <c r="E1004">
        <v>999</v>
      </c>
      <c r="F1004">
        <v>100</v>
      </c>
      <c r="G1004">
        <f t="shared" ca="1" si="1022"/>
        <v>105.38406357462368</v>
      </c>
      <c r="H1004">
        <f t="shared" ca="1" si="1022"/>
        <v>96.857341308090398</v>
      </c>
      <c r="I1004">
        <f t="shared" ca="1" si="1022"/>
        <v>83.822508575160469</v>
      </c>
      <c r="J1004">
        <f t="shared" ca="1" si="1022"/>
        <v>80.000958660675451</v>
      </c>
      <c r="K1004">
        <f t="shared" ca="1" si="1022"/>
        <v>76.660009491333525</v>
      </c>
      <c r="L1004">
        <f t="shared" ca="1" si="1022"/>
        <v>77.486970777031942</v>
      </c>
      <c r="M1004">
        <f t="shared" ref="M1004:P1004" ca="1" si="1063">L1004*EXP(($C$4-0.5*$C$5^2)*$C$10+$C$5*SQRT($C$10)*NORMINV(RAND(),0,1))</f>
        <v>76.755357532975879</v>
      </c>
      <c r="N1004">
        <f t="shared" ca="1" si="1063"/>
        <v>79.889858068286642</v>
      </c>
      <c r="O1004">
        <f t="shared" ca="1" si="1063"/>
        <v>79.346030736788109</v>
      </c>
      <c r="P1004">
        <f t="shared" ca="1" si="1063"/>
        <v>83.578986624547071</v>
      </c>
      <c r="Q1004">
        <f t="shared" ca="1" si="1024"/>
        <v>85.434735031773911</v>
      </c>
      <c r="R1004">
        <f t="shared" ca="1" si="1025"/>
        <v>0</v>
      </c>
      <c r="S1004">
        <f t="shared" ca="1" si="1026"/>
        <v>0</v>
      </c>
    </row>
    <row r="1005" spans="5:19" x14ac:dyDescent="0.75">
      <c r="E1005">
        <v>1000</v>
      </c>
      <c r="F1005">
        <v>100</v>
      </c>
      <c r="G1005">
        <f t="shared" ca="1" si="1022"/>
        <v>97.394201420089345</v>
      </c>
      <c r="H1005">
        <f t="shared" ca="1" si="1022"/>
        <v>104.3870703415169</v>
      </c>
      <c r="I1005">
        <f t="shared" ca="1" si="1022"/>
        <v>94.783647810404204</v>
      </c>
      <c r="J1005">
        <f t="shared" ca="1" si="1022"/>
        <v>102.74186922774955</v>
      </c>
      <c r="K1005">
        <f t="shared" ca="1" si="1022"/>
        <v>93.791116487788855</v>
      </c>
      <c r="L1005">
        <f t="shared" ca="1" si="1022"/>
        <v>85.957135072028592</v>
      </c>
      <c r="M1005">
        <f t="shared" ref="M1005:P1005" ca="1" si="1064">L1005*EXP(($C$4-0.5*$C$5^2)*$C$10+$C$5*SQRT($C$10)*NORMINV(RAND(),0,1))</f>
        <v>82.350223006006331</v>
      </c>
      <c r="N1005">
        <f t="shared" ca="1" si="1064"/>
        <v>79.923247141125159</v>
      </c>
      <c r="O1005">
        <f t="shared" ca="1" si="1064"/>
        <v>83.1803803746608</v>
      </c>
      <c r="P1005">
        <f t="shared" ca="1" si="1064"/>
        <v>73.490533909675989</v>
      </c>
      <c r="Q1005">
        <f t="shared" ca="1" si="1024"/>
        <v>90.727220435549597</v>
      </c>
      <c r="R1005">
        <f t="shared" ca="1" si="1025"/>
        <v>0</v>
      </c>
      <c r="S1005">
        <f t="shared" ca="1" si="1026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A65EA-66CE-40EF-8DBB-12437B9B2054}">
  <sheetPr codeName="Hoja4"/>
  <dimension ref="A4:V1005"/>
  <sheetViews>
    <sheetView topLeftCell="A4" workbookViewId="0">
      <selection activeCell="V7" sqref="V7"/>
    </sheetView>
  </sheetViews>
  <sheetFormatPr baseColWidth="10" defaultRowHeight="14.75" x14ac:dyDescent="0.75"/>
  <sheetData>
    <row r="4" spans="1:22" x14ac:dyDescent="0.75">
      <c r="A4" t="s">
        <v>28</v>
      </c>
    </row>
    <row r="5" spans="1:22" x14ac:dyDescent="0.75">
      <c r="B5" t="s">
        <v>0</v>
      </c>
      <c r="C5">
        <v>100</v>
      </c>
      <c r="E5" t="s">
        <v>20</v>
      </c>
      <c r="F5">
        <v>0</v>
      </c>
      <c r="G5">
        <f>F5+$C$12</f>
        <v>0.05</v>
      </c>
      <c r="H5">
        <f t="shared" ref="H5:P5" si="0">G5+$C$12</f>
        <v>0.1</v>
      </c>
      <c r="I5">
        <f t="shared" si="0"/>
        <v>0.15000000000000002</v>
      </c>
      <c r="J5">
        <f t="shared" si="0"/>
        <v>0.2</v>
      </c>
      <c r="K5">
        <f t="shared" si="0"/>
        <v>0.25</v>
      </c>
      <c r="L5">
        <f t="shared" si="0"/>
        <v>0.3</v>
      </c>
      <c r="M5">
        <f t="shared" si="0"/>
        <v>0.35</v>
      </c>
      <c r="N5">
        <f t="shared" si="0"/>
        <v>0.39999999999999997</v>
      </c>
      <c r="O5">
        <f>N5+$C$12</f>
        <v>0.44999999999999996</v>
      </c>
      <c r="P5">
        <f t="shared" si="0"/>
        <v>0.49999999999999994</v>
      </c>
      <c r="Q5" t="s">
        <v>31</v>
      </c>
      <c r="R5" t="s">
        <v>13</v>
      </c>
      <c r="S5" t="s">
        <v>15</v>
      </c>
    </row>
    <row r="6" spans="1:22" x14ac:dyDescent="0.75">
      <c r="B6" t="s">
        <v>1</v>
      </c>
      <c r="C6">
        <v>0.05</v>
      </c>
      <c r="E6">
        <v>1</v>
      </c>
      <c r="F6">
        <f>$C$5</f>
        <v>100</v>
      </c>
      <c r="G6">
        <f ca="1">F6*EXP(($C$6-0.5*$C$7^2)*$C$12+$C$7*SQRT($C$12)*NORMINV(RAND(),0,1))</f>
        <v>95.125843927172497</v>
      </c>
      <c r="H6">
        <f t="shared" ref="H6:P6" ca="1" si="1">G6*EXP(($C$6-0.5*$C$7^2)*$C$12+$C$7*SQRT($C$12)*NORMINV(RAND(),0,1))</f>
        <v>96.016295236739467</v>
      </c>
      <c r="I6">
        <f t="shared" ca="1" si="1"/>
        <v>96.395058570764448</v>
      </c>
      <c r="J6">
        <f t="shared" ca="1" si="1"/>
        <v>90.939638193584955</v>
      </c>
      <c r="K6">
        <f t="shared" ca="1" si="1"/>
        <v>90.187259994051075</v>
      </c>
      <c r="L6">
        <f t="shared" ca="1" si="1"/>
        <v>89.387786183980538</v>
      </c>
      <c r="M6">
        <f t="shared" ca="1" si="1"/>
        <v>90.047400652729934</v>
      </c>
      <c r="N6">
        <f t="shared" ca="1" si="1"/>
        <v>94.122282476552812</v>
      </c>
      <c r="O6">
        <f t="shared" ca="1" si="1"/>
        <v>95.345521565144708</v>
      </c>
      <c r="P6">
        <f t="shared" ca="1" si="1"/>
        <v>98.538189713700888</v>
      </c>
      <c r="Q6">
        <f ca="1">MAX(G6:P6)</f>
        <v>98.538189713700888</v>
      </c>
      <c r="R6">
        <f ca="1">IF(Q6&gt;=$C$13,0, MAX(P6-$C$9,0))</f>
        <v>0</v>
      </c>
      <c r="S6">
        <f ca="1">EXP(-$C$6*$C$8)*R6</f>
        <v>0</v>
      </c>
    </row>
    <row r="7" spans="1:22" x14ac:dyDescent="0.75">
      <c r="B7" t="s">
        <v>2</v>
      </c>
      <c r="C7">
        <v>0.2</v>
      </c>
      <c r="E7">
        <v>2</v>
      </c>
      <c r="F7">
        <f t="shared" ref="F7:F70" si="2">$C$5</f>
        <v>100</v>
      </c>
      <c r="G7">
        <f t="shared" ref="G7:P70" ca="1" si="3">F7*EXP(($C$6-0.5*$C$7^2)*$C$12+$C$7*SQRT($C$12)*NORMINV(RAND(),0,1))</f>
        <v>101.11057287002951</v>
      </c>
      <c r="H7">
        <f t="shared" ca="1" si="3"/>
        <v>102.10287379800498</v>
      </c>
      <c r="I7">
        <f t="shared" ca="1" si="3"/>
        <v>102.54053237083268</v>
      </c>
      <c r="J7">
        <f t="shared" ca="1" si="3"/>
        <v>114.50427582939419</v>
      </c>
      <c r="K7">
        <f t="shared" ca="1" si="3"/>
        <v>121.929008989455</v>
      </c>
      <c r="L7">
        <f t="shared" ca="1" si="3"/>
        <v>119.70702719125735</v>
      </c>
      <c r="M7">
        <f t="shared" ca="1" si="3"/>
        <v>117.1030033587042</v>
      </c>
      <c r="N7">
        <f t="shared" ca="1" si="3"/>
        <v>119.25826058549933</v>
      </c>
      <c r="O7">
        <f t="shared" ca="1" si="3"/>
        <v>117.7729080728483</v>
      </c>
      <c r="P7">
        <f t="shared" ca="1" si="3"/>
        <v>124.91964112524312</v>
      </c>
      <c r="Q7">
        <f t="shared" ref="Q7:Q70" ca="1" si="4">MAX(G7:P7)</f>
        <v>124.91964112524312</v>
      </c>
      <c r="R7">
        <f t="shared" ref="R7:R70" ca="1" si="5">IF(Q7&gt;=$C$13,0, MAX(P7-$C$9,0))</f>
        <v>0</v>
      </c>
      <c r="S7">
        <f t="shared" ref="S7:S70" ca="1" si="6">EXP(-$C$6*$C$8)*R7</f>
        <v>0</v>
      </c>
      <c r="U7" t="s">
        <v>32</v>
      </c>
      <c r="V7">
        <f ca="1">AVERAGE(S6:S1005)</f>
        <v>0.38694860141453458</v>
      </c>
    </row>
    <row r="8" spans="1:22" x14ac:dyDescent="0.75">
      <c r="B8" t="s">
        <v>3</v>
      </c>
      <c r="C8">
        <v>0.5</v>
      </c>
      <c r="E8">
        <v>3</v>
      </c>
      <c r="F8">
        <f t="shared" si="2"/>
        <v>100</v>
      </c>
      <c r="G8">
        <f t="shared" ca="1" si="3"/>
        <v>102.97989147950459</v>
      </c>
      <c r="H8">
        <f t="shared" ca="1" si="3"/>
        <v>96.93311421142505</v>
      </c>
      <c r="I8">
        <f t="shared" ca="1" si="3"/>
        <v>90.990242085385063</v>
      </c>
      <c r="J8">
        <f t="shared" ca="1" si="3"/>
        <v>94.14506388865459</v>
      </c>
      <c r="K8">
        <f t="shared" ca="1" si="3"/>
        <v>90.989407608865847</v>
      </c>
      <c r="L8">
        <f t="shared" ca="1" si="3"/>
        <v>88.943903882570936</v>
      </c>
      <c r="M8">
        <f t="shared" ca="1" si="3"/>
        <v>87.758971404853838</v>
      </c>
      <c r="N8">
        <f t="shared" ca="1" si="3"/>
        <v>93.012294312736856</v>
      </c>
      <c r="O8">
        <f t="shared" ca="1" si="3"/>
        <v>92.888048498777792</v>
      </c>
      <c r="P8">
        <f t="shared" ca="1" si="3"/>
        <v>96.148842658362568</v>
      </c>
      <c r="Q8">
        <f t="shared" ca="1" si="4"/>
        <v>102.97989147950459</v>
      </c>
      <c r="R8">
        <f t="shared" ca="1" si="5"/>
        <v>0</v>
      </c>
      <c r="S8">
        <f t="shared" ca="1" si="6"/>
        <v>0</v>
      </c>
      <c r="V8" s="1"/>
    </row>
    <row r="9" spans="1:22" x14ac:dyDescent="0.75">
      <c r="B9" t="s">
        <v>4</v>
      </c>
      <c r="C9">
        <v>102</v>
      </c>
      <c r="E9">
        <v>4</v>
      </c>
      <c r="F9">
        <f t="shared" si="2"/>
        <v>100</v>
      </c>
      <c r="G9">
        <f t="shared" ca="1" si="3"/>
        <v>96.414110029505764</v>
      </c>
      <c r="H9">
        <f t="shared" ca="1" si="3"/>
        <v>92.492556389138258</v>
      </c>
      <c r="I9">
        <f t="shared" ca="1" si="3"/>
        <v>89.525427021930298</v>
      </c>
      <c r="J9">
        <f t="shared" ca="1" si="3"/>
        <v>87.090428843732681</v>
      </c>
      <c r="K9">
        <f t="shared" ca="1" si="3"/>
        <v>87.298963874735605</v>
      </c>
      <c r="L9">
        <f t="shared" ca="1" si="3"/>
        <v>86.323138398436001</v>
      </c>
      <c r="M9">
        <f t="shared" ca="1" si="3"/>
        <v>87.292962266375241</v>
      </c>
      <c r="N9">
        <f t="shared" ca="1" si="3"/>
        <v>88.750955818214749</v>
      </c>
      <c r="O9">
        <f ca="1">N9*EXP(($C$6-0.5*$C$7^2)*$C$12+$C$7*SQRT($C$12)*NORMINV(RAND(),0,1))</f>
        <v>86.863597082578877</v>
      </c>
      <c r="P9">
        <f t="shared" ca="1" si="3"/>
        <v>80.357906084689262</v>
      </c>
      <c r="Q9">
        <f t="shared" ca="1" si="4"/>
        <v>96.414110029505764</v>
      </c>
      <c r="R9">
        <f t="shared" ca="1" si="5"/>
        <v>0</v>
      </c>
      <c r="S9">
        <f t="shared" ca="1" si="6"/>
        <v>0</v>
      </c>
    </row>
    <row r="10" spans="1:22" x14ac:dyDescent="0.75">
      <c r="E10">
        <v>5</v>
      </c>
      <c r="F10">
        <f t="shared" si="2"/>
        <v>100</v>
      </c>
      <c r="G10">
        <f t="shared" ca="1" si="3"/>
        <v>102.65043889024545</v>
      </c>
      <c r="H10">
        <f t="shared" ca="1" si="3"/>
        <v>104.32027103710246</v>
      </c>
      <c r="I10">
        <f t="shared" ca="1" si="3"/>
        <v>101.02161457818018</v>
      </c>
      <c r="J10">
        <f t="shared" ca="1" si="3"/>
        <v>92.975129783666503</v>
      </c>
      <c r="K10">
        <f t="shared" ca="1" si="3"/>
        <v>93.452164944590791</v>
      </c>
      <c r="L10">
        <f t="shared" ca="1" si="3"/>
        <v>89.790226268271937</v>
      </c>
      <c r="M10">
        <f t="shared" ca="1" si="3"/>
        <v>92.59558050414455</v>
      </c>
      <c r="N10">
        <f t="shared" ca="1" si="3"/>
        <v>90.691645890499075</v>
      </c>
      <c r="O10">
        <f t="shared" ca="1" si="3"/>
        <v>93.5208666751507</v>
      </c>
      <c r="P10">
        <f t="shared" ca="1" si="3"/>
        <v>90.66242194765114</v>
      </c>
      <c r="Q10">
        <f t="shared" ca="1" si="4"/>
        <v>104.32027103710246</v>
      </c>
      <c r="R10">
        <f t="shared" ca="1" si="5"/>
        <v>0</v>
      </c>
      <c r="S10">
        <f t="shared" ca="1" si="6"/>
        <v>0</v>
      </c>
    </row>
    <row r="11" spans="1:22" x14ac:dyDescent="0.75">
      <c r="E11">
        <v>6</v>
      </c>
      <c r="F11">
        <f t="shared" si="2"/>
        <v>100</v>
      </c>
      <c r="G11">
        <f t="shared" ca="1" si="3"/>
        <v>90.971252468028368</v>
      </c>
      <c r="H11">
        <f t="shared" ca="1" si="3"/>
        <v>93.462351448205652</v>
      </c>
      <c r="I11">
        <f t="shared" ca="1" si="3"/>
        <v>91.297256857241194</v>
      </c>
      <c r="J11">
        <f t="shared" ca="1" si="3"/>
        <v>93.71453721031547</v>
      </c>
      <c r="K11">
        <f t="shared" ca="1" si="3"/>
        <v>96.570690169426697</v>
      </c>
      <c r="L11">
        <f t="shared" ca="1" si="3"/>
        <v>94.326046770954832</v>
      </c>
      <c r="M11">
        <f t="shared" ca="1" si="3"/>
        <v>104.86292774623965</v>
      </c>
      <c r="N11">
        <f t="shared" ca="1" si="3"/>
        <v>113.94349611293785</v>
      </c>
      <c r="O11">
        <f t="shared" ca="1" si="3"/>
        <v>121.76423269011279</v>
      </c>
      <c r="P11">
        <f t="shared" ca="1" si="3"/>
        <v>116.62905885867981</v>
      </c>
      <c r="Q11">
        <f t="shared" ca="1" si="4"/>
        <v>121.76423269011279</v>
      </c>
      <c r="R11">
        <f t="shared" ca="1" si="5"/>
        <v>0</v>
      </c>
      <c r="S11">
        <f t="shared" ca="1" si="6"/>
        <v>0</v>
      </c>
    </row>
    <row r="12" spans="1:22" x14ac:dyDescent="0.75">
      <c r="B12" t="s">
        <v>29</v>
      </c>
      <c r="C12">
        <v>0.05</v>
      </c>
      <c r="E12">
        <v>7</v>
      </c>
      <c r="F12">
        <f t="shared" si="2"/>
        <v>100</v>
      </c>
      <c r="G12">
        <f t="shared" ca="1" si="3"/>
        <v>100.42950349194615</v>
      </c>
      <c r="H12">
        <f t="shared" ca="1" si="3"/>
        <v>97.304373623567358</v>
      </c>
      <c r="I12">
        <f t="shared" ca="1" si="3"/>
        <v>102.11422524179702</v>
      </c>
      <c r="J12">
        <f t="shared" ca="1" si="3"/>
        <v>113.06908669125744</v>
      </c>
      <c r="K12">
        <f t="shared" ca="1" si="3"/>
        <v>119.08714323218571</v>
      </c>
      <c r="L12">
        <f t="shared" ca="1" si="3"/>
        <v>114.3934932770362</v>
      </c>
      <c r="M12">
        <f t="shared" ca="1" si="3"/>
        <v>111.44945641916281</v>
      </c>
      <c r="N12">
        <f t="shared" ca="1" si="3"/>
        <v>106.1580943582079</v>
      </c>
      <c r="O12">
        <f t="shared" ca="1" si="3"/>
        <v>108.49621855655339</v>
      </c>
      <c r="P12">
        <f t="shared" ca="1" si="3"/>
        <v>111.73856163643158</v>
      </c>
      <c r="Q12">
        <f t="shared" ca="1" si="4"/>
        <v>119.08714323218571</v>
      </c>
      <c r="R12">
        <f t="shared" ca="1" si="5"/>
        <v>0</v>
      </c>
      <c r="S12">
        <f t="shared" ca="1" si="6"/>
        <v>0</v>
      </c>
    </row>
    <row r="13" spans="1:22" x14ac:dyDescent="0.75">
      <c r="B13" t="s">
        <v>30</v>
      </c>
      <c r="C13">
        <v>110</v>
      </c>
      <c r="E13">
        <v>8</v>
      </c>
      <c r="F13">
        <f t="shared" si="2"/>
        <v>100</v>
      </c>
      <c r="G13">
        <f t="shared" ca="1" si="3"/>
        <v>99.27271857462145</v>
      </c>
      <c r="H13">
        <f t="shared" ca="1" si="3"/>
        <v>101.57554474917674</v>
      </c>
      <c r="I13">
        <f t="shared" ca="1" si="3"/>
        <v>98.467653888231396</v>
      </c>
      <c r="J13">
        <f t="shared" ca="1" si="3"/>
        <v>100.66035174170553</v>
      </c>
      <c r="K13">
        <f t="shared" ca="1" si="3"/>
        <v>100.96320876651772</v>
      </c>
      <c r="L13">
        <f t="shared" ca="1" si="3"/>
        <v>106.57328699259534</v>
      </c>
      <c r="M13">
        <f t="shared" ca="1" si="3"/>
        <v>112.59650447970458</v>
      </c>
      <c r="N13">
        <f t="shared" ca="1" si="3"/>
        <v>117.38787713892347</v>
      </c>
      <c r="O13">
        <f t="shared" ca="1" si="3"/>
        <v>121.42104259724711</v>
      </c>
      <c r="P13">
        <f t="shared" ca="1" si="3"/>
        <v>121.04252716068703</v>
      </c>
      <c r="Q13">
        <f t="shared" ca="1" si="4"/>
        <v>121.42104259724711</v>
      </c>
      <c r="R13">
        <f t="shared" ca="1" si="5"/>
        <v>0</v>
      </c>
      <c r="S13">
        <f t="shared" ca="1" si="6"/>
        <v>0</v>
      </c>
    </row>
    <row r="14" spans="1:22" x14ac:dyDescent="0.75">
      <c r="E14">
        <v>9</v>
      </c>
      <c r="F14">
        <f t="shared" si="2"/>
        <v>100</v>
      </c>
      <c r="G14">
        <f t="shared" ca="1" si="3"/>
        <v>96.812813836620009</v>
      </c>
      <c r="H14">
        <f t="shared" ca="1" si="3"/>
        <v>95.93290195633854</v>
      </c>
      <c r="I14">
        <f t="shared" ca="1" si="3"/>
        <v>89.983813569611698</v>
      </c>
      <c r="J14">
        <f t="shared" ca="1" si="3"/>
        <v>99.964590024116021</v>
      </c>
      <c r="K14">
        <f t="shared" ca="1" si="3"/>
        <v>104.4575874218168</v>
      </c>
      <c r="L14">
        <f t="shared" ca="1" si="3"/>
        <v>105.53573231865084</v>
      </c>
      <c r="M14">
        <f t="shared" ca="1" si="3"/>
        <v>102.12134328920219</v>
      </c>
      <c r="N14">
        <f t="shared" ca="1" si="3"/>
        <v>105.40530657950494</v>
      </c>
      <c r="O14">
        <f t="shared" ca="1" si="3"/>
        <v>112.72464220932872</v>
      </c>
      <c r="P14">
        <f t="shared" ca="1" si="3"/>
        <v>110.72005866185464</v>
      </c>
      <c r="Q14">
        <f t="shared" ca="1" si="4"/>
        <v>112.72464220932872</v>
      </c>
      <c r="R14">
        <f t="shared" ca="1" si="5"/>
        <v>0</v>
      </c>
      <c r="S14">
        <f t="shared" ca="1" si="6"/>
        <v>0</v>
      </c>
    </row>
    <row r="15" spans="1:22" x14ac:dyDescent="0.75">
      <c r="E15">
        <v>10</v>
      </c>
      <c r="F15">
        <f t="shared" si="2"/>
        <v>100</v>
      </c>
      <c r="G15">
        <f t="shared" ca="1" si="3"/>
        <v>97.61159802462646</v>
      </c>
      <c r="H15">
        <f t="shared" ca="1" si="3"/>
        <v>99.111130507451392</v>
      </c>
      <c r="I15">
        <f t="shared" ca="1" si="3"/>
        <v>101.46431228634775</v>
      </c>
      <c r="J15">
        <f t="shared" ca="1" si="3"/>
        <v>97.458586611775488</v>
      </c>
      <c r="K15">
        <f t="shared" ca="1" si="3"/>
        <v>92.553933065935865</v>
      </c>
      <c r="L15">
        <f t="shared" ca="1" si="3"/>
        <v>92.810988643210777</v>
      </c>
      <c r="M15">
        <f t="shared" ca="1" si="3"/>
        <v>92.57955556738959</v>
      </c>
      <c r="N15">
        <f t="shared" ca="1" si="3"/>
        <v>93.249538922478507</v>
      </c>
      <c r="O15">
        <f t="shared" ca="1" si="3"/>
        <v>91.362133552608185</v>
      </c>
      <c r="P15">
        <f t="shared" ca="1" si="3"/>
        <v>98.93923101064469</v>
      </c>
      <c r="Q15">
        <f t="shared" ca="1" si="4"/>
        <v>101.46431228634775</v>
      </c>
      <c r="R15">
        <f t="shared" ca="1" si="5"/>
        <v>0</v>
      </c>
      <c r="S15">
        <f t="shared" ca="1" si="6"/>
        <v>0</v>
      </c>
    </row>
    <row r="16" spans="1:22" x14ac:dyDescent="0.75">
      <c r="E16">
        <v>11</v>
      </c>
      <c r="F16">
        <f t="shared" si="2"/>
        <v>100</v>
      </c>
      <c r="G16">
        <f t="shared" ca="1" si="3"/>
        <v>97.915866643044509</v>
      </c>
      <c r="H16">
        <f t="shared" ca="1" si="3"/>
        <v>98.81795469064042</v>
      </c>
      <c r="I16">
        <f t="shared" ca="1" si="3"/>
        <v>98.975113181239976</v>
      </c>
      <c r="J16">
        <f t="shared" ref="J16:P16" ca="1" si="7">I16*EXP(($C$6-0.5*$C$7^2)*$C$12+$C$7*SQRT($C$12)*NORMINV(RAND(),0,1))</f>
        <v>96.454121241203353</v>
      </c>
      <c r="K16">
        <f t="shared" ca="1" si="7"/>
        <v>101.63757658610076</v>
      </c>
      <c r="L16">
        <f t="shared" ca="1" si="7"/>
        <v>93.583474050860133</v>
      </c>
      <c r="M16">
        <f t="shared" ca="1" si="7"/>
        <v>95.458427775343964</v>
      </c>
      <c r="N16">
        <f t="shared" ca="1" si="7"/>
        <v>99.403386438332532</v>
      </c>
      <c r="O16">
        <f t="shared" ca="1" si="7"/>
        <v>100.93553103089354</v>
      </c>
      <c r="P16">
        <f t="shared" ca="1" si="7"/>
        <v>91.539781893975132</v>
      </c>
      <c r="Q16">
        <f t="shared" ca="1" si="4"/>
        <v>101.63757658610076</v>
      </c>
      <c r="R16">
        <f t="shared" ca="1" si="5"/>
        <v>0</v>
      </c>
      <c r="S16">
        <f t="shared" ca="1" si="6"/>
        <v>0</v>
      </c>
    </row>
    <row r="17" spans="5:19" x14ac:dyDescent="0.75">
      <c r="E17">
        <v>12</v>
      </c>
      <c r="F17">
        <f t="shared" si="2"/>
        <v>100</v>
      </c>
      <c r="G17">
        <f t="shared" ca="1" si="3"/>
        <v>99.470672984139867</v>
      </c>
      <c r="H17">
        <f t="shared" ca="1" si="3"/>
        <v>100.48066256606482</v>
      </c>
      <c r="I17">
        <f t="shared" ca="1" si="3"/>
        <v>92.068937230698992</v>
      </c>
      <c r="J17">
        <f t="shared" ref="J17:P17" ca="1" si="8">I17*EXP(($C$6-0.5*$C$7^2)*$C$12+$C$7*SQRT($C$12)*NORMINV(RAND(),0,1))</f>
        <v>94.51862193143738</v>
      </c>
      <c r="K17">
        <f t="shared" ca="1" si="8"/>
        <v>90.650746644694081</v>
      </c>
      <c r="L17">
        <f t="shared" ca="1" si="8"/>
        <v>94.023712532935988</v>
      </c>
      <c r="M17">
        <f t="shared" ca="1" si="8"/>
        <v>92.97703728317714</v>
      </c>
      <c r="N17">
        <f t="shared" ca="1" si="8"/>
        <v>93.681715277781962</v>
      </c>
      <c r="O17">
        <f t="shared" ca="1" si="8"/>
        <v>91.028774463656859</v>
      </c>
      <c r="P17">
        <f t="shared" ca="1" si="8"/>
        <v>90.88622461395849</v>
      </c>
      <c r="Q17">
        <f t="shared" ca="1" si="4"/>
        <v>100.48066256606482</v>
      </c>
      <c r="R17">
        <f t="shared" ca="1" si="5"/>
        <v>0</v>
      </c>
      <c r="S17">
        <f t="shared" ca="1" si="6"/>
        <v>0</v>
      </c>
    </row>
    <row r="18" spans="5:19" x14ac:dyDescent="0.75">
      <c r="E18">
        <v>13</v>
      </c>
      <c r="F18">
        <f t="shared" si="2"/>
        <v>100</v>
      </c>
      <c r="G18">
        <f t="shared" ca="1" si="3"/>
        <v>96.354494998841645</v>
      </c>
      <c r="H18">
        <f t="shared" ca="1" si="3"/>
        <v>92.554865168211435</v>
      </c>
      <c r="I18">
        <f t="shared" ca="1" si="3"/>
        <v>88.991384954083699</v>
      </c>
      <c r="J18">
        <f t="shared" ref="J18:P18" ca="1" si="9">I18*EXP(($C$6-0.5*$C$7^2)*$C$12+$C$7*SQRT($C$12)*NORMINV(RAND(),0,1))</f>
        <v>83.175460569790118</v>
      </c>
      <c r="K18">
        <f t="shared" ca="1" si="9"/>
        <v>83.639320943693164</v>
      </c>
      <c r="L18">
        <f t="shared" ca="1" si="9"/>
        <v>90.487245322561449</v>
      </c>
      <c r="M18">
        <f t="shared" ca="1" si="9"/>
        <v>99.564697223508233</v>
      </c>
      <c r="N18">
        <f t="shared" ca="1" si="9"/>
        <v>103.86282807006994</v>
      </c>
      <c r="O18">
        <f t="shared" ca="1" si="9"/>
        <v>102.49098275403465</v>
      </c>
      <c r="P18">
        <f t="shared" ca="1" si="9"/>
        <v>98.338565450088311</v>
      </c>
      <c r="Q18">
        <f t="shared" ca="1" si="4"/>
        <v>103.86282807006994</v>
      </c>
      <c r="R18">
        <f t="shared" ca="1" si="5"/>
        <v>0</v>
      </c>
      <c r="S18">
        <f t="shared" ca="1" si="6"/>
        <v>0</v>
      </c>
    </row>
    <row r="19" spans="5:19" x14ac:dyDescent="0.75">
      <c r="E19">
        <v>14</v>
      </c>
      <c r="F19">
        <f t="shared" si="2"/>
        <v>100</v>
      </c>
      <c r="G19">
        <f t="shared" ca="1" si="3"/>
        <v>99.15234758394071</v>
      </c>
      <c r="H19">
        <f t="shared" ca="1" si="3"/>
        <v>93.547642192678623</v>
      </c>
      <c r="I19">
        <f t="shared" ca="1" si="3"/>
        <v>88.553030070057517</v>
      </c>
      <c r="J19">
        <f t="shared" ref="J19:P19" ca="1" si="10">I19*EXP(($C$6-0.5*$C$7^2)*$C$12+$C$7*SQRT($C$12)*NORMINV(RAND(),0,1))</f>
        <v>85.988509640141757</v>
      </c>
      <c r="K19">
        <f t="shared" ca="1" si="10"/>
        <v>82.333771928181335</v>
      </c>
      <c r="L19">
        <f t="shared" ca="1" si="10"/>
        <v>86.566724038496574</v>
      </c>
      <c r="M19">
        <f t="shared" ca="1" si="10"/>
        <v>83.920249567600067</v>
      </c>
      <c r="N19">
        <f t="shared" ca="1" si="10"/>
        <v>90.739037197130074</v>
      </c>
      <c r="O19">
        <f t="shared" ca="1" si="10"/>
        <v>86.848447331604035</v>
      </c>
      <c r="P19">
        <f t="shared" ca="1" si="10"/>
        <v>90.949630124007996</v>
      </c>
      <c r="Q19">
        <f t="shared" ca="1" si="4"/>
        <v>99.15234758394071</v>
      </c>
      <c r="R19">
        <f t="shared" ca="1" si="5"/>
        <v>0</v>
      </c>
      <c r="S19">
        <f t="shared" ca="1" si="6"/>
        <v>0</v>
      </c>
    </row>
    <row r="20" spans="5:19" x14ac:dyDescent="0.75">
      <c r="E20">
        <v>15</v>
      </c>
      <c r="F20">
        <f t="shared" si="2"/>
        <v>100</v>
      </c>
      <c r="G20">
        <f t="shared" ca="1" si="3"/>
        <v>105.47758808712216</v>
      </c>
      <c r="H20">
        <f t="shared" ca="1" si="3"/>
        <v>105.49087801510542</v>
      </c>
      <c r="I20">
        <f t="shared" ca="1" si="3"/>
        <v>103.63809997983073</v>
      </c>
      <c r="J20">
        <f t="shared" ref="J20:P20" ca="1" si="11">I20*EXP(($C$6-0.5*$C$7^2)*$C$12+$C$7*SQRT($C$12)*NORMINV(RAND(),0,1))</f>
        <v>100.85499730124623</v>
      </c>
      <c r="K20">
        <f t="shared" ca="1" si="11"/>
        <v>101.20832256259776</v>
      </c>
      <c r="L20">
        <f t="shared" ca="1" si="11"/>
        <v>107.30277296052935</v>
      </c>
      <c r="M20">
        <f t="shared" ca="1" si="11"/>
        <v>108.97261996672184</v>
      </c>
      <c r="N20">
        <f t="shared" ca="1" si="11"/>
        <v>108.35542020432507</v>
      </c>
      <c r="O20">
        <f t="shared" ca="1" si="11"/>
        <v>108.30577900903894</v>
      </c>
      <c r="P20">
        <f t="shared" ca="1" si="11"/>
        <v>112.96439816913667</v>
      </c>
      <c r="Q20">
        <f t="shared" ca="1" si="4"/>
        <v>112.96439816913667</v>
      </c>
      <c r="R20">
        <f t="shared" ca="1" si="5"/>
        <v>0</v>
      </c>
      <c r="S20">
        <f t="shared" ca="1" si="6"/>
        <v>0</v>
      </c>
    </row>
    <row r="21" spans="5:19" x14ac:dyDescent="0.75">
      <c r="E21">
        <v>16</v>
      </c>
      <c r="F21">
        <f t="shared" si="2"/>
        <v>100</v>
      </c>
      <c r="G21">
        <f t="shared" ca="1" si="3"/>
        <v>103.92348868298605</v>
      </c>
      <c r="H21">
        <f t="shared" ca="1" si="3"/>
        <v>100.15778392971771</v>
      </c>
      <c r="I21">
        <f t="shared" ca="1" si="3"/>
        <v>113.72874177019854</v>
      </c>
      <c r="J21">
        <f t="shared" ref="J21:P21" ca="1" si="12">I21*EXP(($C$6-0.5*$C$7^2)*$C$12+$C$7*SQRT($C$12)*NORMINV(RAND(),0,1))</f>
        <v>109.77202156058063</v>
      </c>
      <c r="K21">
        <f t="shared" ca="1" si="12"/>
        <v>112.76759350260663</v>
      </c>
      <c r="L21">
        <f t="shared" ca="1" si="12"/>
        <v>111.26327732952531</v>
      </c>
      <c r="M21">
        <f t="shared" ca="1" si="12"/>
        <v>118.84939126190362</v>
      </c>
      <c r="N21">
        <f t="shared" ca="1" si="12"/>
        <v>119.27148471835335</v>
      </c>
      <c r="O21">
        <f t="shared" ca="1" si="12"/>
        <v>122.07843050475087</v>
      </c>
      <c r="P21">
        <f t="shared" ca="1" si="12"/>
        <v>124.73364532375136</v>
      </c>
      <c r="Q21">
        <f t="shared" ca="1" si="4"/>
        <v>124.73364532375136</v>
      </c>
      <c r="R21">
        <f t="shared" ca="1" si="5"/>
        <v>0</v>
      </c>
      <c r="S21">
        <f t="shared" ca="1" si="6"/>
        <v>0</v>
      </c>
    </row>
    <row r="22" spans="5:19" x14ac:dyDescent="0.75">
      <c r="E22">
        <v>17</v>
      </c>
      <c r="F22">
        <f t="shared" si="2"/>
        <v>100</v>
      </c>
      <c r="G22">
        <f t="shared" ca="1" si="3"/>
        <v>99.079031077249027</v>
      </c>
      <c r="H22">
        <f t="shared" ca="1" si="3"/>
        <v>92.225590769269701</v>
      </c>
      <c r="I22">
        <f t="shared" ca="1" si="3"/>
        <v>99.229170511831526</v>
      </c>
      <c r="J22">
        <f t="shared" ref="J22:P22" ca="1" si="13">I22*EXP(($C$6-0.5*$C$7^2)*$C$12+$C$7*SQRT($C$12)*NORMINV(RAND(),0,1))</f>
        <v>98.055145590421944</v>
      </c>
      <c r="K22">
        <f t="shared" ca="1" si="13"/>
        <v>106.76733949047291</v>
      </c>
      <c r="L22">
        <f t="shared" ca="1" si="13"/>
        <v>101.90896154097746</v>
      </c>
      <c r="M22">
        <f t="shared" ca="1" si="13"/>
        <v>99.466823662430613</v>
      </c>
      <c r="N22">
        <f t="shared" ca="1" si="13"/>
        <v>99.694951859942918</v>
      </c>
      <c r="O22">
        <f t="shared" ca="1" si="13"/>
        <v>104.78695742709181</v>
      </c>
      <c r="P22">
        <f t="shared" ca="1" si="13"/>
        <v>108.8054164800333</v>
      </c>
      <c r="Q22">
        <f t="shared" ca="1" si="4"/>
        <v>108.8054164800333</v>
      </c>
      <c r="R22">
        <f t="shared" ca="1" si="5"/>
        <v>6.8054164800333012</v>
      </c>
      <c r="S22">
        <f t="shared" ca="1" si="6"/>
        <v>6.6373901484574445</v>
      </c>
    </row>
    <row r="23" spans="5:19" x14ac:dyDescent="0.75">
      <c r="E23">
        <v>18</v>
      </c>
      <c r="F23">
        <f t="shared" si="2"/>
        <v>100</v>
      </c>
      <c r="G23">
        <f t="shared" ca="1" si="3"/>
        <v>99.376882969191087</v>
      </c>
      <c r="H23">
        <f t="shared" ca="1" si="3"/>
        <v>96.118598058964267</v>
      </c>
      <c r="I23">
        <f t="shared" ca="1" si="3"/>
        <v>95.18953219034529</v>
      </c>
      <c r="J23">
        <f t="shared" ref="J23:P23" ca="1" si="14">I23*EXP(($C$6-0.5*$C$7^2)*$C$12+$C$7*SQRT($C$12)*NORMINV(RAND(),0,1))</f>
        <v>88.581323752108815</v>
      </c>
      <c r="K23">
        <f t="shared" ca="1" si="14"/>
        <v>90.814418791019591</v>
      </c>
      <c r="L23">
        <f t="shared" ca="1" si="14"/>
        <v>97.211210582745011</v>
      </c>
      <c r="M23">
        <f t="shared" ca="1" si="14"/>
        <v>92.033035969452982</v>
      </c>
      <c r="N23">
        <f t="shared" ca="1" si="14"/>
        <v>86.891414047249356</v>
      </c>
      <c r="O23">
        <f t="shared" ca="1" si="14"/>
        <v>90.021903066036899</v>
      </c>
      <c r="P23">
        <f t="shared" ca="1" si="14"/>
        <v>87.286764380507535</v>
      </c>
      <c r="Q23">
        <f t="shared" ca="1" si="4"/>
        <v>99.376882969191087</v>
      </c>
      <c r="R23">
        <f t="shared" ca="1" si="5"/>
        <v>0</v>
      </c>
      <c r="S23">
        <f t="shared" ca="1" si="6"/>
        <v>0</v>
      </c>
    </row>
    <row r="24" spans="5:19" x14ac:dyDescent="0.75">
      <c r="E24">
        <v>19</v>
      </c>
      <c r="F24">
        <f t="shared" si="2"/>
        <v>100</v>
      </c>
      <c r="G24">
        <f t="shared" ca="1" si="3"/>
        <v>100.46801693498746</v>
      </c>
      <c r="H24">
        <f t="shared" ca="1" si="3"/>
        <v>99.033001854425819</v>
      </c>
      <c r="I24">
        <f t="shared" ca="1" si="3"/>
        <v>102.67559662444732</v>
      </c>
      <c r="J24">
        <f t="shared" ref="J24:P24" ca="1" si="15">I24*EXP(($C$6-0.5*$C$7^2)*$C$12+$C$7*SQRT($C$12)*NORMINV(RAND(),0,1))</f>
        <v>103.56536114398554</v>
      </c>
      <c r="K24">
        <f t="shared" ca="1" si="15"/>
        <v>106.40611823561184</v>
      </c>
      <c r="L24">
        <f t="shared" ca="1" si="15"/>
        <v>106.10921870139403</v>
      </c>
      <c r="M24">
        <f t="shared" ca="1" si="15"/>
        <v>105.59721382809008</v>
      </c>
      <c r="N24">
        <f t="shared" ca="1" si="15"/>
        <v>103.71820297322725</v>
      </c>
      <c r="O24">
        <f t="shared" ca="1" si="15"/>
        <v>95.574236312436227</v>
      </c>
      <c r="P24">
        <f t="shared" ca="1" si="15"/>
        <v>97.991368363954507</v>
      </c>
      <c r="Q24">
        <f t="shared" ca="1" si="4"/>
        <v>106.40611823561184</v>
      </c>
      <c r="R24">
        <f t="shared" ca="1" si="5"/>
        <v>0</v>
      </c>
      <c r="S24">
        <f t="shared" ca="1" si="6"/>
        <v>0</v>
      </c>
    </row>
    <row r="25" spans="5:19" x14ac:dyDescent="0.75">
      <c r="E25">
        <v>20</v>
      </c>
      <c r="F25">
        <f t="shared" si="2"/>
        <v>100</v>
      </c>
      <c r="G25">
        <f t="shared" ca="1" si="3"/>
        <v>106.67187504572684</v>
      </c>
      <c r="H25">
        <f t="shared" ca="1" si="3"/>
        <v>102.64784851196693</v>
      </c>
      <c r="I25">
        <f t="shared" ca="1" si="3"/>
        <v>101.71554206942977</v>
      </c>
      <c r="J25">
        <f t="shared" ref="J25:P25" ca="1" si="16">I25*EXP(($C$6-0.5*$C$7^2)*$C$12+$C$7*SQRT($C$12)*NORMINV(RAND(),0,1))</f>
        <v>99.394268783224177</v>
      </c>
      <c r="K25">
        <f t="shared" ca="1" si="16"/>
        <v>100.45832683317229</v>
      </c>
      <c r="L25">
        <f t="shared" ca="1" si="16"/>
        <v>104.99744112275334</v>
      </c>
      <c r="M25">
        <f t="shared" ca="1" si="16"/>
        <v>104.55516658782254</v>
      </c>
      <c r="N25">
        <f t="shared" ca="1" si="16"/>
        <v>105.34102570188054</v>
      </c>
      <c r="O25">
        <f t="shared" ca="1" si="16"/>
        <v>98.681250873940016</v>
      </c>
      <c r="P25">
        <f t="shared" ca="1" si="16"/>
        <v>97.270442239286552</v>
      </c>
      <c r="Q25">
        <f t="shared" ca="1" si="4"/>
        <v>106.67187504572684</v>
      </c>
      <c r="R25">
        <f t="shared" ca="1" si="5"/>
        <v>0</v>
      </c>
      <c r="S25">
        <f t="shared" ca="1" si="6"/>
        <v>0</v>
      </c>
    </row>
    <row r="26" spans="5:19" x14ac:dyDescent="0.75">
      <c r="E26">
        <v>21</v>
      </c>
      <c r="F26">
        <f t="shared" si="2"/>
        <v>100</v>
      </c>
      <c r="G26">
        <f t="shared" ca="1" si="3"/>
        <v>96.817798715713735</v>
      </c>
      <c r="H26">
        <f t="shared" ca="1" si="3"/>
        <v>107.65321158549922</v>
      </c>
      <c r="I26">
        <f t="shared" ca="1" si="3"/>
        <v>114.48509889860046</v>
      </c>
      <c r="J26">
        <f t="shared" ref="J26:P26" ca="1" si="17">I26*EXP(($C$6-0.5*$C$7^2)*$C$12+$C$7*SQRT($C$12)*NORMINV(RAND(),0,1))</f>
        <v>116.55206082933171</v>
      </c>
      <c r="K26">
        <f t="shared" ca="1" si="17"/>
        <v>119.61994258101926</v>
      </c>
      <c r="L26">
        <f t="shared" ca="1" si="17"/>
        <v>126.86024481939695</v>
      </c>
      <c r="M26">
        <f t="shared" ca="1" si="17"/>
        <v>134.19168769707639</v>
      </c>
      <c r="N26">
        <f t="shared" ca="1" si="17"/>
        <v>140.98285017151701</v>
      </c>
      <c r="O26">
        <f t="shared" ca="1" si="17"/>
        <v>132.38007953867972</v>
      </c>
      <c r="P26">
        <f t="shared" ca="1" si="17"/>
        <v>129.68462503846678</v>
      </c>
      <c r="Q26">
        <f t="shared" ca="1" si="4"/>
        <v>140.98285017151701</v>
      </c>
      <c r="R26">
        <f t="shared" ca="1" si="5"/>
        <v>0</v>
      </c>
      <c r="S26">
        <f t="shared" ca="1" si="6"/>
        <v>0</v>
      </c>
    </row>
    <row r="27" spans="5:19" x14ac:dyDescent="0.75">
      <c r="E27">
        <v>22</v>
      </c>
      <c r="F27">
        <f t="shared" si="2"/>
        <v>100</v>
      </c>
      <c r="G27">
        <f t="shared" ca="1" si="3"/>
        <v>99.484529937856877</v>
      </c>
      <c r="H27">
        <f t="shared" ca="1" si="3"/>
        <v>100.35138862936111</v>
      </c>
      <c r="I27">
        <f t="shared" ca="1" si="3"/>
        <v>97.471008473078143</v>
      </c>
      <c r="J27">
        <f t="shared" ref="J27:P27" ca="1" si="18">I27*EXP(($C$6-0.5*$C$7^2)*$C$12+$C$7*SQRT($C$12)*NORMINV(RAND(),0,1))</f>
        <v>102.38687956429749</v>
      </c>
      <c r="K27">
        <f t="shared" ca="1" si="18"/>
        <v>105.16627783897667</v>
      </c>
      <c r="L27">
        <f t="shared" ca="1" si="18"/>
        <v>104.38399508436551</v>
      </c>
      <c r="M27">
        <f t="shared" ca="1" si="18"/>
        <v>106.37042328743534</v>
      </c>
      <c r="N27">
        <f t="shared" ca="1" si="18"/>
        <v>116.91555096770109</v>
      </c>
      <c r="O27">
        <f t="shared" ca="1" si="18"/>
        <v>109.90587662758666</v>
      </c>
      <c r="P27">
        <f t="shared" ca="1" si="18"/>
        <v>110.2456534062102</v>
      </c>
      <c r="Q27">
        <f t="shared" ca="1" si="4"/>
        <v>116.91555096770109</v>
      </c>
      <c r="R27">
        <f t="shared" ca="1" si="5"/>
        <v>0</v>
      </c>
      <c r="S27">
        <f t="shared" ca="1" si="6"/>
        <v>0</v>
      </c>
    </row>
    <row r="28" spans="5:19" x14ac:dyDescent="0.75">
      <c r="E28">
        <v>23</v>
      </c>
      <c r="F28">
        <f t="shared" si="2"/>
        <v>100</v>
      </c>
      <c r="G28">
        <f t="shared" ca="1" si="3"/>
        <v>105.53581190498211</v>
      </c>
      <c r="H28">
        <f t="shared" ca="1" si="3"/>
        <v>108.03683371494354</v>
      </c>
      <c r="I28">
        <f t="shared" ca="1" si="3"/>
        <v>115.39668789973722</v>
      </c>
      <c r="J28">
        <f t="shared" ref="J28:P28" ca="1" si="19">I28*EXP(($C$6-0.5*$C$7^2)*$C$12+$C$7*SQRT($C$12)*NORMINV(RAND(),0,1))</f>
        <v>121.23511623946401</v>
      </c>
      <c r="K28">
        <f t="shared" ca="1" si="19"/>
        <v>116.82187367122003</v>
      </c>
      <c r="L28">
        <f t="shared" ca="1" si="19"/>
        <v>116.38790416680925</v>
      </c>
      <c r="M28">
        <f t="shared" ca="1" si="19"/>
        <v>109.37594440420725</v>
      </c>
      <c r="N28">
        <f t="shared" ca="1" si="19"/>
        <v>113.43238497053353</v>
      </c>
      <c r="O28">
        <f t="shared" ca="1" si="19"/>
        <v>109.91993481201104</v>
      </c>
      <c r="P28">
        <f t="shared" ca="1" si="19"/>
        <v>112.0175341769545</v>
      </c>
      <c r="Q28">
        <f t="shared" ca="1" si="4"/>
        <v>121.23511623946401</v>
      </c>
      <c r="R28">
        <f t="shared" ca="1" si="5"/>
        <v>0</v>
      </c>
      <c r="S28">
        <f t="shared" ca="1" si="6"/>
        <v>0</v>
      </c>
    </row>
    <row r="29" spans="5:19" x14ac:dyDescent="0.75">
      <c r="E29">
        <v>24</v>
      </c>
      <c r="F29">
        <f t="shared" si="2"/>
        <v>100</v>
      </c>
      <c r="G29">
        <f t="shared" ca="1" si="3"/>
        <v>105.59328616713213</v>
      </c>
      <c r="H29">
        <f t="shared" ca="1" si="3"/>
        <v>111.79103545986213</v>
      </c>
      <c r="I29">
        <f t="shared" ca="1" si="3"/>
        <v>110.80775626314379</v>
      </c>
      <c r="J29">
        <f t="shared" ref="J29:P29" ca="1" si="20">I29*EXP(($C$6-0.5*$C$7^2)*$C$12+$C$7*SQRT($C$12)*NORMINV(RAND(),0,1))</f>
        <v>114.38353947271112</v>
      </c>
      <c r="K29">
        <f t="shared" ca="1" si="20"/>
        <v>115.42495937984484</v>
      </c>
      <c r="L29">
        <f t="shared" ca="1" si="20"/>
        <v>121.49439810081645</v>
      </c>
      <c r="M29">
        <f t="shared" ca="1" si="20"/>
        <v>128.16545414726491</v>
      </c>
      <c r="N29">
        <f t="shared" ca="1" si="20"/>
        <v>116.74546014986235</v>
      </c>
      <c r="O29">
        <f t="shared" ca="1" si="20"/>
        <v>117.31052709879501</v>
      </c>
      <c r="P29">
        <f t="shared" ca="1" si="20"/>
        <v>119.49069425287867</v>
      </c>
      <c r="Q29">
        <f t="shared" ca="1" si="4"/>
        <v>128.16545414726491</v>
      </c>
      <c r="R29">
        <f t="shared" ca="1" si="5"/>
        <v>0</v>
      </c>
      <c r="S29">
        <f t="shared" ca="1" si="6"/>
        <v>0</v>
      </c>
    </row>
    <row r="30" spans="5:19" x14ac:dyDescent="0.75">
      <c r="E30">
        <v>25</v>
      </c>
      <c r="F30">
        <f t="shared" si="2"/>
        <v>100</v>
      </c>
      <c r="G30">
        <f t="shared" ca="1" si="3"/>
        <v>104.20497820723192</v>
      </c>
      <c r="H30">
        <f t="shared" ca="1" si="3"/>
        <v>97.027890881485845</v>
      </c>
      <c r="I30">
        <f t="shared" ca="1" si="3"/>
        <v>95.703627260851803</v>
      </c>
      <c r="J30">
        <f t="shared" ref="J30:P30" ca="1" si="21">I30*EXP(($C$6-0.5*$C$7^2)*$C$12+$C$7*SQRT($C$12)*NORMINV(RAND(),0,1))</f>
        <v>90.864377015985227</v>
      </c>
      <c r="K30">
        <f t="shared" ca="1" si="21"/>
        <v>94.935695358171998</v>
      </c>
      <c r="L30">
        <f t="shared" ca="1" si="21"/>
        <v>101.42030670714203</v>
      </c>
      <c r="M30">
        <f t="shared" ca="1" si="21"/>
        <v>100.60699442817908</v>
      </c>
      <c r="N30">
        <f t="shared" ca="1" si="21"/>
        <v>100.80826553809531</v>
      </c>
      <c r="O30">
        <f t="shared" ca="1" si="21"/>
        <v>96.72427928678789</v>
      </c>
      <c r="P30">
        <f t="shared" ca="1" si="21"/>
        <v>92.615963504477563</v>
      </c>
      <c r="Q30">
        <f t="shared" ca="1" si="4"/>
        <v>104.20497820723192</v>
      </c>
      <c r="R30">
        <f t="shared" ca="1" si="5"/>
        <v>0</v>
      </c>
      <c r="S30">
        <f t="shared" ca="1" si="6"/>
        <v>0</v>
      </c>
    </row>
    <row r="31" spans="5:19" x14ac:dyDescent="0.75">
      <c r="E31">
        <v>26</v>
      </c>
      <c r="F31">
        <f t="shared" si="2"/>
        <v>100</v>
      </c>
      <c r="G31">
        <f t="shared" ca="1" si="3"/>
        <v>98.885108550275135</v>
      </c>
      <c r="H31">
        <f t="shared" ca="1" si="3"/>
        <v>98.014986509829214</v>
      </c>
      <c r="I31">
        <f t="shared" ca="1" si="3"/>
        <v>101.77809907270058</v>
      </c>
      <c r="J31">
        <f t="shared" ref="J31:P31" ca="1" si="22">I31*EXP(($C$6-0.5*$C$7^2)*$C$12+$C$7*SQRT($C$12)*NORMINV(RAND(),0,1))</f>
        <v>107.3529770480974</v>
      </c>
      <c r="K31">
        <f t="shared" ca="1" si="22"/>
        <v>111.44783371075667</v>
      </c>
      <c r="L31">
        <f t="shared" ca="1" si="22"/>
        <v>116.04641875780015</v>
      </c>
      <c r="M31">
        <f t="shared" ca="1" si="22"/>
        <v>118.78592169708445</v>
      </c>
      <c r="N31">
        <f t="shared" ca="1" si="22"/>
        <v>119.28576728120326</v>
      </c>
      <c r="O31">
        <f t="shared" ca="1" si="22"/>
        <v>125.96745550101434</v>
      </c>
      <c r="P31">
        <f t="shared" ca="1" si="22"/>
        <v>123.22670702854263</v>
      </c>
      <c r="Q31">
        <f t="shared" ca="1" si="4"/>
        <v>125.96745550101434</v>
      </c>
      <c r="R31">
        <f t="shared" ca="1" si="5"/>
        <v>0</v>
      </c>
      <c r="S31">
        <f t="shared" ca="1" si="6"/>
        <v>0</v>
      </c>
    </row>
    <row r="32" spans="5:19" x14ac:dyDescent="0.75">
      <c r="E32">
        <v>27</v>
      </c>
      <c r="F32">
        <f t="shared" si="2"/>
        <v>100</v>
      </c>
      <c r="G32">
        <f t="shared" ca="1" si="3"/>
        <v>101.91181177071937</v>
      </c>
      <c r="H32">
        <f t="shared" ca="1" si="3"/>
        <v>101.99600269944105</v>
      </c>
      <c r="I32">
        <f t="shared" ca="1" si="3"/>
        <v>98.142754849845304</v>
      </c>
      <c r="J32">
        <f t="shared" ref="J32:P32" ca="1" si="23">I32*EXP(($C$6-0.5*$C$7^2)*$C$12+$C$7*SQRT($C$12)*NORMINV(RAND(),0,1))</f>
        <v>96.949928905385875</v>
      </c>
      <c r="K32">
        <f t="shared" ca="1" si="23"/>
        <v>103.89500650206679</v>
      </c>
      <c r="L32">
        <f t="shared" ca="1" si="23"/>
        <v>104.41205690380529</v>
      </c>
      <c r="M32">
        <f t="shared" ca="1" si="23"/>
        <v>100.46409382323714</v>
      </c>
      <c r="N32">
        <f t="shared" ca="1" si="23"/>
        <v>101.3988846002983</v>
      </c>
      <c r="O32">
        <f t="shared" ca="1" si="23"/>
        <v>102.7817789770433</v>
      </c>
      <c r="P32">
        <f t="shared" ca="1" si="23"/>
        <v>96.274406636516744</v>
      </c>
      <c r="Q32">
        <f t="shared" ca="1" si="4"/>
        <v>104.41205690380529</v>
      </c>
      <c r="R32">
        <f t="shared" ca="1" si="5"/>
        <v>0</v>
      </c>
      <c r="S32">
        <f t="shared" ca="1" si="6"/>
        <v>0</v>
      </c>
    </row>
    <row r="33" spans="5:19" x14ac:dyDescent="0.75">
      <c r="E33">
        <v>28</v>
      </c>
      <c r="F33">
        <f t="shared" si="2"/>
        <v>100</v>
      </c>
      <c r="G33">
        <f t="shared" ca="1" si="3"/>
        <v>100.34671203094115</v>
      </c>
      <c r="H33">
        <f t="shared" ca="1" si="3"/>
        <v>102.48895889839798</v>
      </c>
      <c r="I33">
        <f t="shared" ca="1" si="3"/>
        <v>97.175264499851536</v>
      </c>
      <c r="J33">
        <f t="shared" ref="J33:P33" ca="1" si="24">I33*EXP(($C$6-0.5*$C$7^2)*$C$12+$C$7*SQRT($C$12)*NORMINV(RAND(),0,1))</f>
        <v>99.885342712597321</v>
      </c>
      <c r="K33">
        <f t="shared" ca="1" si="24"/>
        <v>96.312968559938625</v>
      </c>
      <c r="L33">
        <f t="shared" ca="1" si="24"/>
        <v>97.383563084175066</v>
      </c>
      <c r="M33">
        <f t="shared" ca="1" si="24"/>
        <v>96.287500298042531</v>
      </c>
      <c r="N33">
        <f t="shared" ca="1" si="24"/>
        <v>91.43163712244764</v>
      </c>
      <c r="O33">
        <f t="shared" ca="1" si="24"/>
        <v>92.615928408394737</v>
      </c>
      <c r="P33">
        <f t="shared" ca="1" si="24"/>
        <v>93.614642230493388</v>
      </c>
      <c r="Q33">
        <f t="shared" ca="1" si="4"/>
        <v>102.48895889839798</v>
      </c>
      <c r="R33">
        <f t="shared" ca="1" si="5"/>
        <v>0</v>
      </c>
      <c r="S33">
        <f t="shared" ca="1" si="6"/>
        <v>0</v>
      </c>
    </row>
    <row r="34" spans="5:19" x14ac:dyDescent="0.75">
      <c r="E34">
        <v>29</v>
      </c>
      <c r="F34">
        <f t="shared" si="2"/>
        <v>100</v>
      </c>
      <c r="G34">
        <f t="shared" ca="1" si="3"/>
        <v>103.49603161435077</v>
      </c>
      <c r="H34">
        <f t="shared" ca="1" si="3"/>
        <v>104.28214843150462</v>
      </c>
      <c r="I34">
        <f t="shared" ca="1" si="3"/>
        <v>108.78624942584038</v>
      </c>
      <c r="J34">
        <f t="shared" ref="J34:P34" ca="1" si="25">I34*EXP(($C$6-0.5*$C$7^2)*$C$12+$C$7*SQRT($C$12)*NORMINV(RAND(),0,1))</f>
        <v>112.91552587583882</v>
      </c>
      <c r="K34">
        <f t="shared" ca="1" si="25"/>
        <v>110.01159213508843</v>
      </c>
      <c r="L34">
        <f t="shared" ca="1" si="25"/>
        <v>111.93518573063679</v>
      </c>
      <c r="M34">
        <f t="shared" ca="1" si="25"/>
        <v>114.73279934535294</v>
      </c>
      <c r="N34">
        <f t="shared" ca="1" si="25"/>
        <v>101.29372159040723</v>
      </c>
      <c r="O34">
        <f t="shared" ca="1" si="25"/>
        <v>101.2099751830971</v>
      </c>
      <c r="P34">
        <f t="shared" ca="1" si="25"/>
        <v>103.07036815550846</v>
      </c>
      <c r="Q34">
        <f t="shared" ca="1" si="4"/>
        <v>114.73279934535294</v>
      </c>
      <c r="R34">
        <f t="shared" ca="1" si="5"/>
        <v>0</v>
      </c>
      <c r="S34">
        <f t="shared" ca="1" si="6"/>
        <v>0</v>
      </c>
    </row>
    <row r="35" spans="5:19" x14ac:dyDescent="0.75">
      <c r="E35">
        <v>30</v>
      </c>
      <c r="F35">
        <f t="shared" si="2"/>
        <v>100</v>
      </c>
      <c r="G35">
        <f t="shared" ca="1" si="3"/>
        <v>103.69703419783789</v>
      </c>
      <c r="H35">
        <f t="shared" ca="1" si="3"/>
        <v>110.65429692344613</v>
      </c>
      <c r="I35">
        <f t="shared" ca="1" si="3"/>
        <v>114.71897778972668</v>
      </c>
      <c r="J35">
        <f t="shared" ref="J35:P35" ca="1" si="26">I35*EXP(($C$6-0.5*$C$7^2)*$C$12+$C$7*SQRT($C$12)*NORMINV(RAND(),0,1))</f>
        <v>115.01605666158191</v>
      </c>
      <c r="K35">
        <f t="shared" ca="1" si="26"/>
        <v>115.85779349135271</v>
      </c>
      <c r="L35">
        <f t="shared" ca="1" si="26"/>
        <v>123.43154202730433</v>
      </c>
      <c r="M35">
        <f t="shared" ca="1" si="26"/>
        <v>116.89321850025705</v>
      </c>
      <c r="N35">
        <f t="shared" ca="1" si="26"/>
        <v>126.17930740641229</v>
      </c>
      <c r="O35">
        <f t="shared" ca="1" si="26"/>
        <v>122.97726045704786</v>
      </c>
      <c r="P35">
        <f t="shared" ca="1" si="26"/>
        <v>124.55098343661071</v>
      </c>
      <c r="Q35">
        <f t="shared" ca="1" si="4"/>
        <v>126.17930740641229</v>
      </c>
      <c r="R35">
        <f t="shared" ca="1" si="5"/>
        <v>0</v>
      </c>
      <c r="S35">
        <f t="shared" ca="1" si="6"/>
        <v>0</v>
      </c>
    </row>
    <row r="36" spans="5:19" x14ac:dyDescent="0.75">
      <c r="E36">
        <v>31</v>
      </c>
      <c r="F36">
        <f t="shared" si="2"/>
        <v>100</v>
      </c>
      <c r="G36">
        <f t="shared" ca="1" si="3"/>
        <v>103.53761577790368</v>
      </c>
      <c r="H36">
        <f t="shared" ca="1" si="3"/>
        <v>107.51043737565378</v>
      </c>
      <c r="I36">
        <f t="shared" ca="1" si="3"/>
        <v>106.15500608326829</v>
      </c>
      <c r="J36">
        <f t="shared" ref="J36:P36" ca="1" si="27">I36*EXP(($C$6-0.5*$C$7^2)*$C$12+$C$7*SQRT($C$12)*NORMINV(RAND(),0,1))</f>
        <v>109.08070678011505</v>
      </c>
      <c r="K36">
        <f t="shared" ca="1" si="27"/>
        <v>106.41974242498705</v>
      </c>
      <c r="L36">
        <f t="shared" ca="1" si="27"/>
        <v>103.91605726704016</v>
      </c>
      <c r="M36">
        <f t="shared" ca="1" si="27"/>
        <v>100.73879254403269</v>
      </c>
      <c r="N36">
        <f t="shared" ca="1" si="27"/>
        <v>97.901895124600884</v>
      </c>
      <c r="O36">
        <f t="shared" ca="1" si="27"/>
        <v>98.328438388142388</v>
      </c>
      <c r="P36">
        <f t="shared" ca="1" si="27"/>
        <v>98.286208411556217</v>
      </c>
      <c r="Q36">
        <f t="shared" ca="1" si="4"/>
        <v>109.08070678011505</v>
      </c>
      <c r="R36">
        <f t="shared" ca="1" si="5"/>
        <v>0</v>
      </c>
      <c r="S36">
        <f t="shared" ca="1" si="6"/>
        <v>0</v>
      </c>
    </row>
    <row r="37" spans="5:19" x14ac:dyDescent="0.75">
      <c r="E37">
        <v>32</v>
      </c>
      <c r="F37">
        <f t="shared" si="2"/>
        <v>100</v>
      </c>
      <c r="G37">
        <f t="shared" ca="1" si="3"/>
        <v>92.234905265470843</v>
      </c>
      <c r="H37">
        <f t="shared" ca="1" si="3"/>
        <v>90.162298125741131</v>
      </c>
      <c r="I37">
        <f t="shared" ca="1" si="3"/>
        <v>88.471833386825011</v>
      </c>
      <c r="J37">
        <f t="shared" ref="J37:P37" ca="1" si="28">I37*EXP(($C$6-0.5*$C$7^2)*$C$12+$C$7*SQRT($C$12)*NORMINV(RAND(),0,1))</f>
        <v>91.723749218646518</v>
      </c>
      <c r="K37">
        <f t="shared" ca="1" si="28"/>
        <v>88.998176723331326</v>
      </c>
      <c r="L37">
        <f t="shared" ca="1" si="28"/>
        <v>89.649076444478396</v>
      </c>
      <c r="M37">
        <f t="shared" ca="1" si="28"/>
        <v>91.450038892301407</v>
      </c>
      <c r="N37">
        <f t="shared" ca="1" si="28"/>
        <v>92.896572056289941</v>
      </c>
      <c r="O37">
        <f t="shared" ca="1" si="28"/>
        <v>96.404370679322653</v>
      </c>
      <c r="P37">
        <f t="shared" ca="1" si="28"/>
        <v>100.72267103004229</v>
      </c>
      <c r="Q37">
        <f t="shared" ca="1" si="4"/>
        <v>100.72267103004229</v>
      </c>
      <c r="R37">
        <f t="shared" ca="1" si="5"/>
        <v>0</v>
      </c>
      <c r="S37">
        <f t="shared" ca="1" si="6"/>
        <v>0</v>
      </c>
    </row>
    <row r="38" spans="5:19" x14ac:dyDescent="0.75">
      <c r="E38">
        <v>33</v>
      </c>
      <c r="F38">
        <f t="shared" si="2"/>
        <v>100</v>
      </c>
      <c r="G38">
        <f t="shared" ca="1" si="3"/>
        <v>98.095618611455507</v>
      </c>
      <c r="H38">
        <f t="shared" ca="1" si="3"/>
        <v>87.246054474725057</v>
      </c>
      <c r="I38">
        <f t="shared" ca="1" si="3"/>
        <v>87.864986672170915</v>
      </c>
      <c r="J38">
        <f t="shared" ref="J38:P38" ca="1" si="29">I38*EXP(($C$6-0.5*$C$7^2)*$C$12+$C$7*SQRT($C$12)*NORMINV(RAND(),0,1))</f>
        <v>85.26173743988069</v>
      </c>
      <c r="K38">
        <f t="shared" ca="1" si="29"/>
        <v>92.452028148991374</v>
      </c>
      <c r="L38">
        <f t="shared" ca="1" si="29"/>
        <v>91.255979082150972</v>
      </c>
      <c r="M38">
        <f t="shared" ca="1" si="29"/>
        <v>89.179578295563331</v>
      </c>
      <c r="N38">
        <f t="shared" ca="1" si="29"/>
        <v>87.675423633991429</v>
      </c>
      <c r="O38">
        <f t="shared" ca="1" si="29"/>
        <v>81.45045221588758</v>
      </c>
      <c r="P38">
        <f t="shared" ca="1" si="29"/>
        <v>90.268356960631394</v>
      </c>
      <c r="Q38">
        <f t="shared" ca="1" si="4"/>
        <v>98.095618611455507</v>
      </c>
      <c r="R38">
        <f t="shared" ca="1" si="5"/>
        <v>0</v>
      </c>
      <c r="S38">
        <f t="shared" ca="1" si="6"/>
        <v>0</v>
      </c>
    </row>
    <row r="39" spans="5:19" x14ac:dyDescent="0.75">
      <c r="E39">
        <v>34</v>
      </c>
      <c r="F39">
        <f t="shared" si="2"/>
        <v>100</v>
      </c>
      <c r="G39">
        <f t="shared" ca="1" si="3"/>
        <v>101.25762833082904</v>
      </c>
      <c r="H39">
        <f t="shared" ca="1" si="3"/>
        <v>97.272454114346928</v>
      </c>
      <c r="I39">
        <f t="shared" ca="1" si="3"/>
        <v>99.017669789544627</v>
      </c>
      <c r="J39">
        <f t="shared" ref="J39:P39" ca="1" si="30">I39*EXP(($C$6-0.5*$C$7^2)*$C$12+$C$7*SQRT($C$12)*NORMINV(RAND(),0,1))</f>
        <v>96.449259953398879</v>
      </c>
      <c r="K39">
        <f t="shared" ca="1" si="30"/>
        <v>96.440159569897617</v>
      </c>
      <c r="L39">
        <f t="shared" ca="1" si="30"/>
        <v>92.531430595855838</v>
      </c>
      <c r="M39">
        <f t="shared" ca="1" si="30"/>
        <v>94.914668677942714</v>
      </c>
      <c r="N39">
        <f t="shared" ca="1" si="30"/>
        <v>88.058854925379649</v>
      </c>
      <c r="O39">
        <f t="shared" ca="1" si="30"/>
        <v>81.154323634182816</v>
      </c>
      <c r="P39">
        <f t="shared" ca="1" si="30"/>
        <v>79.421157062261756</v>
      </c>
      <c r="Q39">
        <f t="shared" ca="1" si="4"/>
        <v>101.25762833082904</v>
      </c>
      <c r="R39">
        <f t="shared" ca="1" si="5"/>
        <v>0</v>
      </c>
      <c r="S39">
        <f t="shared" ca="1" si="6"/>
        <v>0</v>
      </c>
    </row>
    <row r="40" spans="5:19" x14ac:dyDescent="0.75">
      <c r="E40">
        <v>35</v>
      </c>
      <c r="F40">
        <f t="shared" si="2"/>
        <v>100</v>
      </c>
      <c r="G40">
        <f t="shared" ca="1" si="3"/>
        <v>102.46146948575226</v>
      </c>
      <c r="H40">
        <f t="shared" ca="1" si="3"/>
        <v>100.02081976871499</v>
      </c>
      <c r="I40">
        <f t="shared" ca="1" si="3"/>
        <v>101.94536069350045</v>
      </c>
      <c r="J40">
        <f t="shared" ref="J40:P40" ca="1" si="31">I40*EXP(($C$6-0.5*$C$7^2)*$C$12+$C$7*SQRT($C$12)*NORMINV(RAND(),0,1))</f>
        <v>91.471467699030896</v>
      </c>
      <c r="K40">
        <f t="shared" ca="1" si="31"/>
        <v>93.947002232427508</v>
      </c>
      <c r="L40">
        <f t="shared" ca="1" si="31"/>
        <v>88.252479560594523</v>
      </c>
      <c r="M40">
        <f t="shared" ca="1" si="31"/>
        <v>87.44617110617547</v>
      </c>
      <c r="N40">
        <f t="shared" ca="1" si="31"/>
        <v>91.605308336757318</v>
      </c>
      <c r="O40">
        <f t="shared" ca="1" si="31"/>
        <v>99.284088371761655</v>
      </c>
      <c r="P40">
        <f t="shared" ca="1" si="31"/>
        <v>99.334491396668938</v>
      </c>
      <c r="Q40">
        <f t="shared" ca="1" si="4"/>
        <v>102.46146948575226</v>
      </c>
      <c r="R40">
        <f t="shared" ca="1" si="5"/>
        <v>0</v>
      </c>
      <c r="S40">
        <f t="shared" ca="1" si="6"/>
        <v>0</v>
      </c>
    </row>
    <row r="41" spans="5:19" x14ac:dyDescent="0.75">
      <c r="E41">
        <v>36</v>
      </c>
      <c r="F41">
        <f t="shared" si="2"/>
        <v>100</v>
      </c>
      <c r="G41">
        <f t="shared" ca="1" si="3"/>
        <v>107.83907754275684</v>
      </c>
      <c r="H41">
        <f t="shared" ca="1" si="3"/>
        <v>104.64645003679273</v>
      </c>
      <c r="I41">
        <f t="shared" ca="1" si="3"/>
        <v>106.18754229118953</v>
      </c>
      <c r="J41">
        <f t="shared" ref="J41:P41" ca="1" si="32">I41*EXP(($C$6-0.5*$C$7^2)*$C$12+$C$7*SQRT($C$12)*NORMINV(RAND(),0,1))</f>
        <v>106.13769996615555</v>
      </c>
      <c r="K41">
        <f t="shared" ca="1" si="32"/>
        <v>112.49202438753046</v>
      </c>
      <c r="L41">
        <f t="shared" ca="1" si="32"/>
        <v>117.94727405689291</v>
      </c>
      <c r="M41">
        <f t="shared" ca="1" si="32"/>
        <v>122.05288030608904</v>
      </c>
      <c r="N41">
        <f t="shared" ca="1" si="32"/>
        <v>109.82770737431554</v>
      </c>
      <c r="O41">
        <f t="shared" ca="1" si="32"/>
        <v>120.61634319149999</v>
      </c>
      <c r="P41">
        <f t="shared" ca="1" si="32"/>
        <v>115.46299275770426</v>
      </c>
      <c r="Q41">
        <f t="shared" ca="1" si="4"/>
        <v>122.05288030608904</v>
      </c>
      <c r="R41">
        <f t="shared" ca="1" si="5"/>
        <v>0</v>
      </c>
      <c r="S41">
        <f t="shared" ca="1" si="6"/>
        <v>0</v>
      </c>
    </row>
    <row r="42" spans="5:19" x14ac:dyDescent="0.75">
      <c r="E42">
        <v>37</v>
      </c>
      <c r="F42">
        <f t="shared" si="2"/>
        <v>100</v>
      </c>
      <c r="G42">
        <f t="shared" ca="1" si="3"/>
        <v>107.37340400999254</v>
      </c>
      <c r="H42">
        <f t="shared" ca="1" si="3"/>
        <v>116.07019049811289</v>
      </c>
      <c r="I42">
        <f t="shared" ca="1" si="3"/>
        <v>123.36453636520423</v>
      </c>
      <c r="J42">
        <f t="shared" ref="J42:P42" ca="1" si="33">I42*EXP(($C$6-0.5*$C$7^2)*$C$12+$C$7*SQRT($C$12)*NORMINV(RAND(),0,1))</f>
        <v>120.28548280279531</v>
      </c>
      <c r="K42">
        <f t="shared" ca="1" si="33"/>
        <v>128.67949203923632</v>
      </c>
      <c r="L42">
        <f t="shared" ca="1" si="33"/>
        <v>128.82143899220998</v>
      </c>
      <c r="M42">
        <f t="shared" ca="1" si="33"/>
        <v>131.50951780889696</v>
      </c>
      <c r="N42">
        <f t="shared" ca="1" si="33"/>
        <v>125.63934601180131</v>
      </c>
      <c r="O42">
        <f t="shared" ca="1" si="33"/>
        <v>127.69832370484622</v>
      </c>
      <c r="P42">
        <f t="shared" ca="1" si="33"/>
        <v>139.06629213714569</v>
      </c>
      <c r="Q42">
        <f t="shared" ca="1" si="4"/>
        <v>139.06629213714569</v>
      </c>
      <c r="R42">
        <f t="shared" ca="1" si="5"/>
        <v>0</v>
      </c>
      <c r="S42">
        <f t="shared" ca="1" si="6"/>
        <v>0</v>
      </c>
    </row>
    <row r="43" spans="5:19" x14ac:dyDescent="0.75">
      <c r="E43">
        <v>38</v>
      </c>
      <c r="F43">
        <f t="shared" si="2"/>
        <v>100</v>
      </c>
      <c r="G43">
        <f t="shared" ca="1" si="3"/>
        <v>105.39254624483196</v>
      </c>
      <c r="H43">
        <f t="shared" ca="1" si="3"/>
        <v>111.13203631644676</v>
      </c>
      <c r="I43">
        <f t="shared" ca="1" si="3"/>
        <v>112.16252360077551</v>
      </c>
      <c r="J43">
        <f t="shared" ref="J43:P43" ca="1" si="34">I43*EXP(($C$6-0.5*$C$7^2)*$C$12+$C$7*SQRT($C$12)*NORMINV(RAND(),0,1))</f>
        <v>109.47841324254219</v>
      </c>
      <c r="K43">
        <f t="shared" ca="1" si="34"/>
        <v>106.45632293460342</v>
      </c>
      <c r="L43">
        <f t="shared" ca="1" si="34"/>
        <v>102.72678773655772</v>
      </c>
      <c r="M43">
        <f t="shared" ca="1" si="34"/>
        <v>102.59416182245162</v>
      </c>
      <c r="N43">
        <f t="shared" ca="1" si="34"/>
        <v>108.87048924015579</v>
      </c>
      <c r="O43">
        <f t="shared" ca="1" si="34"/>
        <v>108.2049362742918</v>
      </c>
      <c r="P43">
        <f t="shared" ca="1" si="34"/>
        <v>104.38011202640165</v>
      </c>
      <c r="Q43">
        <f t="shared" ca="1" si="4"/>
        <v>112.16252360077551</v>
      </c>
      <c r="R43">
        <f t="shared" ca="1" si="5"/>
        <v>0</v>
      </c>
      <c r="S43">
        <f t="shared" ca="1" si="6"/>
        <v>0</v>
      </c>
    </row>
    <row r="44" spans="5:19" x14ac:dyDescent="0.75">
      <c r="E44">
        <v>39</v>
      </c>
      <c r="F44">
        <f t="shared" si="2"/>
        <v>100</v>
      </c>
      <c r="G44">
        <f t="shared" ca="1" si="3"/>
        <v>96.435389634275822</v>
      </c>
      <c r="H44">
        <f t="shared" ca="1" si="3"/>
        <v>95.436789204021423</v>
      </c>
      <c r="I44">
        <f t="shared" ca="1" si="3"/>
        <v>101.72930353284714</v>
      </c>
      <c r="J44">
        <f t="shared" ref="J44:P44" ca="1" si="35">I44*EXP(($C$6-0.5*$C$7^2)*$C$12+$C$7*SQRT($C$12)*NORMINV(RAND(),0,1))</f>
        <v>106.8461624405829</v>
      </c>
      <c r="K44">
        <f t="shared" ca="1" si="35"/>
        <v>111.06943940261334</v>
      </c>
      <c r="L44">
        <f t="shared" ca="1" si="35"/>
        <v>109.68237390866214</v>
      </c>
      <c r="M44">
        <f t="shared" ca="1" si="35"/>
        <v>115.14314515363152</v>
      </c>
      <c r="N44">
        <f t="shared" ca="1" si="35"/>
        <v>114.28536560063283</v>
      </c>
      <c r="O44">
        <f t="shared" ca="1" si="35"/>
        <v>121.35603378142103</v>
      </c>
      <c r="P44">
        <f t="shared" ca="1" si="35"/>
        <v>116.83889076628988</v>
      </c>
      <c r="Q44">
        <f t="shared" ca="1" si="4"/>
        <v>121.35603378142103</v>
      </c>
      <c r="R44">
        <f t="shared" ca="1" si="5"/>
        <v>0</v>
      </c>
      <c r="S44">
        <f t="shared" ca="1" si="6"/>
        <v>0</v>
      </c>
    </row>
    <row r="45" spans="5:19" x14ac:dyDescent="0.75">
      <c r="E45">
        <v>40</v>
      </c>
      <c r="F45">
        <f t="shared" si="2"/>
        <v>100</v>
      </c>
      <c r="G45">
        <f t="shared" ca="1" si="3"/>
        <v>105.07124192161177</v>
      </c>
      <c r="H45">
        <f t="shared" ca="1" si="3"/>
        <v>106.16416096084725</v>
      </c>
      <c r="I45">
        <f t="shared" ca="1" si="3"/>
        <v>108.8379462849919</v>
      </c>
      <c r="J45">
        <f t="shared" ref="J45:P45" ca="1" si="36">I45*EXP(($C$6-0.5*$C$7^2)*$C$12+$C$7*SQRT($C$12)*NORMINV(RAND(),0,1))</f>
        <v>113.87014031803457</v>
      </c>
      <c r="K45">
        <f t="shared" ca="1" si="36"/>
        <v>118.18242217995832</v>
      </c>
      <c r="L45">
        <f t="shared" ca="1" si="36"/>
        <v>108.57967847417362</v>
      </c>
      <c r="M45">
        <f t="shared" ca="1" si="36"/>
        <v>112.43636878883227</v>
      </c>
      <c r="N45">
        <f t="shared" ca="1" si="36"/>
        <v>112.37595620199097</v>
      </c>
      <c r="O45">
        <f t="shared" ca="1" si="36"/>
        <v>107.82165428946909</v>
      </c>
      <c r="P45">
        <f t="shared" ca="1" si="36"/>
        <v>103.45223549148609</v>
      </c>
      <c r="Q45">
        <f t="shared" ca="1" si="4"/>
        <v>118.18242217995832</v>
      </c>
      <c r="R45">
        <f t="shared" ca="1" si="5"/>
        <v>0</v>
      </c>
      <c r="S45">
        <f t="shared" ca="1" si="6"/>
        <v>0</v>
      </c>
    </row>
    <row r="46" spans="5:19" x14ac:dyDescent="0.75">
      <c r="E46">
        <v>41</v>
      </c>
      <c r="F46">
        <f t="shared" si="2"/>
        <v>100</v>
      </c>
      <c r="G46">
        <f t="shared" ca="1" si="3"/>
        <v>96.965866638967839</v>
      </c>
      <c r="H46">
        <f t="shared" ca="1" si="3"/>
        <v>97.245615445573989</v>
      </c>
      <c r="I46">
        <f t="shared" ca="1" si="3"/>
        <v>101.63975295455251</v>
      </c>
      <c r="J46">
        <f t="shared" ref="J46:P46" ca="1" si="37">I46*EXP(($C$6-0.5*$C$7^2)*$C$12+$C$7*SQRT($C$12)*NORMINV(RAND(),0,1))</f>
        <v>99.295398839277766</v>
      </c>
      <c r="K46">
        <f t="shared" ca="1" si="37"/>
        <v>93.657346629723335</v>
      </c>
      <c r="L46">
        <f t="shared" ca="1" si="37"/>
        <v>85.823622788775381</v>
      </c>
      <c r="M46">
        <f t="shared" ca="1" si="37"/>
        <v>82.818572557761357</v>
      </c>
      <c r="N46">
        <f t="shared" ca="1" si="37"/>
        <v>84.558463600254797</v>
      </c>
      <c r="O46">
        <f t="shared" ca="1" si="37"/>
        <v>90.773901624627044</v>
      </c>
      <c r="P46">
        <f t="shared" ca="1" si="37"/>
        <v>86.393434080877114</v>
      </c>
      <c r="Q46">
        <f t="shared" ca="1" si="4"/>
        <v>101.63975295455251</v>
      </c>
      <c r="R46">
        <f t="shared" ca="1" si="5"/>
        <v>0</v>
      </c>
      <c r="S46">
        <f t="shared" ca="1" si="6"/>
        <v>0</v>
      </c>
    </row>
    <row r="47" spans="5:19" x14ac:dyDescent="0.75">
      <c r="E47">
        <v>42</v>
      </c>
      <c r="F47">
        <f t="shared" si="2"/>
        <v>100</v>
      </c>
      <c r="G47">
        <f t="shared" ca="1" si="3"/>
        <v>107.88722119658252</v>
      </c>
      <c r="H47">
        <f t="shared" ca="1" si="3"/>
        <v>112.99052930529959</v>
      </c>
      <c r="I47">
        <f t="shared" ca="1" si="3"/>
        <v>111.95277247348643</v>
      </c>
      <c r="J47">
        <f t="shared" ref="J47:P47" ca="1" si="38">I47*EXP(($C$6-0.5*$C$7^2)*$C$12+$C$7*SQRT($C$12)*NORMINV(RAND(),0,1))</f>
        <v>129.64977771621207</v>
      </c>
      <c r="K47">
        <f t="shared" ca="1" si="38"/>
        <v>126.68791681164569</v>
      </c>
      <c r="L47">
        <f t="shared" ca="1" si="38"/>
        <v>120.46405872575811</v>
      </c>
      <c r="M47">
        <f t="shared" ca="1" si="38"/>
        <v>132.32098089011654</v>
      </c>
      <c r="N47">
        <f t="shared" ca="1" si="38"/>
        <v>129.72599418971703</v>
      </c>
      <c r="O47">
        <f t="shared" ca="1" si="38"/>
        <v>127.90723472262553</v>
      </c>
      <c r="P47">
        <f t="shared" ca="1" si="38"/>
        <v>126.92624247305251</v>
      </c>
      <c r="Q47">
        <f t="shared" ca="1" si="4"/>
        <v>132.32098089011654</v>
      </c>
      <c r="R47">
        <f t="shared" ca="1" si="5"/>
        <v>0</v>
      </c>
      <c r="S47">
        <f t="shared" ca="1" si="6"/>
        <v>0</v>
      </c>
    </row>
    <row r="48" spans="5:19" x14ac:dyDescent="0.75">
      <c r="E48">
        <v>43</v>
      </c>
      <c r="F48">
        <f t="shared" si="2"/>
        <v>100</v>
      </c>
      <c r="G48">
        <f t="shared" ca="1" si="3"/>
        <v>100.69273767719562</v>
      </c>
      <c r="H48">
        <f t="shared" ca="1" si="3"/>
        <v>99.054033846305799</v>
      </c>
      <c r="I48">
        <f t="shared" ca="1" si="3"/>
        <v>100.8571686839923</v>
      </c>
      <c r="J48">
        <f t="shared" ref="J48:P48" ca="1" si="39">I48*EXP(($C$6-0.5*$C$7^2)*$C$12+$C$7*SQRT($C$12)*NORMINV(RAND(),0,1))</f>
        <v>103.19922485105972</v>
      </c>
      <c r="K48">
        <f t="shared" ca="1" si="39"/>
        <v>103.86971895941865</v>
      </c>
      <c r="L48">
        <f t="shared" ca="1" si="39"/>
        <v>110.74437740584274</v>
      </c>
      <c r="M48">
        <f t="shared" ca="1" si="39"/>
        <v>108.02097547087683</v>
      </c>
      <c r="N48">
        <f t="shared" ca="1" si="39"/>
        <v>115.97733430028543</v>
      </c>
      <c r="O48">
        <f t="shared" ca="1" si="39"/>
        <v>114.91254456828537</v>
      </c>
      <c r="P48">
        <f t="shared" ca="1" si="39"/>
        <v>108.82842723244588</v>
      </c>
      <c r="Q48">
        <f t="shared" ca="1" si="4"/>
        <v>115.97733430028543</v>
      </c>
      <c r="R48">
        <f t="shared" ca="1" si="5"/>
        <v>0</v>
      </c>
      <c r="S48">
        <f t="shared" ca="1" si="6"/>
        <v>0</v>
      </c>
    </row>
    <row r="49" spans="5:19" x14ac:dyDescent="0.75">
      <c r="E49">
        <v>44</v>
      </c>
      <c r="F49">
        <f t="shared" si="2"/>
        <v>100</v>
      </c>
      <c r="G49">
        <f t="shared" ca="1" si="3"/>
        <v>106.25337630879781</v>
      </c>
      <c r="H49">
        <f t="shared" ca="1" si="3"/>
        <v>108.2867924010704</v>
      </c>
      <c r="I49">
        <f t="shared" ca="1" si="3"/>
        <v>110.49195949885582</v>
      </c>
      <c r="J49">
        <f t="shared" ref="J49:P49" ca="1" si="40">I49*EXP(($C$6-0.5*$C$7^2)*$C$12+$C$7*SQRT($C$12)*NORMINV(RAND(),0,1))</f>
        <v>109.92256174196385</v>
      </c>
      <c r="K49">
        <f t="shared" ca="1" si="40"/>
        <v>108.33555043856927</v>
      </c>
      <c r="L49">
        <f t="shared" ca="1" si="40"/>
        <v>114.52228504793277</v>
      </c>
      <c r="M49">
        <f t="shared" ca="1" si="40"/>
        <v>106.93055699075781</v>
      </c>
      <c r="N49">
        <f t="shared" ca="1" si="40"/>
        <v>108.59924808372151</v>
      </c>
      <c r="O49">
        <f t="shared" ca="1" si="40"/>
        <v>103.5888323979834</v>
      </c>
      <c r="P49">
        <f t="shared" ca="1" si="40"/>
        <v>97.723661617714839</v>
      </c>
      <c r="Q49">
        <f t="shared" ca="1" si="4"/>
        <v>114.52228504793277</v>
      </c>
      <c r="R49">
        <f t="shared" ca="1" si="5"/>
        <v>0</v>
      </c>
      <c r="S49">
        <f t="shared" ca="1" si="6"/>
        <v>0</v>
      </c>
    </row>
    <row r="50" spans="5:19" x14ac:dyDescent="0.75">
      <c r="E50">
        <v>45</v>
      </c>
      <c r="F50">
        <f t="shared" si="2"/>
        <v>100</v>
      </c>
      <c r="G50">
        <f t="shared" ca="1" si="3"/>
        <v>95.550646070218235</v>
      </c>
      <c r="H50">
        <f t="shared" ca="1" si="3"/>
        <v>92.030815058030399</v>
      </c>
      <c r="I50">
        <f t="shared" ca="1" si="3"/>
        <v>96.860201464056686</v>
      </c>
      <c r="J50">
        <f t="shared" ref="J50:P50" ca="1" si="41">I50*EXP(($C$6-0.5*$C$7^2)*$C$12+$C$7*SQRT($C$12)*NORMINV(RAND(),0,1))</f>
        <v>100.00156096809997</v>
      </c>
      <c r="K50">
        <f t="shared" ca="1" si="41"/>
        <v>100.51436518577884</v>
      </c>
      <c r="L50">
        <f t="shared" ca="1" si="41"/>
        <v>102.08564433247753</v>
      </c>
      <c r="M50">
        <f t="shared" ca="1" si="41"/>
        <v>105.9406015412038</v>
      </c>
      <c r="N50">
        <f t="shared" ca="1" si="41"/>
        <v>105.39495101335227</v>
      </c>
      <c r="O50">
        <f t="shared" ca="1" si="41"/>
        <v>104.54197654416089</v>
      </c>
      <c r="P50">
        <f t="shared" ca="1" si="41"/>
        <v>102.97629365301931</v>
      </c>
      <c r="Q50">
        <f t="shared" ca="1" si="4"/>
        <v>105.9406015412038</v>
      </c>
      <c r="R50">
        <f t="shared" ca="1" si="5"/>
        <v>0.97629365301931159</v>
      </c>
      <c r="S50">
        <f t="shared" ca="1" si="6"/>
        <v>0.95218887684008424</v>
      </c>
    </row>
    <row r="51" spans="5:19" x14ac:dyDescent="0.75">
      <c r="E51">
        <v>46</v>
      </c>
      <c r="F51">
        <f t="shared" si="2"/>
        <v>100</v>
      </c>
      <c r="G51">
        <f t="shared" ca="1" si="3"/>
        <v>95.638784180246262</v>
      </c>
      <c r="H51">
        <f t="shared" ca="1" si="3"/>
        <v>92.448661644668761</v>
      </c>
      <c r="I51">
        <f t="shared" ca="1" si="3"/>
        <v>89.078761429044647</v>
      </c>
      <c r="J51">
        <f t="shared" ref="J51:P51" ca="1" si="42">I51*EXP(($C$6-0.5*$C$7^2)*$C$12+$C$7*SQRT($C$12)*NORMINV(RAND(),0,1))</f>
        <v>96.158980354156341</v>
      </c>
      <c r="K51">
        <f t="shared" ca="1" si="42"/>
        <v>98.201136878511164</v>
      </c>
      <c r="L51">
        <f t="shared" ca="1" si="42"/>
        <v>93.217659823447491</v>
      </c>
      <c r="M51">
        <f t="shared" ca="1" si="42"/>
        <v>97.978299653652556</v>
      </c>
      <c r="N51">
        <f t="shared" ca="1" si="42"/>
        <v>98.279320234472294</v>
      </c>
      <c r="O51">
        <f t="shared" ca="1" si="42"/>
        <v>103.74982016686798</v>
      </c>
      <c r="P51">
        <f t="shared" ca="1" si="42"/>
        <v>102.98989979014817</v>
      </c>
      <c r="Q51">
        <f t="shared" ca="1" si="4"/>
        <v>103.74982016686798</v>
      </c>
      <c r="R51">
        <f t="shared" ca="1" si="5"/>
        <v>0.98989979014817209</v>
      </c>
      <c r="S51">
        <f t="shared" ca="1" si="6"/>
        <v>0.96545907724627866</v>
      </c>
    </row>
    <row r="52" spans="5:19" x14ac:dyDescent="0.75">
      <c r="E52">
        <v>47</v>
      </c>
      <c r="F52">
        <f t="shared" si="2"/>
        <v>100</v>
      </c>
      <c r="G52">
        <f t="shared" ca="1" si="3"/>
        <v>96.509361362181636</v>
      </c>
      <c r="H52">
        <f t="shared" ca="1" si="3"/>
        <v>97.106983178141903</v>
      </c>
      <c r="I52">
        <f t="shared" ca="1" si="3"/>
        <v>94.396328952243408</v>
      </c>
      <c r="J52">
        <f t="shared" ref="J52:P52" ca="1" si="43">I52*EXP(($C$6-0.5*$C$7^2)*$C$12+$C$7*SQRT($C$12)*NORMINV(RAND(),0,1))</f>
        <v>88.176729110707456</v>
      </c>
      <c r="K52">
        <f t="shared" ca="1" si="43"/>
        <v>81.854812640243296</v>
      </c>
      <c r="L52">
        <f t="shared" ca="1" si="43"/>
        <v>77.614962373978869</v>
      </c>
      <c r="M52">
        <f t="shared" ca="1" si="43"/>
        <v>73.559044044794689</v>
      </c>
      <c r="N52">
        <f t="shared" ca="1" si="43"/>
        <v>70.066929620171919</v>
      </c>
      <c r="O52">
        <f t="shared" ca="1" si="43"/>
        <v>67.851544125347019</v>
      </c>
      <c r="P52">
        <f t="shared" ca="1" si="43"/>
        <v>67.489857404253499</v>
      </c>
      <c r="Q52">
        <f t="shared" ca="1" si="4"/>
        <v>97.106983178141903</v>
      </c>
      <c r="R52">
        <f t="shared" ca="1" si="5"/>
        <v>0</v>
      </c>
      <c r="S52">
        <f t="shared" ca="1" si="6"/>
        <v>0</v>
      </c>
    </row>
    <row r="53" spans="5:19" x14ac:dyDescent="0.75">
      <c r="E53">
        <v>48</v>
      </c>
      <c r="F53">
        <f t="shared" si="2"/>
        <v>100</v>
      </c>
      <c r="G53">
        <f t="shared" ca="1" si="3"/>
        <v>111.08274473396655</v>
      </c>
      <c r="H53">
        <f t="shared" ca="1" si="3"/>
        <v>112.36420687780074</v>
      </c>
      <c r="I53">
        <f t="shared" ca="1" si="3"/>
        <v>118.70833450086748</v>
      </c>
      <c r="J53">
        <f t="shared" ref="J53:P53" ca="1" si="44">I53*EXP(($C$6-0.5*$C$7^2)*$C$12+$C$7*SQRT($C$12)*NORMINV(RAND(),0,1))</f>
        <v>119.25264733611012</v>
      </c>
      <c r="K53">
        <f t="shared" ca="1" si="44"/>
        <v>127.76338926555272</v>
      </c>
      <c r="L53">
        <f t="shared" ca="1" si="44"/>
        <v>128.4160134090483</v>
      </c>
      <c r="M53">
        <f t="shared" ca="1" si="44"/>
        <v>131.84047553165226</v>
      </c>
      <c r="N53">
        <f t="shared" ca="1" si="44"/>
        <v>127.66794363760414</v>
      </c>
      <c r="O53">
        <f t="shared" ca="1" si="44"/>
        <v>122.53685083098057</v>
      </c>
      <c r="P53">
        <f t="shared" ca="1" si="44"/>
        <v>124.27319129499976</v>
      </c>
      <c r="Q53">
        <f t="shared" ca="1" si="4"/>
        <v>131.84047553165226</v>
      </c>
      <c r="R53">
        <f t="shared" ca="1" si="5"/>
        <v>0</v>
      </c>
      <c r="S53">
        <f t="shared" ca="1" si="6"/>
        <v>0</v>
      </c>
    </row>
    <row r="54" spans="5:19" x14ac:dyDescent="0.75">
      <c r="E54">
        <v>49</v>
      </c>
      <c r="F54">
        <f t="shared" si="2"/>
        <v>100</v>
      </c>
      <c r="G54">
        <f t="shared" ca="1" si="3"/>
        <v>109.46736489357906</v>
      </c>
      <c r="H54">
        <f t="shared" ca="1" si="3"/>
        <v>112.57113070888288</v>
      </c>
      <c r="I54">
        <f t="shared" ca="1" si="3"/>
        <v>115.13957119769874</v>
      </c>
      <c r="J54">
        <f t="shared" ref="J54:P54" ca="1" si="45">I54*EXP(($C$6-0.5*$C$7^2)*$C$12+$C$7*SQRT($C$12)*NORMINV(RAND(),0,1))</f>
        <v>119.27758544727944</v>
      </c>
      <c r="K54">
        <f t="shared" ca="1" si="45"/>
        <v>128.83321540840271</v>
      </c>
      <c r="L54">
        <f t="shared" ca="1" si="45"/>
        <v>120.2019154633951</v>
      </c>
      <c r="M54">
        <f t="shared" ca="1" si="45"/>
        <v>122.68814942330289</v>
      </c>
      <c r="N54">
        <f t="shared" ca="1" si="45"/>
        <v>112.70474182071814</v>
      </c>
      <c r="O54">
        <f t="shared" ca="1" si="45"/>
        <v>106.98846781351855</v>
      </c>
      <c r="P54">
        <f t="shared" ca="1" si="45"/>
        <v>101.65401486371098</v>
      </c>
      <c r="Q54">
        <f t="shared" ca="1" si="4"/>
        <v>128.83321540840271</v>
      </c>
      <c r="R54">
        <f t="shared" ca="1" si="5"/>
        <v>0</v>
      </c>
      <c r="S54">
        <f t="shared" ca="1" si="6"/>
        <v>0</v>
      </c>
    </row>
    <row r="55" spans="5:19" x14ac:dyDescent="0.75">
      <c r="E55">
        <v>50</v>
      </c>
      <c r="F55">
        <f t="shared" si="2"/>
        <v>100</v>
      </c>
      <c r="G55">
        <f t="shared" ca="1" si="3"/>
        <v>101.92713402288098</v>
      </c>
      <c r="H55">
        <f t="shared" ca="1" si="3"/>
        <v>93.082349849686693</v>
      </c>
      <c r="I55">
        <f t="shared" ca="1" si="3"/>
        <v>91.034253914121848</v>
      </c>
      <c r="J55">
        <f t="shared" ref="J55:P55" ca="1" si="46">I55*EXP(($C$6-0.5*$C$7^2)*$C$12+$C$7*SQRT($C$12)*NORMINV(RAND(),0,1))</f>
        <v>95.041812409983649</v>
      </c>
      <c r="K55">
        <f t="shared" ca="1" si="46"/>
        <v>99.446906930982522</v>
      </c>
      <c r="L55">
        <f t="shared" ca="1" si="46"/>
        <v>94.270682226310129</v>
      </c>
      <c r="M55">
        <f t="shared" ca="1" si="46"/>
        <v>89.076168541867702</v>
      </c>
      <c r="N55">
        <f t="shared" ca="1" si="46"/>
        <v>84.615199062966397</v>
      </c>
      <c r="O55">
        <f t="shared" ca="1" si="46"/>
        <v>87.887141751074509</v>
      </c>
      <c r="P55">
        <f t="shared" ca="1" si="46"/>
        <v>88.04937084299705</v>
      </c>
      <c r="Q55">
        <f t="shared" ca="1" si="4"/>
        <v>101.92713402288098</v>
      </c>
      <c r="R55">
        <f t="shared" ca="1" si="5"/>
        <v>0</v>
      </c>
      <c r="S55">
        <f t="shared" ca="1" si="6"/>
        <v>0</v>
      </c>
    </row>
    <row r="56" spans="5:19" x14ac:dyDescent="0.75">
      <c r="E56">
        <v>51</v>
      </c>
      <c r="F56">
        <f t="shared" si="2"/>
        <v>100</v>
      </c>
      <c r="G56">
        <f t="shared" ca="1" si="3"/>
        <v>99.100358504160909</v>
      </c>
      <c r="H56">
        <f t="shared" ca="1" si="3"/>
        <v>106.12708477376189</v>
      </c>
      <c r="I56">
        <f t="shared" ca="1" si="3"/>
        <v>98.698141460510996</v>
      </c>
      <c r="J56">
        <f t="shared" ref="J56:P56" ca="1" si="47">I56*EXP(($C$6-0.5*$C$7^2)*$C$12+$C$7*SQRT($C$12)*NORMINV(RAND(),0,1))</f>
        <v>87.344239241518466</v>
      </c>
      <c r="K56">
        <f t="shared" ca="1" si="47"/>
        <v>82.699348420871118</v>
      </c>
      <c r="L56">
        <f t="shared" ca="1" si="47"/>
        <v>82.45662474300579</v>
      </c>
      <c r="M56">
        <f t="shared" ca="1" si="47"/>
        <v>85.132069585199318</v>
      </c>
      <c r="N56">
        <f t="shared" ca="1" si="47"/>
        <v>88.490923310823305</v>
      </c>
      <c r="O56">
        <f t="shared" ca="1" si="47"/>
        <v>92.768310938734885</v>
      </c>
      <c r="P56">
        <f t="shared" ca="1" si="47"/>
        <v>95.332191475980366</v>
      </c>
      <c r="Q56">
        <f t="shared" ca="1" si="4"/>
        <v>106.12708477376189</v>
      </c>
      <c r="R56">
        <f t="shared" ca="1" si="5"/>
        <v>0</v>
      </c>
      <c r="S56">
        <f t="shared" ca="1" si="6"/>
        <v>0</v>
      </c>
    </row>
    <row r="57" spans="5:19" x14ac:dyDescent="0.75">
      <c r="E57">
        <v>52</v>
      </c>
      <c r="F57">
        <f t="shared" si="2"/>
        <v>100</v>
      </c>
      <c r="G57">
        <f t="shared" ca="1" si="3"/>
        <v>108.55295640750744</v>
      </c>
      <c r="H57">
        <f t="shared" ca="1" si="3"/>
        <v>106.76189489458868</v>
      </c>
      <c r="I57">
        <f t="shared" ca="1" si="3"/>
        <v>111.21994083125743</v>
      </c>
      <c r="J57">
        <f t="shared" ref="J57:P57" ca="1" si="48">I57*EXP(($C$6-0.5*$C$7^2)*$C$12+$C$7*SQRT($C$12)*NORMINV(RAND(),0,1))</f>
        <v>109.26867792119306</v>
      </c>
      <c r="K57">
        <f t="shared" ca="1" si="48"/>
        <v>110.34084998825854</v>
      </c>
      <c r="L57">
        <f t="shared" ca="1" si="48"/>
        <v>118.25543320606948</v>
      </c>
      <c r="M57">
        <f t="shared" ca="1" si="48"/>
        <v>119.5770704289325</v>
      </c>
      <c r="N57">
        <f t="shared" ca="1" si="48"/>
        <v>114.26115379763796</v>
      </c>
      <c r="O57">
        <f t="shared" ca="1" si="48"/>
        <v>113.30546183428683</v>
      </c>
      <c r="P57">
        <f t="shared" ca="1" si="48"/>
        <v>131.22144017797478</v>
      </c>
      <c r="Q57">
        <f t="shared" ca="1" si="4"/>
        <v>131.22144017797478</v>
      </c>
      <c r="R57">
        <f t="shared" ca="1" si="5"/>
        <v>0</v>
      </c>
      <c r="S57">
        <f t="shared" ca="1" si="6"/>
        <v>0</v>
      </c>
    </row>
    <row r="58" spans="5:19" x14ac:dyDescent="0.75">
      <c r="E58">
        <v>53</v>
      </c>
      <c r="F58">
        <f t="shared" si="2"/>
        <v>100</v>
      </c>
      <c r="G58">
        <f t="shared" ca="1" si="3"/>
        <v>94.086140739724584</v>
      </c>
      <c r="H58">
        <f t="shared" ca="1" si="3"/>
        <v>90.60142606451457</v>
      </c>
      <c r="I58">
        <f t="shared" ca="1" si="3"/>
        <v>102.12502552797403</v>
      </c>
      <c r="J58">
        <f t="shared" ref="J58:P58" ca="1" si="49">I58*EXP(($C$6-0.5*$C$7^2)*$C$12+$C$7*SQRT($C$12)*NORMINV(RAND(),0,1))</f>
        <v>101.64362440213135</v>
      </c>
      <c r="K58">
        <f t="shared" ca="1" si="49"/>
        <v>113.26144864121353</v>
      </c>
      <c r="L58">
        <f t="shared" ca="1" si="49"/>
        <v>118.65017540334924</v>
      </c>
      <c r="M58">
        <f t="shared" ca="1" si="49"/>
        <v>124.98455832598952</v>
      </c>
      <c r="N58">
        <f t="shared" ca="1" si="49"/>
        <v>122.88138227422763</v>
      </c>
      <c r="O58">
        <f t="shared" ca="1" si="49"/>
        <v>126.76244960248428</v>
      </c>
      <c r="P58">
        <f t="shared" ca="1" si="49"/>
        <v>132.20533312948157</v>
      </c>
      <c r="Q58">
        <f t="shared" ca="1" si="4"/>
        <v>132.20533312948157</v>
      </c>
      <c r="R58">
        <f t="shared" ca="1" si="5"/>
        <v>0</v>
      </c>
      <c r="S58">
        <f t="shared" ca="1" si="6"/>
        <v>0</v>
      </c>
    </row>
    <row r="59" spans="5:19" x14ac:dyDescent="0.75">
      <c r="E59">
        <v>54</v>
      </c>
      <c r="F59">
        <f t="shared" si="2"/>
        <v>100</v>
      </c>
      <c r="G59">
        <f t="shared" ca="1" si="3"/>
        <v>100.44574136816229</v>
      </c>
      <c r="H59">
        <f t="shared" ca="1" si="3"/>
        <v>108.20229158992613</v>
      </c>
      <c r="I59">
        <f t="shared" ca="1" si="3"/>
        <v>106.18668111513757</v>
      </c>
      <c r="J59">
        <f t="shared" ref="J59:P59" ca="1" si="50">I59*EXP(($C$6-0.5*$C$7^2)*$C$12+$C$7*SQRT($C$12)*NORMINV(RAND(),0,1))</f>
        <v>106.24899174028849</v>
      </c>
      <c r="K59">
        <f t="shared" ca="1" si="50"/>
        <v>103.53013683979381</v>
      </c>
      <c r="L59">
        <f t="shared" ca="1" si="50"/>
        <v>108.72628108431918</v>
      </c>
      <c r="M59">
        <f t="shared" ca="1" si="50"/>
        <v>107.09010274163892</v>
      </c>
      <c r="N59">
        <f t="shared" ca="1" si="50"/>
        <v>105.70541970857195</v>
      </c>
      <c r="O59">
        <f t="shared" ca="1" si="50"/>
        <v>108.11156968326479</v>
      </c>
      <c r="P59">
        <f t="shared" ca="1" si="50"/>
        <v>109.10588104946545</v>
      </c>
      <c r="Q59">
        <f t="shared" ca="1" si="4"/>
        <v>109.10588104946545</v>
      </c>
      <c r="R59">
        <f t="shared" ca="1" si="5"/>
        <v>7.1058810494654523</v>
      </c>
      <c r="S59">
        <f t="shared" ca="1" si="6"/>
        <v>6.9304362212379464</v>
      </c>
    </row>
    <row r="60" spans="5:19" x14ac:dyDescent="0.75">
      <c r="E60">
        <v>55</v>
      </c>
      <c r="F60">
        <f t="shared" si="2"/>
        <v>100</v>
      </c>
      <c r="G60">
        <f t="shared" ca="1" si="3"/>
        <v>100.55904062142848</v>
      </c>
      <c r="H60">
        <f t="shared" ca="1" si="3"/>
        <v>101.36447957734244</v>
      </c>
      <c r="I60">
        <f t="shared" ca="1" si="3"/>
        <v>99.458915115442082</v>
      </c>
      <c r="J60">
        <f t="shared" ref="J60:P60" ca="1" si="51">I60*EXP(($C$6-0.5*$C$7^2)*$C$12+$C$7*SQRT($C$12)*NORMINV(RAND(),0,1))</f>
        <v>100.42776715284323</v>
      </c>
      <c r="K60">
        <f t="shared" ca="1" si="51"/>
        <v>102.83128816442198</v>
      </c>
      <c r="L60">
        <f t="shared" ca="1" si="51"/>
        <v>98.8776077634556</v>
      </c>
      <c r="M60">
        <f t="shared" ca="1" si="51"/>
        <v>99.090628462541574</v>
      </c>
      <c r="N60">
        <f t="shared" ca="1" si="51"/>
        <v>96.984797694246126</v>
      </c>
      <c r="O60">
        <f t="shared" ca="1" si="51"/>
        <v>94.434633336380429</v>
      </c>
      <c r="P60">
        <f t="shared" ca="1" si="51"/>
        <v>90.151978556556969</v>
      </c>
      <c r="Q60">
        <f t="shared" ca="1" si="4"/>
        <v>102.83128816442198</v>
      </c>
      <c r="R60">
        <f t="shared" ca="1" si="5"/>
        <v>0</v>
      </c>
      <c r="S60">
        <f t="shared" ca="1" si="6"/>
        <v>0</v>
      </c>
    </row>
    <row r="61" spans="5:19" x14ac:dyDescent="0.75">
      <c r="E61">
        <v>56</v>
      </c>
      <c r="F61">
        <f t="shared" si="2"/>
        <v>100</v>
      </c>
      <c r="G61">
        <f t="shared" ca="1" si="3"/>
        <v>101.8580246029067</v>
      </c>
      <c r="H61">
        <f t="shared" ca="1" si="3"/>
        <v>102.35607999130703</v>
      </c>
      <c r="I61">
        <f t="shared" ca="1" si="3"/>
        <v>98.074552230896558</v>
      </c>
      <c r="J61">
        <f t="shared" ref="J61:P61" ca="1" si="52">I61*EXP(($C$6-0.5*$C$7^2)*$C$12+$C$7*SQRT($C$12)*NORMINV(RAND(),0,1))</f>
        <v>96.978083494523332</v>
      </c>
      <c r="K61">
        <f t="shared" ca="1" si="52"/>
        <v>97.993548077942819</v>
      </c>
      <c r="L61">
        <f t="shared" ca="1" si="52"/>
        <v>109.67441742544554</v>
      </c>
      <c r="M61">
        <f t="shared" ca="1" si="52"/>
        <v>112.17836317029432</v>
      </c>
      <c r="N61">
        <f t="shared" ca="1" si="52"/>
        <v>110.58491684258058</v>
      </c>
      <c r="O61">
        <f t="shared" ca="1" si="52"/>
        <v>112.28921904695459</v>
      </c>
      <c r="P61">
        <f t="shared" ca="1" si="52"/>
        <v>118.69168814839746</v>
      </c>
      <c r="Q61">
        <f t="shared" ca="1" si="4"/>
        <v>118.69168814839746</v>
      </c>
      <c r="R61">
        <f t="shared" ca="1" si="5"/>
        <v>0</v>
      </c>
      <c r="S61">
        <f t="shared" ca="1" si="6"/>
        <v>0</v>
      </c>
    </row>
    <row r="62" spans="5:19" x14ac:dyDescent="0.75">
      <c r="E62">
        <v>57</v>
      </c>
      <c r="F62">
        <f t="shared" si="2"/>
        <v>100</v>
      </c>
      <c r="G62">
        <f t="shared" ca="1" si="3"/>
        <v>91.732899884453147</v>
      </c>
      <c r="H62">
        <f t="shared" ca="1" si="3"/>
        <v>88.120643820923164</v>
      </c>
      <c r="I62">
        <f t="shared" ca="1" si="3"/>
        <v>83.848620828749873</v>
      </c>
      <c r="J62">
        <f t="shared" ref="J62:P62" ca="1" si="53">I62*EXP(($C$6-0.5*$C$7^2)*$C$12+$C$7*SQRT($C$12)*NORMINV(RAND(),0,1))</f>
        <v>82.763228296820841</v>
      </c>
      <c r="K62">
        <f t="shared" ca="1" si="53"/>
        <v>85.116058751424276</v>
      </c>
      <c r="L62">
        <f t="shared" ca="1" si="53"/>
        <v>84.877630352779875</v>
      </c>
      <c r="M62">
        <f t="shared" ca="1" si="53"/>
        <v>87.177030297954659</v>
      </c>
      <c r="N62">
        <f t="shared" ca="1" si="53"/>
        <v>84.271191992200372</v>
      </c>
      <c r="O62">
        <f t="shared" ca="1" si="53"/>
        <v>93.772403442458469</v>
      </c>
      <c r="P62">
        <f t="shared" ca="1" si="53"/>
        <v>90.370806979552157</v>
      </c>
      <c r="Q62">
        <f t="shared" ca="1" si="4"/>
        <v>93.772403442458469</v>
      </c>
      <c r="R62">
        <f t="shared" ca="1" si="5"/>
        <v>0</v>
      </c>
      <c r="S62">
        <f t="shared" ca="1" si="6"/>
        <v>0</v>
      </c>
    </row>
    <row r="63" spans="5:19" x14ac:dyDescent="0.75">
      <c r="E63">
        <v>58</v>
      </c>
      <c r="F63">
        <f t="shared" si="2"/>
        <v>100</v>
      </c>
      <c r="G63">
        <f t="shared" ca="1" si="3"/>
        <v>101.33491027060401</v>
      </c>
      <c r="H63">
        <f t="shared" ca="1" si="3"/>
        <v>98.635055021563744</v>
      </c>
      <c r="I63">
        <f t="shared" ca="1" si="3"/>
        <v>97.167976364045998</v>
      </c>
      <c r="J63">
        <f t="shared" ref="J63:P63" ca="1" si="54">I63*EXP(($C$6-0.5*$C$7^2)*$C$12+$C$7*SQRT($C$12)*NORMINV(RAND(),0,1))</f>
        <v>101.84643868682873</v>
      </c>
      <c r="K63">
        <f t="shared" ca="1" si="54"/>
        <v>101.90876864586811</v>
      </c>
      <c r="L63">
        <f t="shared" ca="1" si="54"/>
        <v>93.37954431519718</v>
      </c>
      <c r="M63">
        <f t="shared" ca="1" si="54"/>
        <v>88.415017326541147</v>
      </c>
      <c r="N63">
        <f t="shared" ca="1" si="54"/>
        <v>85.276653963441078</v>
      </c>
      <c r="O63">
        <f t="shared" ca="1" si="54"/>
        <v>90.807421244803095</v>
      </c>
      <c r="P63">
        <f t="shared" ca="1" si="54"/>
        <v>94.13974431562103</v>
      </c>
      <c r="Q63">
        <f t="shared" ca="1" si="4"/>
        <v>101.90876864586811</v>
      </c>
      <c r="R63">
        <f t="shared" ca="1" si="5"/>
        <v>0</v>
      </c>
      <c r="S63">
        <f t="shared" ca="1" si="6"/>
        <v>0</v>
      </c>
    </row>
    <row r="64" spans="5:19" x14ac:dyDescent="0.75">
      <c r="E64">
        <v>59</v>
      </c>
      <c r="F64">
        <f t="shared" si="2"/>
        <v>100</v>
      </c>
      <c r="G64">
        <f t="shared" ca="1" si="3"/>
        <v>103.06749280585392</v>
      </c>
      <c r="H64">
        <f t="shared" ca="1" si="3"/>
        <v>106.35464014147618</v>
      </c>
      <c r="I64">
        <f t="shared" ca="1" si="3"/>
        <v>102.74172778747983</v>
      </c>
      <c r="J64">
        <f t="shared" ref="J64:P64" ca="1" si="55">I64*EXP(($C$6-0.5*$C$7^2)*$C$12+$C$7*SQRT($C$12)*NORMINV(RAND(),0,1))</f>
        <v>103.84840363658545</v>
      </c>
      <c r="K64">
        <f t="shared" ca="1" si="55"/>
        <v>103.56919890018894</v>
      </c>
      <c r="L64">
        <f t="shared" ca="1" si="55"/>
        <v>105.55482440692114</v>
      </c>
      <c r="M64">
        <f t="shared" ca="1" si="55"/>
        <v>104.65838504245627</v>
      </c>
      <c r="N64">
        <f t="shared" ca="1" si="55"/>
        <v>104.13713702067712</v>
      </c>
      <c r="O64">
        <f t="shared" ca="1" si="55"/>
        <v>99.192715114435828</v>
      </c>
      <c r="P64">
        <f t="shared" ca="1" si="55"/>
        <v>93.485100111467702</v>
      </c>
      <c r="Q64">
        <f t="shared" ca="1" si="4"/>
        <v>106.35464014147618</v>
      </c>
      <c r="R64">
        <f t="shared" ca="1" si="5"/>
        <v>0</v>
      </c>
      <c r="S64">
        <f t="shared" ca="1" si="6"/>
        <v>0</v>
      </c>
    </row>
    <row r="65" spans="5:19" x14ac:dyDescent="0.75">
      <c r="E65">
        <v>60</v>
      </c>
      <c r="F65">
        <f t="shared" si="2"/>
        <v>100</v>
      </c>
      <c r="G65">
        <f t="shared" ca="1" si="3"/>
        <v>95.035839205070374</v>
      </c>
      <c r="H65">
        <f t="shared" ca="1" si="3"/>
        <v>99.304731340326157</v>
      </c>
      <c r="I65">
        <f t="shared" ca="1" si="3"/>
        <v>100.71796092868036</v>
      </c>
      <c r="J65">
        <f t="shared" ref="J65:P65" ca="1" si="56">I65*EXP(($C$6-0.5*$C$7^2)*$C$12+$C$7*SQRT($C$12)*NORMINV(RAND(),0,1))</f>
        <v>101.98962268400496</v>
      </c>
      <c r="K65">
        <f t="shared" ca="1" si="56"/>
        <v>103.95588357473336</v>
      </c>
      <c r="L65">
        <f t="shared" ca="1" si="56"/>
        <v>99.622742208403466</v>
      </c>
      <c r="M65">
        <f t="shared" ca="1" si="56"/>
        <v>98.865021874546585</v>
      </c>
      <c r="N65">
        <f t="shared" ca="1" si="56"/>
        <v>93.417242849019473</v>
      </c>
      <c r="O65">
        <f t="shared" ca="1" si="56"/>
        <v>93.751883768691727</v>
      </c>
      <c r="P65">
        <f t="shared" ca="1" si="56"/>
        <v>93.005990685513964</v>
      </c>
      <c r="Q65">
        <f t="shared" ca="1" si="4"/>
        <v>103.95588357473336</v>
      </c>
      <c r="R65">
        <f t="shared" ca="1" si="5"/>
        <v>0</v>
      </c>
      <c r="S65">
        <f t="shared" ca="1" si="6"/>
        <v>0</v>
      </c>
    </row>
    <row r="66" spans="5:19" x14ac:dyDescent="0.75">
      <c r="E66">
        <v>61</v>
      </c>
      <c r="F66">
        <f t="shared" si="2"/>
        <v>100</v>
      </c>
      <c r="G66">
        <f t="shared" ca="1" si="3"/>
        <v>92.097252516708224</v>
      </c>
      <c r="H66">
        <f t="shared" ca="1" si="3"/>
        <v>94.201075986243922</v>
      </c>
      <c r="I66">
        <f t="shared" ca="1" si="3"/>
        <v>91.939007787063005</v>
      </c>
      <c r="J66">
        <f t="shared" ref="J66:P66" ca="1" si="57">I66*EXP(($C$6-0.5*$C$7^2)*$C$12+$C$7*SQRT($C$12)*NORMINV(RAND(),0,1))</f>
        <v>92.657976775975811</v>
      </c>
      <c r="K66">
        <f t="shared" ca="1" si="57"/>
        <v>94.257975156426795</v>
      </c>
      <c r="L66">
        <f t="shared" ca="1" si="57"/>
        <v>92.794417845117792</v>
      </c>
      <c r="M66">
        <f t="shared" ca="1" si="57"/>
        <v>89.564612727563286</v>
      </c>
      <c r="N66">
        <f t="shared" ca="1" si="57"/>
        <v>95.333596402654038</v>
      </c>
      <c r="O66">
        <f t="shared" ca="1" si="57"/>
        <v>96.851968447237937</v>
      </c>
      <c r="P66">
        <f t="shared" ca="1" si="57"/>
        <v>101.79147123170219</v>
      </c>
      <c r="Q66">
        <f t="shared" ca="1" si="4"/>
        <v>101.79147123170219</v>
      </c>
      <c r="R66">
        <f t="shared" ca="1" si="5"/>
        <v>0</v>
      </c>
      <c r="S66">
        <f t="shared" ca="1" si="6"/>
        <v>0</v>
      </c>
    </row>
    <row r="67" spans="5:19" x14ac:dyDescent="0.75">
      <c r="E67">
        <v>62</v>
      </c>
      <c r="F67">
        <f t="shared" si="2"/>
        <v>100</v>
      </c>
      <c r="G67">
        <f t="shared" ca="1" si="3"/>
        <v>97.8472232224712</v>
      </c>
      <c r="H67">
        <f t="shared" ca="1" si="3"/>
        <v>99.218394102415957</v>
      </c>
      <c r="I67">
        <f t="shared" ca="1" si="3"/>
        <v>102.06487326539568</v>
      </c>
      <c r="J67">
        <f t="shared" ref="J67:P67" ca="1" si="58">I67*EXP(($C$6-0.5*$C$7^2)*$C$12+$C$7*SQRT($C$12)*NORMINV(RAND(),0,1))</f>
        <v>96.600516193599205</v>
      </c>
      <c r="K67">
        <f t="shared" ca="1" si="58"/>
        <v>97.75675088927332</v>
      </c>
      <c r="L67">
        <f t="shared" ca="1" si="58"/>
        <v>96.75616613268808</v>
      </c>
      <c r="M67">
        <f t="shared" ca="1" si="58"/>
        <v>95.188588960624486</v>
      </c>
      <c r="N67">
        <f t="shared" ca="1" si="58"/>
        <v>95.593322680038355</v>
      </c>
      <c r="O67">
        <f t="shared" ca="1" si="58"/>
        <v>94.703530700722141</v>
      </c>
      <c r="P67">
        <f t="shared" ca="1" si="58"/>
        <v>94.316862538305998</v>
      </c>
      <c r="Q67">
        <f t="shared" ca="1" si="4"/>
        <v>102.06487326539568</v>
      </c>
      <c r="R67">
        <f t="shared" ca="1" si="5"/>
        <v>0</v>
      </c>
      <c r="S67">
        <f t="shared" ca="1" si="6"/>
        <v>0</v>
      </c>
    </row>
    <row r="68" spans="5:19" x14ac:dyDescent="0.75">
      <c r="E68">
        <v>63</v>
      </c>
      <c r="F68">
        <f t="shared" si="2"/>
        <v>100</v>
      </c>
      <c r="G68">
        <f t="shared" ca="1" si="3"/>
        <v>101.99163807710718</v>
      </c>
      <c r="H68">
        <f t="shared" ca="1" si="3"/>
        <v>100.89861902100193</v>
      </c>
      <c r="I68">
        <f t="shared" ca="1" si="3"/>
        <v>101.70513417307559</v>
      </c>
      <c r="J68">
        <f t="shared" ref="J68:P68" ca="1" si="59">I68*EXP(($C$6-0.5*$C$7^2)*$C$12+$C$7*SQRT($C$12)*NORMINV(RAND(),0,1))</f>
        <v>101.09831873968727</v>
      </c>
      <c r="K68">
        <f t="shared" ca="1" si="59"/>
        <v>100.49485102535431</v>
      </c>
      <c r="L68">
        <f t="shared" ca="1" si="59"/>
        <v>97.09219352364957</v>
      </c>
      <c r="M68">
        <f t="shared" ca="1" si="59"/>
        <v>106.58003270955736</v>
      </c>
      <c r="N68">
        <f t="shared" ca="1" si="59"/>
        <v>107.60845774373992</v>
      </c>
      <c r="O68">
        <f t="shared" ca="1" si="59"/>
        <v>107.88698446866965</v>
      </c>
      <c r="P68">
        <f t="shared" ca="1" si="59"/>
        <v>105.00497959947282</v>
      </c>
      <c r="Q68">
        <f t="shared" ca="1" si="4"/>
        <v>107.88698446866965</v>
      </c>
      <c r="R68">
        <f t="shared" ca="1" si="5"/>
        <v>3.0049795994728186</v>
      </c>
      <c r="S68">
        <f t="shared" ca="1" si="6"/>
        <v>2.9307863888087686</v>
      </c>
    </row>
    <row r="69" spans="5:19" x14ac:dyDescent="0.75">
      <c r="E69">
        <v>64</v>
      </c>
      <c r="F69">
        <f t="shared" si="2"/>
        <v>100</v>
      </c>
      <c r="G69">
        <f t="shared" ca="1" si="3"/>
        <v>93.611719423178201</v>
      </c>
      <c r="H69">
        <f t="shared" ca="1" si="3"/>
        <v>100.53836766176875</v>
      </c>
      <c r="I69">
        <f t="shared" ca="1" si="3"/>
        <v>97.864992521494202</v>
      </c>
      <c r="J69">
        <f t="shared" ref="J69:P69" ca="1" si="60">I69*EXP(($C$6-0.5*$C$7^2)*$C$12+$C$7*SQRT($C$12)*NORMINV(RAND(),0,1))</f>
        <v>96.786695449362398</v>
      </c>
      <c r="K69">
        <f t="shared" ca="1" si="60"/>
        <v>104.71335183210338</v>
      </c>
      <c r="L69">
        <f t="shared" ca="1" si="60"/>
        <v>107.85666353839298</v>
      </c>
      <c r="M69">
        <f t="shared" ca="1" si="60"/>
        <v>108.15303423121965</v>
      </c>
      <c r="N69">
        <f t="shared" ca="1" si="60"/>
        <v>115.03230696066717</v>
      </c>
      <c r="O69">
        <f t="shared" ca="1" si="60"/>
        <v>108.39729085303293</v>
      </c>
      <c r="P69">
        <f t="shared" ca="1" si="60"/>
        <v>112.39695736195864</v>
      </c>
      <c r="Q69">
        <f t="shared" ca="1" si="4"/>
        <v>115.03230696066717</v>
      </c>
      <c r="R69">
        <f t="shared" ca="1" si="5"/>
        <v>0</v>
      </c>
      <c r="S69">
        <f t="shared" ca="1" si="6"/>
        <v>0</v>
      </c>
    </row>
    <row r="70" spans="5:19" x14ac:dyDescent="0.75">
      <c r="E70">
        <v>65</v>
      </c>
      <c r="F70">
        <f t="shared" si="2"/>
        <v>100</v>
      </c>
      <c r="G70">
        <f t="shared" ca="1" si="3"/>
        <v>93.042927603194514</v>
      </c>
      <c r="H70">
        <f t="shared" ca="1" si="3"/>
        <v>95.932079367521069</v>
      </c>
      <c r="I70">
        <f t="shared" ca="1" si="3"/>
        <v>92.435935782493999</v>
      </c>
      <c r="J70">
        <f t="shared" ref="J70:P70" ca="1" si="61">I70*EXP(($C$6-0.5*$C$7^2)*$C$12+$C$7*SQRT($C$12)*NORMINV(RAND(),0,1))</f>
        <v>95.009629435706003</v>
      </c>
      <c r="K70">
        <f t="shared" ca="1" si="61"/>
        <v>94.023988652729415</v>
      </c>
      <c r="L70">
        <f t="shared" ca="1" si="61"/>
        <v>89.704131204364828</v>
      </c>
      <c r="M70">
        <f t="shared" ca="1" si="61"/>
        <v>91.924040549796842</v>
      </c>
      <c r="N70">
        <f t="shared" ca="1" si="61"/>
        <v>92.318983528825015</v>
      </c>
      <c r="O70">
        <f t="shared" ca="1" si="61"/>
        <v>96.429116594656918</v>
      </c>
      <c r="P70">
        <f t="shared" ca="1" si="61"/>
        <v>96.409080647654633</v>
      </c>
      <c r="Q70">
        <f t="shared" ca="1" si="4"/>
        <v>96.429116594656918</v>
      </c>
      <c r="R70">
        <f t="shared" ca="1" si="5"/>
        <v>0</v>
      </c>
      <c r="S70">
        <f t="shared" ca="1" si="6"/>
        <v>0</v>
      </c>
    </row>
    <row r="71" spans="5:19" x14ac:dyDescent="0.75">
      <c r="E71">
        <v>66</v>
      </c>
      <c r="F71">
        <f t="shared" ref="F71:F134" si="62">$C$5</f>
        <v>100</v>
      </c>
      <c r="G71">
        <f t="shared" ref="G71:P134" ca="1" si="63">F71*EXP(($C$6-0.5*$C$7^2)*$C$12+$C$7*SQRT($C$12)*NORMINV(RAND(),0,1))</f>
        <v>106.10749893558675</v>
      </c>
      <c r="H71">
        <f t="shared" ca="1" si="63"/>
        <v>108.73272712035062</v>
      </c>
      <c r="I71">
        <f t="shared" ca="1" si="63"/>
        <v>109.24904613896319</v>
      </c>
      <c r="J71">
        <f t="shared" ca="1" si="63"/>
        <v>115.84247181051514</v>
      </c>
      <c r="K71">
        <f t="shared" ca="1" si="63"/>
        <v>116.68861417126364</v>
      </c>
      <c r="L71">
        <f t="shared" ca="1" si="63"/>
        <v>114.51455121551348</v>
      </c>
      <c r="M71">
        <f t="shared" ca="1" si="63"/>
        <v>115.27197767887652</v>
      </c>
      <c r="N71">
        <f t="shared" ca="1" si="63"/>
        <v>121.84600480751361</v>
      </c>
      <c r="O71">
        <f t="shared" ca="1" si="63"/>
        <v>126.84814285862467</v>
      </c>
      <c r="P71">
        <f t="shared" ca="1" si="63"/>
        <v>127.71079549556737</v>
      </c>
      <c r="Q71">
        <f t="shared" ref="Q71:Q134" ca="1" si="64">MAX(G71:P71)</f>
        <v>127.71079549556737</v>
      </c>
      <c r="R71">
        <f t="shared" ref="R71:R134" ca="1" si="65">IF(Q71&gt;=$C$13,0, MAX(P71-$C$9,0))</f>
        <v>0</v>
      </c>
      <c r="S71">
        <f t="shared" ref="S71:S134" ca="1" si="66">EXP(-$C$6*$C$8)*R71</f>
        <v>0</v>
      </c>
    </row>
    <row r="72" spans="5:19" x14ac:dyDescent="0.75">
      <c r="E72">
        <v>67</v>
      </c>
      <c r="F72">
        <f t="shared" si="62"/>
        <v>100</v>
      </c>
      <c r="G72">
        <f t="shared" ca="1" si="63"/>
        <v>105.58659483703738</v>
      </c>
      <c r="H72">
        <f t="shared" ca="1" si="63"/>
        <v>111.91619776007161</v>
      </c>
      <c r="I72">
        <f t="shared" ca="1" si="63"/>
        <v>113.07726273405623</v>
      </c>
      <c r="J72">
        <f t="shared" ca="1" si="63"/>
        <v>108.5843551308118</v>
      </c>
      <c r="K72">
        <f t="shared" ca="1" si="63"/>
        <v>106.79849243580858</v>
      </c>
      <c r="L72">
        <f t="shared" ca="1" si="63"/>
        <v>108.54725529534284</v>
      </c>
      <c r="M72">
        <f t="shared" ca="1" si="63"/>
        <v>113.22985993587606</v>
      </c>
      <c r="N72">
        <f t="shared" ca="1" si="63"/>
        <v>110.395893705577</v>
      </c>
      <c r="O72">
        <f t="shared" ca="1" si="63"/>
        <v>109.89289216294959</v>
      </c>
      <c r="P72">
        <f t="shared" ca="1" si="63"/>
        <v>108.75247138614914</v>
      </c>
      <c r="Q72">
        <f t="shared" ca="1" si="64"/>
        <v>113.22985993587606</v>
      </c>
      <c r="R72">
        <f t="shared" ca="1" si="65"/>
        <v>0</v>
      </c>
      <c r="S72">
        <f t="shared" ca="1" si="66"/>
        <v>0</v>
      </c>
    </row>
    <row r="73" spans="5:19" x14ac:dyDescent="0.75">
      <c r="E73">
        <v>68</v>
      </c>
      <c r="F73">
        <f t="shared" si="62"/>
        <v>100</v>
      </c>
      <c r="G73">
        <f t="shared" ca="1" si="63"/>
        <v>100.08393194138134</v>
      </c>
      <c r="H73">
        <f t="shared" ca="1" si="63"/>
        <v>97.947475755032954</v>
      </c>
      <c r="I73">
        <f t="shared" ca="1" si="63"/>
        <v>100.97792221218945</v>
      </c>
      <c r="J73">
        <f t="shared" ca="1" si="63"/>
        <v>98.77794510428734</v>
      </c>
      <c r="K73">
        <f t="shared" ca="1" si="63"/>
        <v>97.590942806279017</v>
      </c>
      <c r="L73">
        <f t="shared" ca="1" si="63"/>
        <v>105.26564375414057</v>
      </c>
      <c r="M73">
        <f t="shared" ca="1" si="63"/>
        <v>107.52413714317538</v>
      </c>
      <c r="N73">
        <f t="shared" ca="1" si="63"/>
        <v>102.89158651980514</v>
      </c>
      <c r="O73">
        <f t="shared" ca="1" si="63"/>
        <v>99.949769766798156</v>
      </c>
      <c r="P73">
        <f t="shared" ca="1" si="63"/>
        <v>101.44726623377548</v>
      </c>
      <c r="Q73">
        <f t="shared" ca="1" si="64"/>
        <v>107.52413714317538</v>
      </c>
      <c r="R73">
        <f t="shared" ca="1" si="65"/>
        <v>0</v>
      </c>
      <c r="S73">
        <f t="shared" ca="1" si="66"/>
        <v>0</v>
      </c>
    </row>
    <row r="74" spans="5:19" x14ac:dyDescent="0.75">
      <c r="E74">
        <v>69</v>
      </c>
      <c r="F74">
        <f t="shared" si="62"/>
        <v>100</v>
      </c>
      <c r="G74">
        <f t="shared" ca="1" si="63"/>
        <v>105.45954616297215</v>
      </c>
      <c r="H74">
        <f t="shared" ca="1" si="63"/>
        <v>111.71560176655667</v>
      </c>
      <c r="I74">
        <f t="shared" ca="1" si="63"/>
        <v>121.80470358259865</v>
      </c>
      <c r="J74">
        <f t="shared" ca="1" si="63"/>
        <v>118.52602231560479</v>
      </c>
      <c r="K74">
        <f t="shared" ca="1" si="63"/>
        <v>120.7854984810127</v>
      </c>
      <c r="L74">
        <f t="shared" ca="1" si="63"/>
        <v>114.74389315171153</v>
      </c>
      <c r="M74">
        <f t="shared" ca="1" si="63"/>
        <v>108.41230473007271</v>
      </c>
      <c r="N74">
        <f t="shared" ca="1" si="63"/>
        <v>104.92127891569218</v>
      </c>
      <c r="O74">
        <f t="shared" ca="1" si="63"/>
        <v>102.5647865632817</v>
      </c>
      <c r="P74">
        <f t="shared" ca="1" si="63"/>
        <v>101.06323445449276</v>
      </c>
      <c r="Q74">
        <f t="shared" ca="1" si="64"/>
        <v>121.80470358259865</v>
      </c>
      <c r="R74">
        <f t="shared" ca="1" si="65"/>
        <v>0</v>
      </c>
      <c r="S74">
        <f t="shared" ca="1" si="66"/>
        <v>0</v>
      </c>
    </row>
    <row r="75" spans="5:19" x14ac:dyDescent="0.75">
      <c r="E75">
        <v>70</v>
      </c>
      <c r="F75">
        <f t="shared" si="62"/>
        <v>100</v>
      </c>
      <c r="G75">
        <f t="shared" ca="1" si="63"/>
        <v>94.410071697128558</v>
      </c>
      <c r="H75">
        <f t="shared" ca="1" si="63"/>
        <v>98.040558142422029</v>
      </c>
      <c r="I75">
        <f t="shared" ca="1" si="63"/>
        <v>95.227158800895864</v>
      </c>
      <c r="J75">
        <f t="shared" ca="1" si="63"/>
        <v>96.370228195302175</v>
      </c>
      <c r="K75">
        <f t="shared" ca="1" si="63"/>
        <v>105.03571317027243</v>
      </c>
      <c r="L75">
        <f t="shared" ca="1" si="63"/>
        <v>108.20876432765499</v>
      </c>
      <c r="M75">
        <f t="shared" ca="1" si="63"/>
        <v>115.08350707005697</v>
      </c>
      <c r="N75">
        <f t="shared" ca="1" si="63"/>
        <v>108.66158401663097</v>
      </c>
      <c r="O75">
        <f t="shared" ca="1" si="63"/>
        <v>109.13951511520889</v>
      </c>
      <c r="P75">
        <f t="shared" ca="1" si="63"/>
        <v>110.82048206725922</v>
      </c>
      <c r="Q75">
        <f t="shared" ca="1" si="64"/>
        <v>115.08350707005697</v>
      </c>
      <c r="R75">
        <f t="shared" ca="1" si="65"/>
        <v>0</v>
      </c>
      <c r="S75">
        <f t="shared" ca="1" si="66"/>
        <v>0</v>
      </c>
    </row>
    <row r="76" spans="5:19" x14ac:dyDescent="0.75">
      <c r="E76">
        <v>71</v>
      </c>
      <c r="F76">
        <f t="shared" si="62"/>
        <v>100</v>
      </c>
      <c r="G76">
        <f t="shared" ca="1" si="63"/>
        <v>97.240988460294048</v>
      </c>
      <c r="H76">
        <f t="shared" ca="1" si="63"/>
        <v>92.672683821991299</v>
      </c>
      <c r="I76">
        <f t="shared" ca="1" si="63"/>
        <v>97.803834646230797</v>
      </c>
      <c r="J76">
        <f t="shared" ca="1" si="63"/>
        <v>92.45027207377457</v>
      </c>
      <c r="K76">
        <f t="shared" ca="1" si="63"/>
        <v>98.051363967199904</v>
      </c>
      <c r="L76">
        <f t="shared" ca="1" si="63"/>
        <v>100.51736580492988</v>
      </c>
      <c r="M76">
        <f t="shared" ca="1" si="63"/>
        <v>107.48359725221857</v>
      </c>
      <c r="N76">
        <f t="shared" ca="1" si="63"/>
        <v>106.83152176451411</v>
      </c>
      <c r="O76">
        <f t="shared" ca="1" si="63"/>
        <v>96.083658688737358</v>
      </c>
      <c r="P76">
        <f t="shared" ca="1" si="63"/>
        <v>111.06250102922617</v>
      </c>
      <c r="Q76">
        <f t="shared" ca="1" si="64"/>
        <v>111.06250102922617</v>
      </c>
      <c r="R76">
        <f t="shared" ca="1" si="65"/>
        <v>0</v>
      </c>
      <c r="S76">
        <f t="shared" ca="1" si="66"/>
        <v>0</v>
      </c>
    </row>
    <row r="77" spans="5:19" x14ac:dyDescent="0.75">
      <c r="E77">
        <v>72</v>
      </c>
      <c r="F77">
        <f t="shared" si="62"/>
        <v>100</v>
      </c>
      <c r="G77">
        <f t="shared" ca="1" si="63"/>
        <v>103.24141664433139</v>
      </c>
      <c r="H77">
        <f t="shared" ca="1" si="63"/>
        <v>119.13881826515285</v>
      </c>
      <c r="I77">
        <f t="shared" ca="1" si="63"/>
        <v>115.23000860545933</v>
      </c>
      <c r="J77">
        <f t="shared" ca="1" si="63"/>
        <v>111.80563342691858</v>
      </c>
      <c r="K77">
        <f t="shared" ca="1" si="63"/>
        <v>105.74191460047955</v>
      </c>
      <c r="L77">
        <f t="shared" ca="1" si="63"/>
        <v>106.22604296139556</v>
      </c>
      <c r="M77">
        <f t="shared" ca="1" si="63"/>
        <v>107.92361068934754</v>
      </c>
      <c r="N77">
        <f t="shared" ca="1" si="63"/>
        <v>114.19821982292444</v>
      </c>
      <c r="O77">
        <f t="shared" ca="1" si="63"/>
        <v>118.4216458936293</v>
      </c>
      <c r="P77">
        <f t="shared" ca="1" si="63"/>
        <v>117.8064761412743</v>
      </c>
      <c r="Q77">
        <f t="shared" ca="1" si="64"/>
        <v>119.13881826515285</v>
      </c>
      <c r="R77">
        <f t="shared" ca="1" si="65"/>
        <v>0</v>
      </c>
      <c r="S77">
        <f t="shared" ca="1" si="66"/>
        <v>0</v>
      </c>
    </row>
    <row r="78" spans="5:19" x14ac:dyDescent="0.75">
      <c r="E78">
        <v>73</v>
      </c>
      <c r="F78">
        <f t="shared" si="62"/>
        <v>100</v>
      </c>
      <c r="G78">
        <f t="shared" ca="1" si="63"/>
        <v>97.527797509321516</v>
      </c>
      <c r="H78">
        <f t="shared" ca="1" si="63"/>
        <v>94.912819273626553</v>
      </c>
      <c r="I78">
        <f t="shared" ca="1" si="63"/>
        <v>102.85058169776698</v>
      </c>
      <c r="J78">
        <f t="shared" ca="1" si="63"/>
        <v>102.03674319538884</v>
      </c>
      <c r="K78">
        <f t="shared" ca="1" si="63"/>
        <v>96.014338470038737</v>
      </c>
      <c r="L78">
        <f t="shared" ca="1" si="63"/>
        <v>96.584927199989053</v>
      </c>
      <c r="M78">
        <f t="shared" ca="1" si="63"/>
        <v>89.721125361615179</v>
      </c>
      <c r="N78">
        <f t="shared" ca="1" si="63"/>
        <v>84.692035895863853</v>
      </c>
      <c r="O78">
        <f t="shared" ca="1" si="63"/>
        <v>85.071946812715822</v>
      </c>
      <c r="P78">
        <f t="shared" ca="1" si="63"/>
        <v>90.089364927047896</v>
      </c>
      <c r="Q78">
        <f t="shared" ca="1" si="64"/>
        <v>102.85058169776698</v>
      </c>
      <c r="R78">
        <f t="shared" ca="1" si="65"/>
        <v>0</v>
      </c>
      <c r="S78">
        <f t="shared" ca="1" si="66"/>
        <v>0</v>
      </c>
    </row>
    <row r="79" spans="5:19" x14ac:dyDescent="0.75">
      <c r="E79">
        <v>74</v>
      </c>
      <c r="F79">
        <f t="shared" si="62"/>
        <v>100</v>
      </c>
      <c r="G79">
        <f t="shared" ca="1" si="63"/>
        <v>97.383584073854593</v>
      </c>
      <c r="H79">
        <f t="shared" ca="1" si="63"/>
        <v>98.685189535662801</v>
      </c>
      <c r="I79">
        <f t="shared" ca="1" si="63"/>
        <v>102.79987945106788</v>
      </c>
      <c r="J79">
        <f t="shared" ca="1" si="63"/>
        <v>107.8306262833636</v>
      </c>
      <c r="K79">
        <f t="shared" ca="1" si="63"/>
        <v>108.98119668619222</v>
      </c>
      <c r="L79">
        <f t="shared" ca="1" si="63"/>
        <v>112.79815557663657</v>
      </c>
      <c r="M79">
        <f t="shared" ca="1" si="63"/>
        <v>107.09329031589745</v>
      </c>
      <c r="N79">
        <f t="shared" ca="1" si="63"/>
        <v>113.03640857172205</v>
      </c>
      <c r="O79">
        <f t="shared" ca="1" si="63"/>
        <v>110.56653416374265</v>
      </c>
      <c r="P79">
        <f t="shared" ca="1" si="63"/>
        <v>110.91801183221547</v>
      </c>
      <c r="Q79">
        <f t="shared" ca="1" si="64"/>
        <v>113.03640857172205</v>
      </c>
      <c r="R79">
        <f t="shared" ca="1" si="65"/>
        <v>0</v>
      </c>
      <c r="S79">
        <f t="shared" ca="1" si="66"/>
        <v>0</v>
      </c>
    </row>
    <row r="80" spans="5:19" x14ac:dyDescent="0.75">
      <c r="E80">
        <v>75</v>
      </c>
      <c r="F80">
        <f t="shared" si="62"/>
        <v>100</v>
      </c>
      <c r="G80">
        <f t="shared" ca="1" si="63"/>
        <v>99.926371219323102</v>
      </c>
      <c r="H80">
        <f t="shared" ca="1" si="63"/>
        <v>110.27876002701035</v>
      </c>
      <c r="I80">
        <f t="shared" ca="1" si="63"/>
        <v>123.37432969392766</v>
      </c>
      <c r="J80">
        <f t="shared" ref="J80:P80" ca="1" si="67">I80*EXP(($C$6-0.5*$C$7^2)*$C$12+$C$7*SQRT($C$12)*NORMINV(RAND(),0,1))</f>
        <v>125.6713293917463</v>
      </c>
      <c r="K80">
        <f t="shared" ca="1" si="67"/>
        <v>119.25536122773528</v>
      </c>
      <c r="L80">
        <f t="shared" ca="1" si="67"/>
        <v>125.01069243259187</v>
      </c>
      <c r="M80">
        <f t="shared" ca="1" si="67"/>
        <v>123.84346270635858</v>
      </c>
      <c r="N80">
        <f t="shared" ca="1" si="67"/>
        <v>122.48045306490665</v>
      </c>
      <c r="O80">
        <f t="shared" ca="1" si="67"/>
        <v>122.83364472616081</v>
      </c>
      <c r="P80">
        <f t="shared" ca="1" si="67"/>
        <v>119.77255609248952</v>
      </c>
      <c r="Q80">
        <f t="shared" ca="1" si="64"/>
        <v>125.6713293917463</v>
      </c>
      <c r="R80">
        <f t="shared" ca="1" si="65"/>
        <v>0</v>
      </c>
      <c r="S80">
        <f t="shared" ca="1" si="66"/>
        <v>0</v>
      </c>
    </row>
    <row r="81" spans="5:19" x14ac:dyDescent="0.75">
      <c r="E81">
        <v>76</v>
      </c>
      <c r="F81">
        <f t="shared" si="62"/>
        <v>100</v>
      </c>
      <c r="G81">
        <f t="shared" ca="1" si="63"/>
        <v>99.924873045117607</v>
      </c>
      <c r="H81">
        <f t="shared" ca="1" si="63"/>
        <v>91.037669038767731</v>
      </c>
      <c r="I81">
        <f t="shared" ca="1" si="63"/>
        <v>94.455210040224316</v>
      </c>
      <c r="J81">
        <f t="shared" ref="J81:P81" ca="1" si="68">I81*EXP(($C$6-0.5*$C$7^2)*$C$12+$C$7*SQRT($C$12)*NORMINV(RAND(),0,1))</f>
        <v>96.652029852394335</v>
      </c>
      <c r="K81">
        <f t="shared" ca="1" si="68"/>
        <v>102.01404863681985</v>
      </c>
      <c r="L81">
        <f t="shared" ca="1" si="68"/>
        <v>106.24368309565237</v>
      </c>
      <c r="M81">
        <f t="shared" ca="1" si="68"/>
        <v>105.81764650995383</v>
      </c>
      <c r="N81">
        <f t="shared" ca="1" si="68"/>
        <v>99.702693528986373</v>
      </c>
      <c r="O81">
        <f t="shared" ca="1" si="68"/>
        <v>106.36159803115819</v>
      </c>
      <c r="P81">
        <f t="shared" ca="1" si="68"/>
        <v>111.94369415390675</v>
      </c>
      <c r="Q81">
        <f t="shared" ca="1" si="64"/>
        <v>111.94369415390675</v>
      </c>
      <c r="R81">
        <f t="shared" ca="1" si="65"/>
        <v>0</v>
      </c>
      <c r="S81">
        <f t="shared" ca="1" si="66"/>
        <v>0</v>
      </c>
    </row>
    <row r="82" spans="5:19" x14ac:dyDescent="0.75">
      <c r="E82">
        <v>77</v>
      </c>
      <c r="F82">
        <f t="shared" si="62"/>
        <v>100</v>
      </c>
      <c r="G82">
        <f t="shared" ca="1" si="63"/>
        <v>99.495727461874978</v>
      </c>
      <c r="H82">
        <f t="shared" ca="1" si="63"/>
        <v>91.770219218872242</v>
      </c>
      <c r="I82">
        <f t="shared" ca="1" si="63"/>
        <v>85.805926359514743</v>
      </c>
      <c r="J82">
        <f t="shared" ref="J82:P82" ca="1" si="69">I82*EXP(($C$6-0.5*$C$7^2)*$C$12+$C$7*SQRT($C$12)*NORMINV(RAND(),0,1))</f>
        <v>88.90674523423084</v>
      </c>
      <c r="K82">
        <f t="shared" ca="1" si="69"/>
        <v>89.027375528856822</v>
      </c>
      <c r="L82">
        <f t="shared" ca="1" si="69"/>
        <v>92.502310561802588</v>
      </c>
      <c r="M82">
        <f t="shared" ca="1" si="69"/>
        <v>101.33029497453133</v>
      </c>
      <c r="N82">
        <f t="shared" ca="1" si="69"/>
        <v>100.99881392294103</v>
      </c>
      <c r="O82">
        <f t="shared" ca="1" si="69"/>
        <v>102.73011564887599</v>
      </c>
      <c r="P82">
        <f t="shared" ca="1" si="69"/>
        <v>98.408331998314324</v>
      </c>
      <c r="Q82">
        <f t="shared" ca="1" si="64"/>
        <v>102.73011564887599</v>
      </c>
      <c r="R82">
        <f t="shared" ca="1" si="65"/>
        <v>0</v>
      </c>
      <c r="S82">
        <f t="shared" ca="1" si="66"/>
        <v>0</v>
      </c>
    </row>
    <row r="83" spans="5:19" x14ac:dyDescent="0.75">
      <c r="E83">
        <v>78</v>
      </c>
      <c r="F83">
        <f t="shared" si="62"/>
        <v>100</v>
      </c>
      <c r="G83">
        <f t="shared" ca="1" si="63"/>
        <v>96.523813311408404</v>
      </c>
      <c r="H83">
        <f t="shared" ca="1" si="63"/>
        <v>99.532727479861691</v>
      </c>
      <c r="I83">
        <f t="shared" ca="1" si="63"/>
        <v>104.13654210061763</v>
      </c>
      <c r="J83">
        <f t="shared" ref="J83:P83" ca="1" si="70">I83*EXP(($C$6-0.5*$C$7^2)*$C$12+$C$7*SQRT($C$12)*NORMINV(RAND(),0,1))</f>
        <v>98.359596507504335</v>
      </c>
      <c r="K83">
        <f t="shared" ca="1" si="70"/>
        <v>97.917075945527486</v>
      </c>
      <c r="L83">
        <f t="shared" ca="1" si="70"/>
        <v>102.20103555773615</v>
      </c>
      <c r="M83">
        <f t="shared" ca="1" si="70"/>
        <v>108.22989751975673</v>
      </c>
      <c r="N83">
        <f t="shared" ca="1" si="70"/>
        <v>101.50876157983755</v>
      </c>
      <c r="O83">
        <f t="shared" ca="1" si="70"/>
        <v>103.55242325767286</v>
      </c>
      <c r="P83">
        <f t="shared" ca="1" si="70"/>
        <v>103.30264029771205</v>
      </c>
      <c r="Q83">
        <f t="shared" ca="1" si="64"/>
        <v>108.22989751975673</v>
      </c>
      <c r="R83">
        <f t="shared" ca="1" si="65"/>
        <v>1.3026402977120455</v>
      </c>
      <c r="S83">
        <f t="shared" ca="1" si="66"/>
        <v>1.2704779941660962</v>
      </c>
    </row>
    <row r="84" spans="5:19" x14ac:dyDescent="0.75">
      <c r="E84">
        <v>79</v>
      </c>
      <c r="F84">
        <f t="shared" si="62"/>
        <v>100</v>
      </c>
      <c r="G84">
        <f t="shared" ca="1" si="63"/>
        <v>106.88060597583571</v>
      </c>
      <c r="H84">
        <f t="shared" ca="1" si="63"/>
        <v>104.08837815557217</v>
      </c>
      <c r="I84">
        <f t="shared" ca="1" si="63"/>
        <v>106.19595968218709</v>
      </c>
      <c r="J84">
        <f t="shared" ref="J84:P84" ca="1" si="71">I84*EXP(($C$6-0.5*$C$7^2)*$C$12+$C$7*SQRT($C$12)*NORMINV(RAND(),0,1))</f>
        <v>104.7248698161638</v>
      </c>
      <c r="K84">
        <f t="shared" ca="1" si="71"/>
        <v>103.07530521253675</v>
      </c>
      <c r="L84">
        <f t="shared" ca="1" si="71"/>
        <v>97.550128323082347</v>
      </c>
      <c r="M84">
        <f t="shared" ca="1" si="71"/>
        <v>98.598708976893377</v>
      </c>
      <c r="N84">
        <f t="shared" ca="1" si="71"/>
        <v>102.69976100135517</v>
      </c>
      <c r="O84">
        <f t="shared" ca="1" si="71"/>
        <v>105.97462473245631</v>
      </c>
      <c r="P84">
        <f t="shared" ca="1" si="71"/>
        <v>111.63018811776894</v>
      </c>
      <c r="Q84">
        <f t="shared" ca="1" si="64"/>
        <v>111.63018811776894</v>
      </c>
      <c r="R84">
        <f t="shared" ca="1" si="65"/>
        <v>0</v>
      </c>
      <c r="S84">
        <f t="shared" ca="1" si="66"/>
        <v>0</v>
      </c>
    </row>
    <row r="85" spans="5:19" x14ac:dyDescent="0.75">
      <c r="E85">
        <v>80</v>
      </c>
      <c r="F85">
        <f t="shared" si="62"/>
        <v>100</v>
      </c>
      <c r="G85">
        <f t="shared" ca="1" si="63"/>
        <v>99.446034930574982</v>
      </c>
      <c r="H85">
        <f t="shared" ca="1" si="63"/>
        <v>104.37167157057371</v>
      </c>
      <c r="I85">
        <f t="shared" ca="1" si="63"/>
        <v>117.26522005212436</v>
      </c>
      <c r="J85">
        <f t="shared" ref="J85:P85" ca="1" si="72">I85*EXP(($C$6-0.5*$C$7^2)*$C$12+$C$7*SQRT($C$12)*NORMINV(RAND(),0,1))</f>
        <v>117.42310548841412</v>
      </c>
      <c r="K85">
        <f t="shared" ca="1" si="72"/>
        <v>112.32034478900508</v>
      </c>
      <c r="L85">
        <f t="shared" ca="1" si="72"/>
        <v>107.38433498572594</v>
      </c>
      <c r="M85">
        <f t="shared" ca="1" si="72"/>
        <v>101.29345629563018</v>
      </c>
      <c r="N85">
        <f t="shared" ca="1" si="72"/>
        <v>102.55893377759958</v>
      </c>
      <c r="O85">
        <f t="shared" ca="1" si="72"/>
        <v>99.152276831259869</v>
      </c>
      <c r="P85">
        <f t="shared" ca="1" si="72"/>
        <v>98.437673297514507</v>
      </c>
      <c r="Q85">
        <f t="shared" ca="1" si="64"/>
        <v>117.42310548841412</v>
      </c>
      <c r="R85">
        <f t="shared" ca="1" si="65"/>
        <v>0</v>
      </c>
      <c r="S85">
        <f t="shared" ca="1" si="66"/>
        <v>0</v>
      </c>
    </row>
    <row r="86" spans="5:19" x14ac:dyDescent="0.75">
      <c r="E86">
        <v>81</v>
      </c>
      <c r="F86">
        <f t="shared" si="62"/>
        <v>100</v>
      </c>
      <c r="G86">
        <f t="shared" ca="1" si="63"/>
        <v>99.591918161495627</v>
      </c>
      <c r="H86">
        <f t="shared" ca="1" si="63"/>
        <v>97.684213436330396</v>
      </c>
      <c r="I86">
        <f t="shared" ca="1" si="63"/>
        <v>98.51655967075331</v>
      </c>
      <c r="J86">
        <f t="shared" ref="J86:P86" ca="1" si="73">I86*EXP(($C$6-0.5*$C$7^2)*$C$12+$C$7*SQRT($C$12)*NORMINV(RAND(),0,1))</f>
        <v>96.007922315707063</v>
      </c>
      <c r="K86">
        <f t="shared" ca="1" si="73"/>
        <v>99.096483363414094</v>
      </c>
      <c r="L86">
        <f t="shared" ca="1" si="73"/>
        <v>98.501856469507757</v>
      </c>
      <c r="M86">
        <f t="shared" ca="1" si="73"/>
        <v>96.92547639435449</v>
      </c>
      <c r="N86">
        <f t="shared" ca="1" si="73"/>
        <v>97.739543486038855</v>
      </c>
      <c r="O86">
        <f t="shared" ca="1" si="73"/>
        <v>102.53880652108798</v>
      </c>
      <c r="P86">
        <f t="shared" ca="1" si="73"/>
        <v>109.0136118299658</v>
      </c>
      <c r="Q86">
        <f t="shared" ca="1" si="64"/>
        <v>109.0136118299658</v>
      </c>
      <c r="R86">
        <f t="shared" ca="1" si="65"/>
        <v>7.0136118299657966</v>
      </c>
      <c r="S86">
        <f t="shared" ca="1" si="66"/>
        <v>6.8404451368848136</v>
      </c>
    </row>
    <row r="87" spans="5:19" x14ac:dyDescent="0.75">
      <c r="E87">
        <v>82</v>
      </c>
      <c r="F87">
        <f t="shared" si="62"/>
        <v>100</v>
      </c>
      <c r="G87">
        <f t="shared" ca="1" si="63"/>
        <v>94.969300692748419</v>
      </c>
      <c r="H87">
        <f t="shared" ca="1" si="63"/>
        <v>90.871105614244982</v>
      </c>
      <c r="I87">
        <f t="shared" ca="1" si="63"/>
        <v>89.779508603001474</v>
      </c>
      <c r="J87">
        <f t="shared" ref="J87:P87" ca="1" si="74">I87*EXP(($C$6-0.5*$C$7^2)*$C$12+$C$7*SQRT($C$12)*NORMINV(RAND(),0,1))</f>
        <v>86.734447617257032</v>
      </c>
      <c r="K87">
        <f t="shared" ca="1" si="74"/>
        <v>86.025200857386466</v>
      </c>
      <c r="L87">
        <f t="shared" ca="1" si="74"/>
        <v>82.869371638452819</v>
      </c>
      <c r="M87">
        <f t="shared" ca="1" si="74"/>
        <v>85.63587528047924</v>
      </c>
      <c r="N87">
        <f t="shared" ca="1" si="74"/>
        <v>85.136422690564459</v>
      </c>
      <c r="O87">
        <f t="shared" ca="1" si="74"/>
        <v>89.780346926024421</v>
      </c>
      <c r="P87">
        <f t="shared" ca="1" si="74"/>
        <v>87.623630580399038</v>
      </c>
      <c r="Q87">
        <f t="shared" ca="1" si="64"/>
        <v>94.969300692748419</v>
      </c>
      <c r="R87">
        <f t="shared" ca="1" si="65"/>
        <v>0</v>
      </c>
      <c r="S87">
        <f t="shared" ca="1" si="66"/>
        <v>0</v>
      </c>
    </row>
    <row r="88" spans="5:19" x14ac:dyDescent="0.75">
      <c r="E88">
        <v>83</v>
      </c>
      <c r="F88">
        <f t="shared" si="62"/>
        <v>100</v>
      </c>
      <c r="G88">
        <f t="shared" ca="1" si="63"/>
        <v>96.183783838017803</v>
      </c>
      <c r="H88">
        <f t="shared" ca="1" si="63"/>
        <v>86.784748380235996</v>
      </c>
      <c r="I88">
        <f t="shared" ca="1" si="63"/>
        <v>79.016071669112847</v>
      </c>
      <c r="J88">
        <f t="shared" ref="J88:P88" ca="1" si="75">I88*EXP(($C$6-0.5*$C$7^2)*$C$12+$C$7*SQRT($C$12)*NORMINV(RAND(),0,1))</f>
        <v>79.957168039672709</v>
      </c>
      <c r="K88">
        <f t="shared" ca="1" si="75"/>
        <v>83.146771561140298</v>
      </c>
      <c r="L88">
        <f t="shared" ca="1" si="75"/>
        <v>79.606047844490618</v>
      </c>
      <c r="M88">
        <f t="shared" ca="1" si="75"/>
        <v>81.431145533126255</v>
      </c>
      <c r="N88">
        <f t="shared" ca="1" si="75"/>
        <v>74.035163089696766</v>
      </c>
      <c r="O88">
        <f t="shared" ca="1" si="75"/>
        <v>68.565396001734769</v>
      </c>
      <c r="P88">
        <f t="shared" ca="1" si="75"/>
        <v>63.0404168888249</v>
      </c>
      <c r="Q88">
        <f t="shared" ca="1" si="64"/>
        <v>96.183783838017803</v>
      </c>
      <c r="R88">
        <f t="shared" ca="1" si="65"/>
        <v>0</v>
      </c>
      <c r="S88">
        <f t="shared" ca="1" si="66"/>
        <v>0</v>
      </c>
    </row>
    <row r="89" spans="5:19" x14ac:dyDescent="0.75">
      <c r="E89">
        <v>84</v>
      </c>
      <c r="F89">
        <f t="shared" si="62"/>
        <v>100</v>
      </c>
      <c r="G89">
        <f t="shared" ca="1" si="63"/>
        <v>98.235080455035302</v>
      </c>
      <c r="H89">
        <f t="shared" ca="1" si="63"/>
        <v>101.71816322588187</v>
      </c>
      <c r="I89">
        <f t="shared" ca="1" si="63"/>
        <v>95.337747217797329</v>
      </c>
      <c r="J89">
        <f t="shared" ref="J89:P89" ca="1" si="76">I89*EXP(($C$6-0.5*$C$7^2)*$C$12+$C$7*SQRT($C$12)*NORMINV(RAND(),0,1))</f>
        <v>93.116819348335255</v>
      </c>
      <c r="K89">
        <f t="shared" ca="1" si="76"/>
        <v>90.421817730585346</v>
      </c>
      <c r="L89">
        <f t="shared" ca="1" si="76"/>
        <v>93.913094667043239</v>
      </c>
      <c r="M89">
        <f t="shared" ca="1" si="76"/>
        <v>94.181545989284359</v>
      </c>
      <c r="N89">
        <f t="shared" ca="1" si="76"/>
        <v>95.218611015710408</v>
      </c>
      <c r="O89">
        <f t="shared" ca="1" si="76"/>
        <v>95.748329411598689</v>
      </c>
      <c r="P89">
        <f t="shared" ca="1" si="76"/>
        <v>89.22409403735297</v>
      </c>
      <c r="Q89">
        <f t="shared" ca="1" si="64"/>
        <v>101.71816322588187</v>
      </c>
      <c r="R89">
        <f t="shared" ca="1" si="65"/>
        <v>0</v>
      </c>
      <c r="S89">
        <f t="shared" ca="1" si="66"/>
        <v>0</v>
      </c>
    </row>
    <row r="90" spans="5:19" x14ac:dyDescent="0.75">
      <c r="E90">
        <v>85</v>
      </c>
      <c r="F90">
        <f t="shared" si="62"/>
        <v>100</v>
      </c>
      <c r="G90">
        <f t="shared" ca="1" si="63"/>
        <v>93.583517506111264</v>
      </c>
      <c r="H90">
        <f t="shared" ca="1" si="63"/>
        <v>91.580099217889924</v>
      </c>
      <c r="I90">
        <f t="shared" ca="1" si="63"/>
        <v>91.73054863005909</v>
      </c>
      <c r="J90">
        <f t="shared" ref="J90:P90" ca="1" si="77">I90*EXP(($C$6-0.5*$C$7^2)*$C$12+$C$7*SQRT($C$12)*NORMINV(RAND(),0,1))</f>
        <v>100.02800112354534</v>
      </c>
      <c r="K90">
        <f t="shared" ca="1" si="77"/>
        <v>104.35327659407848</v>
      </c>
      <c r="L90">
        <f t="shared" ca="1" si="77"/>
        <v>107.64354388377954</v>
      </c>
      <c r="M90">
        <f t="shared" ca="1" si="77"/>
        <v>113.62837834084927</v>
      </c>
      <c r="N90">
        <f t="shared" ca="1" si="77"/>
        <v>109.98457777715355</v>
      </c>
      <c r="O90">
        <f t="shared" ca="1" si="77"/>
        <v>113.08699989969593</v>
      </c>
      <c r="P90">
        <f t="shared" ca="1" si="77"/>
        <v>121.28151270504596</v>
      </c>
      <c r="Q90">
        <f t="shared" ca="1" si="64"/>
        <v>121.28151270504596</v>
      </c>
      <c r="R90">
        <f t="shared" ca="1" si="65"/>
        <v>0</v>
      </c>
      <c r="S90">
        <f t="shared" ca="1" si="66"/>
        <v>0</v>
      </c>
    </row>
    <row r="91" spans="5:19" x14ac:dyDescent="0.75">
      <c r="E91">
        <v>86</v>
      </c>
      <c r="F91">
        <f t="shared" si="62"/>
        <v>100</v>
      </c>
      <c r="G91">
        <f t="shared" ca="1" si="63"/>
        <v>92.648579034818795</v>
      </c>
      <c r="H91">
        <f t="shared" ca="1" si="63"/>
        <v>101.178314712496</v>
      </c>
      <c r="I91">
        <f t="shared" ca="1" si="63"/>
        <v>94.183398878629291</v>
      </c>
      <c r="J91">
        <f t="shared" ref="J91:P91" ca="1" si="78">I91*EXP(($C$6-0.5*$C$7^2)*$C$12+$C$7*SQRT($C$12)*NORMINV(RAND(),0,1))</f>
        <v>98.207771141943695</v>
      </c>
      <c r="K91">
        <f t="shared" ca="1" si="78"/>
        <v>102.2283868537377</v>
      </c>
      <c r="L91">
        <f t="shared" ca="1" si="78"/>
        <v>101.03305267316991</v>
      </c>
      <c r="M91">
        <f t="shared" ca="1" si="78"/>
        <v>98.210213068780291</v>
      </c>
      <c r="N91">
        <f t="shared" ca="1" si="78"/>
        <v>99.504414559822365</v>
      </c>
      <c r="O91">
        <f t="shared" ca="1" si="78"/>
        <v>105.19405921779192</v>
      </c>
      <c r="P91">
        <f t="shared" ca="1" si="78"/>
        <v>108.585895736986</v>
      </c>
      <c r="Q91">
        <f t="shared" ca="1" si="64"/>
        <v>108.585895736986</v>
      </c>
      <c r="R91">
        <f t="shared" ca="1" si="65"/>
        <v>6.5858957369860036</v>
      </c>
      <c r="S91">
        <f t="shared" ca="1" si="66"/>
        <v>6.4232893918675904</v>
      </c>
    </row>
    <row r="92" spans="5:19" x14ac:dyDescent="0.75">
      <c r="E92">
        <v>87</v>
      </c>
      <c r="F92">
        <f t="shared" si="62"/>
        <v>100</v>
      </c>
      <c r="G92">
        <f t="shared" ca="1" si="63"/>
        <v>96.363995099959268</v>
      </c>
      <c r="H92">
        <f t="shared" ca="1" si="63"/>
        <v>89.480365930974514</v>
      </c>
      <c r="I92">
        <f t="shared" ca="1" si="63"/>
        <v>91.47003192320588</v>
      </c>
      <c r="J92">
        <f t="shared" ref="J92:P92" ca="1" si="79">I92*EXP(($C$6-0.5*$C$7^2)*$C$12+$C$7*SQRT($C$12)*NORMINV(RAND(),0,1))</f>
        <v>91.485252101881045</v>
      </c>
      <c r="K92">
        <f t="shared" ca="1" si="79"/>
        <v>92.448909908738287</v>
      </c>
      <c r="L92">
        <f t="shared" ca="1" si="79"/>
        <v>95.048163936137996</v>
      </c>
      <c r="M92">
        <f t="shared" ca="1" si="79"/>
        <v>96.321235230153519</v>
      </c>
      <c r="N92">
        <f t="shared" ca="1" si="79"/>
        <v>95.353170805884261</v>
      </c>
      <c r="O92">
        <f t="shared" ca="1" si="79"/>
        <v>94.365805162602726</v>
      </c>
      <c r="P92">
        <f t="shared" ca="1" si="79"/>
        <v>91.55221577941137</v>
      </c>
      <c r="Q92">
        <f t="shared" ca="1" si="64"/>
        <v>96.363995099959268</v>
      </c>
      <c r="R92">
        <f t="shared" ca="1" si="65"/>
        <v>0</v>
      </c>
      <c r="S92">
        <f t="shared" ca="1" si="66"/>
        <v>0</v>
      </c>
    </row>
    <row r="93" spans="5:19" x14ac:dyDescent="0.75">
      <c r="E93">
        <v>88</v>
      </c>
      <c r="F93">
        <f t="shared" si="62"/>
        <v>100</v>
      </c>
      <c r="G93">
        <f t="shared" ca="1" si="63"/>
        <v>95.902098177489364</v>
      </c>
      <c r="H93">
        <f t="shared" ca="1" si="63"/>
        <v>85.711061769477055</v>
      </c>
      <c r="I93">
        <f t="shared" ca="1" si="63"/>
        <v>81.736110657491295</v>
      </c>
      <c r="J93">
        <f t="shared" ref="J93:P93" ca="1" si="80">I93*EXP(($C$6-0.5*$C$7^2)*$C$12+$C$7*SQRT($C$12)*NORMINV(RAND(),0,1))</f>
        <v>77.482603055586509</v>
      </c>
      <c r="K93">
        <f t="shared" ca="1" si="80"/>
        <v>72.481669093789847</v>
      </c>
      <c r="L93">
        <f t="shared" ca="1" si="80"/>
        <v>71.478619679898088</v>
      </c>
      <c r="M93">
        <f t="shared" ca="1" si="80"/>
        <v>73.740284727758009</v>
      </c>
      <c r="N93">
        <f t="shared" ca="1" si="80"/>
        <v>73.13738577648482</v>
      </c>
      <c r="O93">
        <f t="shared" ca="1" si="80"/>
        <v>69.225563952325203</v>
      </c>
      <c r="P93">
        <f t="shared" ca="1" si="80"/>
        <v>70.38433294465969</v>
      </c>
      <c r="Q93">
        <f t="shared" ca="1" si="64"/>
        <v>95.902098177489364</v>
      </c>
      <c r="R93">
        <f t="shared" ca="1" si="65"/>
        <v>0</v>
      </c>
      <c r="S93">
        <f t="shared" ca="1" si="66"/>
        <v>0</v>
      </c>
    </row>
    <row r="94" spans="5:19" x14ac:dyDescent="0.75">
      <c r="E94">
        <v>89</v>
      </c>
      <c r="F94">
        <f t="shared" si="62"/>
        <v>100</v>
      </c>
      <c r="G94">
        <f t="shared" ca="1" si="63"/>
        <v>99.978379415595526</v>
      </c>
      <c r="H94">
        <f t="shared" ca="1" si="63"/>
        <v>97.317135579949138</v>
      </c>
      <c r="I94">
        <f t="shared" ca="1" si="63"/>
        <v>89.861468498395112</v>
      </c>
      <c r="J94">
        <f t="shared" ref="J94:P94" ca="1" si="81">I94*EXP(($C$6-0.5*$C$7^2)*$C$12+$C$7*SQRT($C$12)*NORMINV(RAND(),0,1))</f>
        <v>91.100257968348444</v>
      </c>
      <c r="K94">
        <f t="shared" ca="1" si="81"/>
        <v>93.578962618577251</v>
      </c>
      <c r="L94">
        <f t="shared" ca="1" si="81"/>
        <v>103.39652723040352</v>
      </c>
      <c r="M94">
        <f t="shared" ca="1" si="81"/>
        <v>96.436409445598031</v>
      </c>
      <c r="N94">
        <f t="shared" ca="1" si="81"/>
        <v>96.636719126713018</v>
      </c>
      <c r="O94">
        <f t="shared" ca="1" si="81"/>
        <v>100.80218715775204</v>
      </c>
      <c r="P94">
        <f t="shared" ca="1" si="81"/>
        <v>99.921989511777355</v>
      </c>
      <c r="Q94">
        <f t="shared" ca="1" si="64"/>
        <v>103.39652723040352</v>
      </c>
      <c r="R94">
        <f t="shared" ca="1" si="65"/>
        <v>0</v>
      </c>
      <c r="S94">
        <f t="shared" ca="1" si="66"/>
        <v>0</v>
      </c>
    </row>
    <row r="95" spans="5:19" x14ac:dyDescent="0.75">
      <c r="E95">
        <v>90</v>
      </c>
      <c r="F95">
        <f t="shared" si="62"/>
        <v>100</v>
      </c>
      <c r="G95">
        <f t="shared" ca="1" si="63"/>
        <v>94.646922607914988</v>
      </c>
      <c r="H95">
        <f t="shared" ca="1" si="63"/>
        <v>99.807545404136405</v>
      </c>
      <c r="I95">
        <f t="shared" ca="1" si="63"/>
        <v>103.45148639747158</v>
      </c>
      <c r="J95">
        <f t="shared" ref="J95:P95" ca="1" si="82">I95*EXP(($C$6-0.5*$C$7^2)*$C$12+$C$7*SQRT($C$12)*NORMINV(RAND(),0,1))</f>
        <v>115.02059017728224</v>
      </c>
      <c r="K95">
        <f t="shared" ca="1" si="82"/>
        <v>109.8904048775057</v>
      </c>
      <c r="L95">
        <f t="shared" ca="1" si="82"/>
        <v>106.91750685035474</v>
      </c>
      <c r="M95">
        <f t="shared" ca="1" si="82"/>
        <v>104.96124070602127</v>
      </c>
      <c r="N95">
        <f t="shared" ca="1" si="82"/>
        <v>102.77722885949139</v>
      </c>
      <c r="O95">
        <f t="shared" ca="1" si="82"/>
        <v>94.16387703079053</v>
      </c>
      <c r="P95">
        <f t="shared" ca="1" si="82"/>
        <v>90.049646588026206</v>
      </c>
      <c r="Q95">
        <f t="shared" ca="1" si="64"/>
        <v>115.02059017728224</v>
      </c>
      <c r="R95">
        <f t="shared" ca="1" si="65"/>
        <v>0</v>
      </c>
      <c r="S95">
        <f t="shared" ca="1" si="66"/>
        <v>0</v>
      </c>
    </row>
    <row r="96" spans="5:19" x14ac:dyDescent="0.75">
      <c r="E96">
        <v>91</v>
      </c>
      <c r="F96">
        <f t="shared" si="62"/>
        <v>100</v>
      </c>
      <c r="G96">
        <f t="shared" ca="1" si="63"/>
        <v>106.30827356715291</v>
      </c>
      <c r="H96">
        <f t="shared" ca="1" si="63"/>
        <v>107.78440842056668</v>
      </c>
      <c r="I96">
        <f t="shared" ca="1" si="63"/>
        <v>109.57537748907674</v>
      </c>
      <c r="J96">
        <f t="shared" ref="J96:P96" ca="1" si="83">I96*EXP(($C$6-0.5*$C$7^2)*$C$12+$C$7*SQRT($C$12)*NORMINV(RAND(),0,1))</f>
        <v>109.85186720091495</v>
      </c>
      <c r="K96">
        <f t="shared" ca="1" si="83"/>
        <v>112.1325151063656</v>
      </c>
      <c r="L96">
        <f t="shared" ca="1" si="83"/>
        <v>111.70532003521781</v>
      </c>
      <c r="M96">
        <f t="shared" ca="1" si="83"/>
        <v>112.15685341011043</v>
      </c>
      <c r="N96">
        <f t="shared" ca="1" si="83"/>
        <v>116.07593074965013</v>
      </c>
      <c r="O96">
        <f t="shared" ca="1" si="83"/>
        <v>104.25793805258111</v>
      </c>
      <c r="P96">
        <f t="shared" ca="1" si="83"/>
        <v>101.52246045365619</v>
      </c>
      <c r="Q96">
        <f t="shared" ca="1" si="64"/>
        <v>116.07593074965013</v>
      </c>
      <c r="R96">
        <f t="shared" ca="1" si="65"/>
        <v>0</v>
      </c>
      <c r="S96">
        <f t="shared" ca="1" si="66"/>
        <v>0</v>
      </c>
    </row>
    <row r="97" spans="5:19" x14ac:dyDescent="0.75">
      <c r="E97">
        <v>92</v>
      </c>
      <c r="F97">
        <f t="shared" si="62"/>
        <v>100</v>
      </c>
      <c r="G97">
        <f t="shared" ca="1" si="63"/>
        <v>96.8984927357819</v>
      </c>
      <c r="H97">
        <f t="shared" ca="1" si="63"/>
        <v>99.917727388602472</v>
      </c>
      <c r="I97">
        <f t="shared" ca="1" si="63"/>
        <v>97.0765430814658</v>
      </c>
      <c r="J97">
        <f t="shared" ref="J97:P97" ca="1" si="84">I97*EXP(($C$6-0.5*$C$7^2)*$C$12+$C$7*SQRT($C$12)*NORMINV(RAND(),0,1))</f>
        <v>90.261763899694515</v>
      </c>
      <c r="K97">
        <f t="shared" ca="1" si="84"/>
        <v>88.975885093948605</v>
      </c>
      <c r="L97">
        <f t="shared" ca="1" si="84"/>
        <v>89.071260989292071</v>
      </c>
      <c r="M97">
        <f t="shared" ca="1" si="84"/>
        <v>88.4206189298488</v>
      </c>
      <c r="N97">
        <f t="shared" ca="1" si="84"/>
        <v>91.339566587950841</v>
      </c>
      <c r="O97">
        <f t="shared" ca="1" si="84"/>
        <v>94.791516873974743</v>
      </c>
      <c r="P97">
        <f t="shared" ca="1" si="84"/>
        <v>88.642176667516907</v>
      </c>
      <c r="Q97">
        <f t="shared" ca="1" si="64"/>
        <v>99.917727388602472</v>
      </c>
      <c r="R97">
        <f t="shared" ca="1" si="65"/>
        <v>0</v>
      </c>
      <c r="S97">
        <f t="shared" ca="1" si="66"/>
        <v>0</v>
      </c>
    </row>
    <row r="98" spans="5:19" x14ac:dyDescent="0.75">
      <c r="E98">
        <v>93</v>
      </c>
      <c r="F98">
        <f t="shared" si="62"/>
        <v>100</v>
      </c>
      <c r="G98">
        <f t="shared" ca="1" si="63"/>
        <v>95.91488251579166</v>
      </c>
      <c r="H98">
        <f t="shared" ca="1" si="63"/>
        <v>101.26845947854258</v>
      </c>
      <c r="I98">
        <f t="shared" ca="1" si="63"/>
        <v>104.96076218909634</v>
      </c>
      <c r="J98">
        <f t="shared" ref="J98:P98" ca="1" si="85">I98*EXP(($C$6-0.5*$C$7^2)*$C$12+$C$7*SQRT($C$12)*NORMINV(RAND(),0,1))</f>
        <v>103.83024381648447</v>
      </c>
      <c r="K98">
        <f t="shared" ca="1" si="85"/>
        <v>112.91908210697768</v>
      </c>
      <c r="L98">
        <f t="shared" ca="1" si="85"/>
        <v>111.06012280004964</v>
      </c>
      <c r="M98">
        <f t="shared" ca="1" si="85"/>
        <v>116.93836922755543</v>
      </c>
      <c r="N98">
        <f t="shared" ca="1" si="85"/>
        <v>126.19255065367528</v>
      </c>
      <c r="O98">
        <f t="shared" ca="1" si="85"/>
        <v>119.96105755638585</v>
      </c>
      <c r="P98">
        <f t="shared" ca="1" si="85"/>
        <v>124.38606113972232</v>
      </c>
      <c r="Q98">
        <f t="shared" ca="1" si="64"/>
        <v>126.19255065367528</v>
      </c>
      <c r="R98">
        <f t="shared" ca="1" si="65"/>
        <v>0</v>
      </c>
      <c r="S98">
        <f t="shared" ca="1" si="66"/>
        <v>0</v>
      </c>
    </row>
    <row r="99" spans="5:19" x14ac:dyDescent="0.75">
      <c r="E99">
        <v>94</v>
      </c>
      <c r="F99">
        <f t="shared" si="62"/>
        <v>100</v>
      </c>
      <c r="G99">
        <f t="shared" ca="1" si="63"/>
        <v>97.189221027198272</v>
      </c>
      <c r="H99">
        <f t="shared" ca="1" si="63"/>
        <v>99.844503459765306</v>
      </c>
      <c r="I99">
        <f t="shared" ca="1" si="63"/>
        <v>99.977726502170086</v>
      </c>
      <c r="J99">
        <f t="shared" ref="J99:P99" ca="1" si="86">I99*EXP(($C$6-0.5*$C$7^2)*$C$12+$C$7*SQRT($C$12)*NORMINV(RAND(),0,1))</f>
        <v>99.985612465239626</v>
      </c>
      <c r="K99">
        <f t="shared" ca="1" si="86"/>
        <v>96.070770955813572</v>
      </c>
      <c r="L99">
        <f t="shared" ca="1" si="86"/>
        <v>89.988465291483266</v>
      </c>
      <c r="M99">
        <f t="shared" ca="1" si="86"/>
        <v>90.77085584582683</v>
      </c>
      <c r="N99">
        <f t="shared" ca="1" si="86"/>
        <v>93.069923213608988</v>
      </c>
      <c r="O99">
        <f t="shared" ca="1" si="86"/>
        <v>92.974481782268398</v>
      </c>
      <c r="P99">
        <f t="shared" ca="1" si="86"/>
        <v>97.768773208003196</v>
      </c>
      <c r="Q99">
        <f t="shared" ca="1" si="64"/>
        <v>99.985612465239626</v>
      </c>
      <c r="R99">
        <f t="shared" ca="1" si="65"/>
        <v>0</v>
      </c>
      <c r="S99">
        <f t="shared" ca="1" si="66"/>
        <v>0</v>
      </c>
    </row>
    <row r="100" spans="5:19" x14ac:dyDescent="0.75">
      <c r="E100">
        <v>95</v>
      </c>
      <c r="F100">
        <f t="shared" si="62"/>
        <v>100</v>
      </c>
      <c r="G100">
        <f t="shared" ca="1" si="63"/>
        <v>95.812343651570302</v>
      </c>
      <c r="H100">
        <f t="shared" ca="1" si="63"/>
        <v>88.121641316770663</v>
      </c>
      <c r="I100">
        <f t="shared" ca="1" si="63"/>
        <v>92.13589244913554</v>
      </c>
      <c r="J100">
        <f t="shared" ref="J100:P100" ca="1" si="87">I100*EXP(($C$6-0.5*$C$7^2)*$C$12+$C$7*SQRT($C$12)*NORMINV(RAND(),0,1))</f>
        <v>89.845984730557007</v>
      </c>
      <c r="K100">
        <f t="shared" ca="1" si="87"/>
        <v>89.342573452915858</v>
      </c>
      <c r="L100">
        <f t="shared" ca="1" si="87"/>
        <v>88.172523059964035</v>
      </c>
      <c r="M100">
        <f t="shared" ca="1" si="87"/>
        <v>94.353632663750844</v>
      </c>
      <c r="N100">
        <f t="shared" ca="1" si="87"/>
        <v>93.30732027733147</v>
      </c>
      <c r="O100">
        <f t="shared" ca="1" si="87"/>
        <v>101.57806761451995</v>
      </c>
      <c r="P100">
        <f t="shared" ca="1" si="87"/>
        <v>103.48000715199493</v>
      </c>
      <c r="Q100">
        <f t="shared" ca="1" si="64"/>
        <v>103.48000715199493</v>
      </c>
      <c r="R100">
        <f t="shared" ca="1" si="65"/>
        <v>1.4800071519949256</v>
      </c>
      <c r="S100">
        <f t="shared" ca="1" si="66"/>
        <v>1.443465645213474</v>
      </c>
    </row>
    <row r="101" spans="5:19" x14ac:dyDescent="0.75">
      <c r="E101">
        <v>96</v>
      </c>
      <c r="F101">
        <f t="shared" si="62"/>
        <v>100</v>
      </c>
      <c r="G101">
        <f t="shared" ca="1" si="63"/>
        <v>100.99605502718794</v>
      </c>
      <c r="H101">
        <f t="shared" ca="1" si="63"/>
        <v>100.68189710400226</v>
      </c>
      <c r="I101">
        <f t="shared" ca="1" si="63"/>
        <v>107.10785526362029</v>
      </c>
      <c r="J101">
        <f t="shared" ref="J101:P101" ca="1" si="88">I101*EXP(($C$6-0.5*$C$7^2)*$C$12+$C$7*SQRT($C$12)*NORMINV(RAND(),0,1))</f>
        <v>102.84815112216397</v>
      </c>
      <c r="K101">
        <f t="shared" ca="1" si="88"/>
        <v>101.43653552104861</v>
      </c>
      <c r="L101">
        <f t="shared" ca="1" si="88"/>
        <v>106.22504353211866</v>
      </c>
      <c r="M101">
        <f t="shared" ca="1" si="88"/>
        <v>102.47146997642125</v>
      </c>
      <c r="N101">
        <f t="shared" ca="1" si="88"/>
        <v>100.06320254893642</v>
      </c>
      <c r="O101">
        <f t="shared" ca="1" si="88"/>
        <v>98.891344406588715</v>
      </c>
      <c r="P101">
        <f t="shared" ca="1" si="88"/>
        <v>99.003137090187082</v>
      </c>
      <c r="Q101">
        <f t="shared" ca="1" si="64"/>
        <v>107.10785526362029</v>
      </c>
      <c r="R101">
        <f t="shared" ca="1" si="65"/>
        <v>0</v>
      </c>
      <c r="S101">
        <f t="shared" ca="1" si="66"/>
        <v>0</v>
      </c>
    </row>
    <row r="102" spans="5:19" x14ac:dyDescent="0.75">
      <c r="E102">
        <v>97</v>
      </c>
      <c r="F102">
        <f t="shared" si="62"/>
        <v>100</v>
      </c>
      <c r="G102">
        <f t="shared" ca="1" si="63"/>
        <v>91.027731301880095</v>
      </c>
      <c r="H102">
        <f t="shared" ca="1" si="63"/>
        <v>89.641941857793213</v>
      </c>
      <c r="I102">
        <f t="shared" ca="1" si="63"/>
        <v>88.662535959259742</v>
      </c>
      <c r="J102">
        <f t="shared" ref="J102:P102" ca="1" si="89">I102*EXP(($C$6-0.5*$C$7^2)*$C$12+$C$7*SQRT($C$12)*NORMINV(RAND(),0,1))</f>
        <v>89.895463238823481</v>
      </c>
      <c r="K102">
        <f t="shared" ca="1" si="89"/>
        <v>94.508697029200363</v>
      </c>
      <c r="L102">
        <f t="shared" ca="1" si="89"/>
        <v>90.50823346736459</v>
      </c>
      <c r="M102">
        <f t="shared" ca="1" si="89"/>
        <v>93.379115091675942</v>
      </c>
      <c r="N102">
        <f t="shared" ca="1" si="89"/>
        <v>100.73771906265569</v>
      </c>
      <c r="O102">
        <f t="shared" ca="1" si="89"/>
        <v>96.957410888971211</v>
      </c>
      <c r="P102">
        <f t="shared" ca="1" si="89"/>
        <v>97.742779189371575</v>
      </c>
      <c r="Q102">
        <f t="shared" ca="1" si="64"/>
        <v>100.73771906265569</v>
      </c>
      <c r="R102">
        <f t="shared" ca="1" si="65"/>
        <v>0</v>
      </c>
      <c r="S102">
        <f t="shared" ca="1" si="66"/>
        <v>0</v>
      </c>
    </row>
    <row r="103" spans="5:19" x14ac:dyDescent="0.75">
      <c r="E103">
        <v>98</v>
      </c>
      <c r="F103">
        <f t="shared" si="62"/>
        <v>100</v>
      </c>
      <c r="G103">
        <f t="shared" ca="1" si="63"/>
        <v>103.22979611982959</v>
      </c>
      <c r="H103">
        <f t="shared" ca="1" si="63"/>
        <v>111.1305476915917</v>
      </c>
      <c r="I103">
        <f t="shared" ca="1" si="63"/>
        <v>105.09290195434345</v>
      </c>
      <c r="J103">
        <f t="shared" ref="J103:P103" ca="1" si="90">I103*EXP(($C$6-0.5*$C$7^2)*$C$12+$C$7*SQRT($C$12)*NORMINV(RAND(),0,1))</f>
        <v>102.96666880156597</v>
      </c>
      <c r="K103">
        <f t="shared" ca="1" si="90"/>
        <v>109.58585751831501</v>
      </c>
      <c r="L103">
        <f t="shared" ca="1" si="90"/>
        <v>105.72230512099645</v>
      </c>
      <c r="M103">
        <f t="shared" ca="1" si="90"/>
        <v>110.15597018055107</v>
      </c>
      <c r="N103">
        <f t="shared" ca="1" si="90"/>
        <v>120.4910519602867</v>
      </c>
      <c r="O103">
        <f t="shared" ca="1" si="90"/>
        <v>126.56586734205945</v>
      </c>
      <c r="P103">
        <f t="shared" ca="1" si="90"/>
        <v>124.61615206312048</v>
      </c>
      <c r="Q103">
        <f t="shared" ca="1" si="64"/>
        <v>126.56586734205945</v>
      </c>
      <c r="R103">
        <f t="shared" ca="1" si="65"/>
        <v>0</v>
      </c>
      <c r="S103">
        <f t="shared" ca="1" si="66"/>
        <v>0</v>
      </c>
    </row>
    <row r="104" spans="5:19" x14ac:dyDescent="0.75">
      <c r="E104">
        <v>99</v>
      </c>
      <c r="F104">
        <f t="shared" si="62"/>
        <v>100</v>
      </c>
      <c r="G104">
        <f t="shared" ca="1" si="63"/>
        <v>106.42992996362031</v>
      </c>
      <c r="H104">
        <f t="shared" ca="1" si="63"/>
        <v>103.6534622821586</v>
      </c>
      <c r="I104">
        <f t="shared" ca="1" si="63"/>
        <v>105.33861356268945</v>
      </c>
      <c r="J104">
        <f t="shared" ref="J104:P104" ca="1" si="91">I104*EXP(($C$6-0.5*$C$7^2)*$C$12+$C$7*SQRT($C$12)*NORMINV(RAND(),0,1))</f>
        <v>106.91027634283428</v>
      </c>
      <c r="K104">
        <f t="shared" ca="1" si="91"/>
        <v>111.0246281656039</v>
      </c>
      <c r="L104">
        <f t="shared" ca="1" si="91"/>
        <v>111.72454635931318</v>
      </c>
      <c r="M104">
        <f t="shared" ca="1" si="91"/>
        <v>118.06656613364407</v>
      </c>
      <c r="N104">
        <f t="shared" ca="1" si="91"/>
        <v>111.68498062170643</v>
      </c>
      <c r="O104">
        <f t="shared" ca="1" si="91"/>
        <v>109.89354371795407</v>
      </c>
      <c r="P104">
        <f t="shared" ca="1" si="91"/>
        <v>110.6446057386167</v>
      </c>
      <c r="Q104">
        <f t="shared" ca="1" si="64"/>
        <v>118.06656613364407</v>
      </c>
      <c r="R104">
        <f t="shared" ca="1" si="65"/>
        <v>0</v>
      </c>
      <c r="S104">
        <f t="shared" ca="1" si="66"/>
        <v>0</v>
      </c>
    </row>
    <row r="105" spans="5:19" x14ac:dyDescent="0.75">
      <c r="E105">
        <v>100</v>
      </c>
      <c r="F105">
        <f t="shared" si="62"/>
        <v>100</v>
      </c>
      <c r="G105">
        <f t="shared" ca="1" si="63"/>
        <v>101.35198455993944</v>
      </c>
      <c r="H105">
        <f t="shared" ca="1" si="63"/>
        <v>103.00247460676657</v>
      </c>
      <c r="I105">
        <f t="shared" ca="1" si="63"/>
        <v>102.43053714477011</v>
      </c>
      <c r="J105">
        <f t="shared" ref="J105:P105" ca="1" si="92">I105*EXP(($C$6-0.5*$C$7^2)*$C$12+$C$7*SQRT($C$12)*NORMINV(RAND(),0,1))</f>
        <v>107.61585814090398</v>
      </c>
      <c r="K105">
        <f t="shared" ca="1" si="92"/>
        <v>117.10221231928084</v>
      </c>
      <c r="L105">
        <f t="shared" ca="1" si="92"/>
        <v>120.47183380855654</v>
      </c>
      <c r="M105">
        <f t="shared" ca="1" si="92"/>
        <v>124.12001407894726</v>
      </c>
      <c r="N105">
        <f t="shared" ca="1" si="92"/>
        <v>120.24642065151902</v>
      </c>
      <c r="O105">
        <f t="shared" ca="1" si="92"/>
        <v>122.55615678383371</v>
      </c>
      <c r="P105">
        <f t="shared" ca="1" si="92"/>
        <v>119.87738197841018</v>
      </c>
      <c r="Q105">
        <f t="shared" ca="1" si="64"/>
        <v>124.12001407894726</v>
      </c>
      <c r="R105">
        <f t="shared" ca="1" si="65"/>
        <v>0</v>
      </c>
      <c r="S105">
        <f t="shared" ca="1" si="66"/>
        <v>0</v>
      </c>
    </row>
    <row r="106" spans="5:19" x14ac:dyDescent="0.75">
      <c r="E106">
        <v>101</v>
      </c>
      <c r="F106">
        <f t="shared" si="62"/>
        <v>100</v>
      </c>
      <c r="G106">
        <f t="shared" ca="1" si="63"/>
        <v>107.25935892371706</v>
      </c>
      <c r="H106">
        <f t="shared" ca="1" si="63"/>
        <v>108.06604798180405</v>
      </c>
      <c r="I106">
        <f t="shared" ca="1" si="63"/>
        <v>104.41259337998855</v>
      </c>
      <c r="J106">
        <f t="shared" ref="J106:P106" ca="1" si="93">I106*EXP(($C$6-0.5*$C$7^2)*$C$12+$C$7*SQRT($C$12)*NORMINV(RAND(),0,1))</f>
        <v>105.67374852448009</v>
      </c>
      <c r="K106">
        <f t="shared" ca="1" si="93"/>
        <v>107.58096834733259</v>
      </c>
      <c r="L106">
        <f t="shared" ca="1" si="93"/>
        <v>108.16257153742139</v>
      </c>
      <c r="M106">
        <f t="shared" ca="1" si="93"/>
        <v>108.83086219429629</v>
      </c>
      <c r="N106">
        <f t="shared" ca="1" si="93"/>
        <v>113.63187386265732</v>
      </c>
      <c r="O106">
        <f t="shared" ca="1" si="93"/>
        <v>112.82384447316282</v>
      </c>
      <c r="P106">
        <f t="shared" ca="1" si="93"/>
        <v>105.55503040550509</v>
      </c>
      <c r="Q106">
        <f t="shared" ca="1" si="64"/>
        <v>113.63187386265732</v>
      </c>
      <c r="R106">
        <f t="shared" ca="1" si="65"/>
        <v>0</v>
      </c>
      <c r="S106">
        <f t="shared" ca="1" si="66"/>
        <v>0</v>
      </c>
    </row>
    <row r="107" spans="5:19" x14ac:dyDescent="0.75">
      <c r="E107">
        <v>102</v>
      </c>
      <c r="F107">
        <f t="shared" si="62"/>
        <v>100</v>
      </c>
      <c r="G107">
        <f t="shared" ca="1" si="63"/>
        <v>98.42928525007153</v>
      </c>
      <c r="H107">
        <f t="shared" ca="1" si="63"/>
        <v>92.703946192333987</v>
      </c>
      <c r="I107">
        <f t="shared" ca="1" si="63"/>
        <v>93.876138483476382</v>
      </c>
      <c r="J107">
        <f t="shared" ref="J107:P107" ca="1" si="94">I107*EXP(($C$6-0.5*$C$7^2)*$C$12+$C$7*SQRT($C$12)*NORMINV(RAND(),0,1))</f>
        <v>93.049729744829264</v>
      </c>
      <c r="K107">
        <f t="shared" ca="1" si="94"/>
        <v>93.629578400809521</v>
      </c>
      <c r="L107">
        <f t="shared" ca="1" si="94"/>
        <v>88.969572936133929</v>
      </c>
      <c r="M107">
        <f t="shared" ca="1" si="94"/>
        <v>89.054143610478391</v>
      </c>
      <c r="N107">
        <f t="shared" ca="1" si="94"/>
        <v>88.423870746732945</v>
      </c>
      <c r="O107">
        <f t="shared" ca="1" si="94"/>
        <v>85.196700820954376</v>
      </c>
      <c r="P107">
        <f t="shared" ca="1" si="94"/>
        <v>84.512493341897624</v>
      </c>
      <c r="Q107">
        <f t="shared" ca="1" si="64"/>
        <v>98.42928525007153</v>
      </c>
      <c r="R107">
        <f t="shared" ca="1" si="65"/>
        <v>0</v>
      </c>
      <c r="S107">
        <f t="shared" ca="1" si="66"/>
        <v>0</v>
      </c>
    </row>
    <row r="108" spans="5:19" x14ac:dyDescent="0.75">
      <c r="E108">
        <v>103</v>
      </c>
      <c r="F108">
        <f t="shared" si="62"/>
        <v>100</v>
      </c>
      <c r="G108">
        <f t="shared" ca="1" si="63"/>
        <v>105.25685837769825</v>
      </c>
      <c r="H108">
        <f t="shared" ca="1" si="63"/>
        <v>102.64281459116856</v>
      </c>
      <c r="I108">
        <f t="shared" ca="1" si="63"/>
        <v>109.40129006097307</v>
      </c>
      <c r="J108">
        <f t="shared" ref="J108:P108" ca="1" si="95">I108*EXP(($C$6-0.5*$C$7^2)*$C$12+$C$7*SQRT($C$12)*NORMINV(RAND(),0,1))</f>
        <v>112.60431964219552</v>
      </c>
      <c r="K108">
        <f t="shared" ca="1" si="95"/>
        <v>107.43031468727118</v>
      </c>
      <c r="L108">
        <f t="shared" ca="1" si="95"/>
        <v>105.574947869745</v>
      </c>
      <c r="M108">
        <f t="shared" ca="1" si="95"/>
        <v>102.37429230391841</v>
      </c>
      <c r="N108">
        <f t="shared" ca="1" si="95"/>
        <v>103.0897341378829</v>
      </c>
      <c r="O108">
        <f t="shared" ca="1" si="95"/>
        <v>109.43136063797427</v>
      </c>
      <c r="P108">
        <f t="shared" ca="1" si="95"/>
        <v>115.1861502104983</v>
      </c>
      <c r="Q108">
        <f t="shared" ca="1" si="64"/>
        <v>115.1861502104983</v>
      </c>
      <c r="R108">
        <f t="shared" ca="1" si="65"/>
        <v>0</v>
      </c>
      <c r="S108">
        <f t="shared" ca="1" si="66"/>
        <v>0</v>
      </c>
    </row>
    <row r="109" spans="5:19" x14ac:dyDescent="0.75">
      <c r="E109">
        <v>104</v>
      </c>
      <c r="F109">
        <f t="shared" si="62"/>
        <v>100</v>
      </c>
      <c r="G109">
        <f t="shared" ca="1" si="63"/>
        <v>99.098902075190892</v>
      </c>
      <c r="H109">
        <f t="shared" ca="1" si="63"/>
        <v>96.266524727734023</v>
      </c>
      <c r="I109">
        <f t="shared" ca="1" si="63"/>
        <v>96.770124035731072</v>
      </c>
      <c r="J109">
        <f t="shared" ref="J109:P109" ca="1" si="96">I109*EXP(($C$6-0.5*$C$7^2)*$C$12+$C$7*SQRT($C$12)*NORMINV(RAND(),0,1))</f>
        <v>99.456433620380466</v>
      </c>
      <c r="K109">
        <f t="shared" ca="1" si="96"/>
        <v>101.75177572270509</v>
      </c>
      <c r="L109">
        <f t="shared" ca="1" si="96"/>
        <v>94.631000555244725</v>
      </c>
      <c r="M109">
        <f t="shared" ca="1" si="96"/>
        <v>90.242570318314804</v>
      </c>
      <c r="N109">
        <f t="shared" ca="1" si="96"/>
        <v>98.121124084866537</v>
      </c>
      <c r="O109">
        <f t="shared" ca="1" si="96"/>
        <v>97.034914693088027</v>
      </c>
      <c r="P109">
        <f t="shared" ca="1" si="96"/>
        <v>96.129011002309014</v>
      </c>
      <c r="Q109">
        <f t="shared" ca="1" si="64"/>
        <v>101.75177572270509</v>
      </c>
      <c r="R109">
        <f t="shared" ca="1" si="65"/>
        <v>0</v>
      </c>
      <c r="S109">
        <f t="shared" ca="1" si="66"/>
        <v>0</v>
      </c>
    </row>
    <row r="110" spans="5:19" x14ac:dyDescent="0.75">
      <c r="E110">
        <v>105</v>
      </c>
      <c r="F110">
        <f t="shared" si="62"/>
        <v>100</v>
      </c>
      <c r="G110">
        <f t="shared" ca="1" si="63"/>
        <v>99.849103595185014</v>
      </c>
      <c r="H110">
        <f t="shared" ca="1" si="63"/>
        <v>93.960739036258801</v>
      </c>
      <c r="I110">
        <f t="shared" ca="1" si="63"/>
        <v>89.876586857462598</v>
      </c>
      <c r="J110">
        <f t="shared" ref="J110:P110" ca="1" si="97">I110*EXP(($C$6-0.5*$C$7^2)*$C$12+$C$7*SQRT($C$12)*NORMINV(RAND(),0,1))</f>
        <v>89.858597318295523</v>
      </c>
      <c r="K110">
        <f t="shared" ca="1" si="97"/>
        <v>91.498952262627228</v>
      </c>
      <c r="L110">
        <f t="shared" ca="1" si="97"/>
        <v>94.361455371964908</v>
      </c>
      <c r="M110">
        <f t="shared" ca="1" si="97"/>
        <v>91.08310508885458</v>
      </c>
      <c r="N110">
        <f t="shared" ca="1" si="97"/>
        <v>97.69974791195412</v>
      </c>
      <c r="O110">
        <f t="shared" ca="1" si="97"/>
        <v>95.010837456018834</v>
      </c>
      <c r="P110">
        <f t="shared" ca="1" si="97"/>
        <v>95.463981223491118</v>
      </c>
      <c r="Q110">
        <f t="shared" ca="1" si="64"/>
        <v>99.849103595185014</v>
      </c>
      <c r="R110">
        <f t="shared" ca="1" si="65"/>
        <v>0</v>
      </c>
      <c r="S110">
        <f t="shared" ca="1" si="66"/>
        <v>0</v>
      </c>
    </row>
    <row r="111" spans="5:19" x14ac:dyDescent="0.75">
      <c r="E111">
        <v>106</v>
      </c>
      <c r="F111">
        <f t="shared" si="62"/>
        <v>100</v>
      </c>
      <c r="G111">
        <f t="shared" ca="1" si="63"/>
        <v>98.796325800357991</v>
      </c>
      <c r="H111">
        <f t="shared" ca="1" si="63"/>
        <v>94.978819225975926</v>
      </c>
      <c r="I111">
        <f t="shared" ca="1" si="63"/>
        <v>91.954531502712541</v>
      </c>
      <c r="J111">
        <f t="shared" ref="J111:P111" ca="1" si="98">I111*EXP(($C$6-0.5*$C$7^2)*$C$12+$C$7*SQRT($C$12)*NORMINV(RAND(),0,1))</f>
        <v>91.92323443624548</v>
      </c>
      <c r="K111">
        <f t="shared" ca="1" si="98"/>
        <v>93.144395875441305</v>
      </c>
      <c r="L111">
        <f t="shared" ca="1" si="98"/>
        <v>90.719434817207159</v>
      </c>
      <c r="M111">
        <f t="shared" ca="1" si="98"/>
        <v>85.847726654702996</v>
      </c>
      <c r="N111">
        <f t="shared" ca="1" si="98"/>
        <v>89.638403461927169</v>
      </c>
      <c r="O111">
        <f t="shared" ca="1" si="98"/>
        <v>93.085120706760989</v>
      </c>
      <c r="P111">
        <f t="shared" ca="1" si="98"/>
        <v>89.428251405319543</v>
      </c>
      <c r="Q111">
        <f t="shared" ca="1" si="64"/>
        <v>98.796325800357991</v>
      </c>
      <c r="R111">
        <f t="shared" ca="1" si="65"/>
        <v>0</v>
      </c>
      <c r="S111">
        <f t="shared" ca="1" si="66"/>
        <v>0</v>
      </c>
    </row>
    <row r="112" spans="5:19" x14ac:dyDescent="0.75">
      <c r="E112">
        <v>107</v>
      </c>
      <c r="F112">
        <f t="shared" si="62"/>
        <v>100</v>
      </c>
      <c r="G112">
        <f t="shared" ca="1" si="63"/>
        <v>101.1092521224453</v>
      </c>
      <c r="H112">
        <f t="shared" ca="1" si="63"/>
        <v>105.73170892551383</v>
      </c>
      <c r="I112">
        <f t="shared" ca="1" si="63"/>
        <v>107.30321746836569</v>
      </c>
      <c r="J112">
        <f t="shared" ref="J112:P112" ca="1" si="99">I112*EXP(($C$6-0.5*$C$7^2)*$C$12+$C$7*SQRT($C$12)*NORMINV(RAND(),0,1))</f>
        <v>107.40530399705808</v>
      </c>
      <c r="K112">
        <f t="shared" ca="1" si="99"/>
        <v>101.12764230368352</v>
      </c>
      <c r="L112">
        <f t="shared" ca="1" si="99"/>
        <v>95.225473228449914</v>
      </c>
      <c r="M112">
        <f t="shared" ca="1" si="99"/>
        <v>91.925225835452693</v>
      </c>
      <c r="N112">
        <f t="shared" ca="1" si="99"/>
        <v>94.708222692743036</v>
      </c>
      <c r="O112">
        <f t="shared" ca="1" si="99"/>
        <v>97.167540095943977</v>
      </c>
      <c r="P112">
        <f t="shared" ca="1" si="99"/>
        <v>96.785496686117796</v>
      </c>
      <c r="Q112">
        <f t="shared" ca="1" si="64"/>
        <v>107.40530399705808</v>
      </c>
      <c r="R112">
        <f t="shared" ca="1" si="65"/>
        <v>0</v>
      </c>
      <c r="S112">
        <f t="shared" ca="1" si="66"/>
        <v>0</v>
      </c>
    </row>
    <row r="113" spans="5:19" x14ac:dyDescent="0.75">
      <c r="E113">
        <v>108</v>
      </c>
      <c r="F113">
        <f t="shared" si="62"/>
        <v>100</v>
      </c>
      <c r="G113">
        <f t="shared" ca="1" si="63"/>
        <v>99.898730801465291</v>
      </c>
      <c r="H113">
        <f t="shared" ca="1" si="63"/>
        <v>103.14831021877738</v>
      </c>
      <c r="I113">
        <f t="shared" ca="1" si="63"/>
        <v>101.94645160614814</v>
      </c>
      <c r="J113">
        <f t="shared" ref="J113:P113" ca="1" si="100">I113*EXP(($C$6-0.5*$C$7^2)*$C$12+$C$7*SQRT($C$12)*NORMINV(RAND(),0,1))</f>
        <v>104.97033162984275</v>
      </c>
      <c r="K113">
        <f t="shared" ca="1" si="100"/>
        <v>105.38289610246477</v>
      </c>
      <c r="L113">
        <f t="shared" ca="1" si="100"/>
        <v>113.40679892155643</v>
      </c>
      <c r="M113">
        <f t="shared" ca="1" si="100"/>
        <v>115.24675632003002</v>
      </c>
      <c r="N113">
        <f t="shared" ca="1" si="100"/>
        <v>119.1198212123747</v>
      </c>
      <c r="O113">
        <f t="shared" ca="1" si="100"/>
        <v>129.31214635414358</v>
      </c>
      <c r="P113">
        <f t="shared" ca="1" si="100"/>
        <v>137.0023206142429</v>
      </c>
      <c r="Q113">
        <f t="shared" ca="1" si="64"/>
        <v>137.0023206142429</v>
      </c>
      <c r="R113">
        <f t="shared" ca="1" si="65"/>
        <v>0</v>
      </c>
      <c r="S113">
        <f t="shared" ca="1" si="66"/>
        <v>0</v>
      </c>
    </row>
    <row r="114" spans="5:19" x14ac:dyDescent="0.75">
      <c r="E114">
        <v>109</v>
      </c>
      <c r="F114">
        <f t="shared" si="62"/>
        <v>100</v>
      </c>
      <c r="G114">
        <f t="shared" ca="1" si="63"/>
        <v>89.000977554220526</v>
      </c>
      <c r="H114">
        <f t="shared" ca="1" si="63"/>
        <v>91.998014443479477</v>
      </c>
      <c r="I114">
        <f t="shared" ca="1" si="63"/>
        <v>96.998177395884156</v>
      </c>
      <c r="J114">
        <f t="shared" ref="J114:P114" ca="1" si="101">I114*EXP(($C$6-0.5*$C$7^2)*$C$12+$C$7*SQRT($C$12)*NORMINV(RAND(),0,1))</f>
        <v>98.322420052378732</v>
      </c>
      <c r="K114">
        <f t="shared" ca="1" si="101"/>
        <v>102.79371890740798</v>
      </c>
      <c r="L114">
        <f t="shared" ca="1" si="101"/>
        <v>101.52097002368401</v>
      </c>
      <c r="M114">
        <f t="shared" ca="1" si="101"/>
        <v>107.1296976436084</v>
      </c>
      <c r="N114">
        <f t="shared" ca="1" si="101"/>
        <v>110.5382123230807</v>
      </c>
      <c r="O114">
        <f t="shared" ca="1" si="101"/>
        <v>110.35725594826371</v>
      </c>
      <c r="P114">
        <f t="shared" ca="1" si="101"/>
        <v>118.83147111393028</v>
      </c>
      <c r="Q114">
        <f t="shared" ca="1" si="64"/>
        <v>118.83147111393028</v>
      </c>
      <c r="R114">
        <f t="shared" ca="1" si="65"/>
        <v>0</v>
      </c>
      <c r="S114">
        <f t="shared" ca="1" si="66"/>
        <v>0</v>
      </c>
    </row>
    <row r="115" spans="5:19" x14ac:dyDescent="0.75">
      <c r="E115">
        <v>110</v>
      </c>
      <c r="F115">
        <f t="shared" si="62"/>
        <v>100</v>
      </c>
      <c r="G115">
        <f t="shared" ca="1" si="63"/>
        <v>102.86716262932678</v>
      </c>
      <c r="H115">
        <f t="shared" ca="1" si="63"/>
        <v>103.41342118360437</v>
      </c>
      <c r="I115">
        <f t="shared" ca="1" si="63"/>
        <v>106.99568880979984</v>
      </c>
      <c r="J115">
        <f t="shared" ref="J115:P115" ca="1" si="102">I115*EXP(($C$6-0.5*$C$7^2)*$C$12+$C$7*SQRT($C$12)*NORMINV(RAND(),0,1))</f>
        <v>116.72893601184767</v>
      </c>
      <c r="K115">
        <f t="shared" ca="1" si="102"/>
        <v>116.40769695475926</v>
      </c>
      <c r="L115">
        <f t="shared" ca="1" si="102"/>
        <v>109.97365345055834</v>
      </c>
      <c r="M115">
        <f t="shared" ca="1" si="102"/>
        <v>114.94780045083316</v>
      </c>
      <c r="N115">
        <f t="shared" ca="1" si="102"/>
        <v>112.07254810583089</v>
      </c>
      <c r="O115">
        <f t="shared" ca="1" si="102"/>
        <v>119.96992558277987</v>
      </c>
      <c r="P115">
        <f t="shared" ca="1" si="102"/>
        <v>120.96259967773759</v>
      </c>
      <c r="Q115">
        <f t="shared" ca="1" si="64"/>
        <v>120.96259967773759</v>
      </c>
      <c r="R115">
        <f t="shared" ca="1" si="65"/>
        <v>0</v>
      </c>
      <c r="S115">
        <f t="shared" ca="1" si="66"/>
        <v>0</v>
      </c>
    </row>
    <row r="116" spans="5:19" x14ac:dyDescent="0.75">
      <c r="E116">
        <v>111</v>
      </c>
      <c r="F116">
        <f t="shared" si="62"/>
        <v>100</v>
      </c>
      <c r="G116">
        <f t="shared" ca="1" si="63"/>
        <v>89.118137145395352</v>
      </c>
      <c r="H116">
        <f t="shared" ca="1" si="63"/>
        <v>86.226616003532925</v>
      </c>
      <c r="I116">
        <f t="shared" ca="1" si="63"/>
        <v>84.436791248355632</v>
      </c>
      <c r="J116">
        <f t="shared" ref="J116:P116" ca="1" si="103">I116*EXP(($C$6-0.5*$C$7^2)*$C$12+$C$7*SQRT($C$12)*NORMINV(RAND(),0,1))</f>
        <v>87.257395156045732</v>
      </c>
      <c r="K116">
        <f t="shared" ca="1" si="103"/>
        <v>85.613828129502693</v>
      </c>
      <c r="L116">
        <f t="shared" ca="1" si="103"/>
        <v>88.919877364324236</v>
      </c>
      <c r="M116">
        <f t="shared" ca="1" si="103"/>
        <v>92.401122957704715</v>
      </c>
      <c r="N116">
        <f t="shared" ca="1" si="103"/>
        <v>85.346402695582114</v>
      </c>
      <c r="O116">
        <f t="shared" ca="1" si="103"/>
        <v>84.759370748991941</v>
      </c>
      <c r="P116">
        <f t="shared" ca="1" si="103"/>
        <v>81.532439346496076</v>
      </c>
      <c r="Q116">
        <f t="shared" ca="1" si="64"/>
        <v>92.401122957704715</v>
      </c>
      <c r="R116">
        <f t="shared" ca="1" si="65"/>
        <v>0</v>
      </c>
      <c r="S116">
        <f t="shared" ca="1" si="66"/>
        <v>0</v>
      </c>
    </row>
    <row r="117" spans="5:19" x14ac:dyDescent="0.75">
      <c r="E117">
        <v>112</v>
      </c>
      <c r="F117">
        <f t="shared" si="62"/>
        <v>100</v>
      </c>
      <c r="G117">
        <f t="shared" ca="1" si="63"/>
        <v>97.514631305480634</v>
      </c>
      <c r="H117">
        <f t="shared" ca="1" si="63"/>
        <v>97.105653191374074</v>
      </c>
      <c r="I117">
        <f t="shared" ca="1" si="63"/>
        <v>94.503539311218574</v>
      </c>
      <c r="J117">
        <f t="shared" ref="J117:P117" ca="1" si="104">I117*EXP(($C$6-0.5*$C$7^2)*$C$12+$C$7*SQRT($C$12)*NORMINV(RAND(),0,1))</f>
        <v>102.19017360856134</v>
      </c>
      <c r="K117">
        <f t="shared" ca="1" si="104"/>
        <v>104.21429962085202</v>
      </c>
      <c r="L117">
        <f t="shared" ca="1" si="104"/>
        <v>104.20418857307271</v>
      </c>
      <c r="M117">
        <f t="shared" ca="1" si="104"/>
        <v>100.83889527068077</v>
      </c>
      <c r="N117">
        <f t="shared" ca="1" si="104"/>
        <v>99.783930762994288</v>
      </c>
      <c r="O117">
        <f t="shared" ca="1" si="104"/>
        <v>110.89360577744176</v>
      </c>
      <c r="P117">
        <f t="shared" ca="1" si="104"/>
        <v>114.20601756442635</v>
      </c>
      <c r="Q117">
        <f t="shared" ca="1" si="64"/>
        <v>114.20601756442635</v>
      </c>
      <c r="R117">
        <f t="shared" ca="1" si="65"/>
        <v>0</v>
      </c>
      <c r="S117">
        <f t="shared" ca="1" si="66"/>
        <v>0</v>
      </c>
    </row>
    <row r="118" spans="5:19" x14ac:dyDescent="0.75">
      <c r="E118">
        <v>113</v>
      </c>
      <c r="F118">
        <f t="shared" si="62"/>
        <v>100</v>
      </c>
      <c r="G118">
        <f t="shared" ca="1" si="63"/>
        <v>94.244357399072996</v>
      </c>
      <c r="H118">
        <f t="shared" ca="1" si="63"/>
        <v>94.188469272410259</v>
      </c>
      <c r="I118">
        <f t="shared" ca="1" si="63"/>
        <v>97.491170336116866</v>
      </c>
      <c r="J118">
        <f t="shared" ref="J118:P118" ca="1" si="105">I118*EXP(($C$6-0.5*$C$7^2)*$C$12+$C$7*SQRT($C$12)*NORMINV(RAND(),0,1))</f>
        <v>93.474836908355243</v>
      </c>
      <c r="K118">
        <f t="shared" ca="1" si="105"/>
        <v>87.17949837964035</v>
      </c>
      <c r="L118">
        <f t="shared" ca="1" si="105"/>
        <v>85.604820111410831</v>
      </c>
      <c r="M118">
        <f t="shared" ca="1" si="105"/>
        <v>86.348140361059265</v>
      </c>
      <c r="N118">
        <f t="shared" ca="1" si="105"/>
        <v>91.29229676542495</v>
      </c>
      <c r="O118">
        <f t="shared" ca="1" si="105"/>
        <v>89.254290494351082</v>
      </c>
      <c r="P118">
        <f t="shared" ca="1" si="105"/>
        <v>98.914267922336236</v>
      </c>
      <c r="Q118">
        <f t="shared" ca="1" si="64"/>
        <v>98.914267922336236</v>
      </c>
      <c r="R118">
        <f t="shared" ca="1" si="65"/>
        <v>0</v>
      </c>
      <c r="S118">
        <f t="shared" ca="1" si="66"/>
        <v>0</v>
      </c>
    </row>
    <row r="119" spans="5:19" x14ac:dyDescent="0.75">
      <c r="E119">
        <v>114</v>
      </c>
      <c r="F119">
        <f t="shared" si="62"/>
        <v>100</v>
      </c>
      <c r="G119">
        <f t="shared" ca="1" si="63"/>
        <v>101.98151175397467</v>
      </c>
      <c r="H119">
        <f t="shared" ca="1" si="63"/>
        <v>104.88518067162416</v>
      </c>
      <c r="I119">
        <f t="shared" ca="1" si="63"/>
        <v>105.02134283092593</v>
      </c>
      <c r="J119">
        <f t="shared" ref="J119:P119" ca="1" si="106">I119*EXP(($C$6-0.5*$C$7^2)*$C$12+$C$7*SQRT($C$12)*NORMINV(RAND(),0,1))</f>
        <v>111.42961742713271</v>
      </c>
      <c r="K119">
        <f t="shared" ca="1" si="106"/>
        <v>116.01481001767451</v>
      </c>
      <c r="L119">
        <f t="shared" ca="1" si="106"/>
        <v>106.87243728193435</v>
      </c>
      <c r="M119">
        <f t="shared" ca="1" si="106"/>
        <v>110.86359821507834</v>
      </c>
      <c r="N119">
        <f t="shared" ca="1" si="106"/>
        <v>108.29340873164281</v>
      </c>
      <c r="O119">
        <f t="shared" ca="1" si="106"/>
        <v>105.18987543592043</v>
      </c>
      <c r="P119">
        <f t="shared" ca="1" si="106"/>
        <v>106.38084968146183</v>
      </c>
      <c r="Q119">
        <f t="shared" ca="1" si="64"/>
        <v>116.01481001767451</v>
      </c>
      <c r="R119">
        <f t="shared" ca="1" si="65"/>
        <v>0</v>
      </c>
      <c r="S119">
        <f t="shared" ca="1" si="66"/>
        <v>0</v>
      </c>
    </row>
    <row r="120" spans="5:19" x14ac:dyDescent="0.75">
      <c r="E120">
        <v>115</v>
      </c>
      <c r="F120">
        <f t="shared" si="62"/>
        <v>100</v>
      </c>
      <c r="G120">
        <f t="shared" ca="1" si="63"/>
        <v>101.9791197984018</v>
      </c>
      <c r="H120">
        <f t="shared" ca="1" si="63"/>
        <v>98.525973237659926</v>
      </c>
      <c r="I120">
        <f t="shared" ca="1" si="63"/>
        <v>93.912693176533651</v>
      </c>
      <c r="J120">
        <f t="shared" ref="J120:P120" ca="1" si="107">I120*EXP(($C$6-0.5*$C$7^2)*$C$12+$C$7*SQRT($C$12)*NORMINV(RAND(),0,1))</f>
        <v>85.527483207919175</v>
      </c>
      <c r="K120">
        <f t="shared" ca="1" si="107"/>
        <v>86.042927950399857</v>
      </c>
      <c r="L120">
        <f t="shared" ca="1" si="107"/>
        <v>85.495080109915691</v>
      </c>
      <c r="M120">
        <f t="shared" ca="1" si="107"/>
        <v>84.223944809972508</v>
      </c>
      <c r="N120">
        <f t="shared" ca="1" si="107"/>
        <v>80.934090164207618</v>
      </c>
      <c r="O120">
        <f t="shared" ca="1" si="107"/>
        <v>83.693490605986511</v>
      </c>
      <c r="P120">
        <f t="shared" ca="1" si="107"/>
        <v>82.871563034816447</v>
      </c>
      <c r="Q120">
        <f t="shared" ca="1" si="64"/>
        <v>101.9791197984018</v>
      </c>
      <c r="R120">
        <f t="shared" ca="1" si="65"/>
        <v>0</v>
      </c>
      <c r="S120">
        <f t="shared" ca="1" si="66"/>
        <v>0</v>
      </c>
    </row>
    <row r="121" spans="5:19" x14ac:dyDescent="0.75">
      <c r="E121">
        <v>116</v>
      </c>
      <c r="F121">
        <f t="shared" si="62"/>
        <v>100</v>
      </c>
      <c r="G121">
        <f t="shared" ca="1" si="63"/>
        <v>107.8252354144722</v>
      </c>
      <c r="H121">
        <f t="shared" ca="1" si="63"/>
        <v>104.50058933579082</v>
      </c>
      <c r="I121">
        <f t="shared" ca="1" si="63"/>
        <v>106.60329671847245</v>
      </c>
      <c r="J121">
        <f t="shared" ref="J121:P121" ca="1" si="108">I121*EXP(($C$6-0.5*$C$7^2)*$C$12+$C$7*SQRT($C$12)*NORMINV(RAND(),0,1))</f>
        <v>112.01307294961481</v>
      </c>
      <c r="K121">
        <f t="shared" ca="1" si="108"/>
        <v>118.03390272259736</v>
      </c>
      <c r="L121">
        <f t="shared" ca="1" si="108"/>
        <v>127.63434561985598</v>
      </c>
      <c r="M121">
        <f t="shared" ca="1" si="108"/>
        <v>129.98071826313858</v>
      </c>
      <c r="N121">
        <f t="shared" ca="1" si="108"/>
        <v>129.01995286899324</v>
      </c>
      <c r="O121">
        <f t="shared" ca="1" si="108"/>
        <v>132.2113229629575</v>
      </c>
      <c r="P121">
        <f t="shared" ca="1" si="108"/>
        <v>140.07241653631345</v>
      </c>
      <c r="Q121">
        <f t="shared" ca="1" si="64"/>
        <v>140.07241653631345</v>
      </c>
      <c r="R121">
        <f t="shared" ca="1" si="65"/>
        <v>0</v>
      </c>
      <c r="S121">
        <f t="shared" ca="1" si="66"/>
        <v>0</v>
      </c>
    </row>
    <row r="122" spans="5:19" x14ac:dyDescent="0.75">
      <c r="E122">
        <v>117</v>
      </c>
      <c r="F122">
        <f t="shared" si="62"/>
        <v>100</v>
      </c>
      <c r="G122">
        <f t="shared" ca="1" si="63"/>
        <v>98.523553706213391</v>
      </c>
      <c r="H122">
        <f t="shared" ca="1" si="63"/>
        <v>96.133915134064608</v>
      </c>
      <c r="I122">
        <f t="shared" ca="1" si="63"/>
        <v>99.716609743361474</v>
      </c>
      <c r="J122">
        <f t="shared" ref="J122:P122" ca="1" si="109">I122*EXP(($C$6-0.5*$C$7^2)*$C$12+$C$7*SQRT($C$12)*NORMINV(RAND(),0,1))</f>
        <v>98.249206872165757</v>
      </c>
      <c r="K122">
        <f t="shared" ca="1" si="109"/>
        <v>108.12880352540311</v>
      </c>
      <c r="L122">
        <f t="shared" ca="1" si="109"/>
        <v>117.41751701957004</v>
      </c>
      <c r="M122">
        <f t="shared" ca="1" si="109"/>
        <v>118.39357708349014</v>
      </c>
      <c r="N122">
        <f t="shared" ca="1" si="109"/>
        <v>117.34739931959805</v>
      </c>
      <c r="O122">
        <f t="shared" ca="1" si="109"/>
        <v>115.0608764202515</v>
      </c>
      <c r="P122">
        <f t="shared" ca="1" si="109"/>
        <v>108.72296751267908</v>
      </c>
      <c r="Q122">
        <f t="shared" ca="1" si="64"/>
        <v>118.39357708349014</v>
      </c>
      <c r="R122">
        <f t="shared" ca="1" si="65"/>
        <v>0</v>
      </c>
      <c r="S122">
        <f t="shared" ca="1" si="66"/>
        <v>0</v>
      </c>
    </row>
    <row r="123" spans="5:19" x14ac:dyDescent="0.75">
      <c r="E123">
        <v>118</v>
      </c>
      <c r="F123">
        <f t="shared" si="62"/>
        <v>100</v>
      </c>
      <c r="G123">
        <f t="shared" ca="1" si="63"/>
        <v>106.89518311954733</v>
      </c>
      <c r="H123">
        <f t="shared" ca="1" si="63"/>
        <v>115.89025008475058</v>
      </c>
      <c r="I123">
        <f t="shared" ca="1" si="63"/>
        <v>116.43462705386345</v>
      </c>
      <c r="J123">
        <f t="shared" ref="J123:P123" ca="1" si="110">I123*EXP(($C$6-0.5*$C$7^2)*$C$12+$C$7*SQRT($C$12)*NORMINV(RAND(),0,1))</f>
        <v>116.93343802330277</v>
      </c>
      <c r="K123">
        <f t="shared" ca="1" si="110"/>
        <v>119.59345993647315</v>
      </c>
      <c r="L123">
        <f t="shared" ca="1" si="110"/>
        <v>120.84024974132784</v>
      </c>
      <c r="M123">
        <f t="shared" ca="1" si="110"/>
        <v>112.34361402462842</v>
      </c>
      <c r="N123">
        <f t="shared" ca="1" si="110"/>
        <v>117.97813975754819</v>
      </c>
      <c r="O123">
        <f t="shared" ca="1" si="110"/>
        <v>116.72511328878689</v>
      </c>
      <c r="P123">
        <f t="shared" ca="1" si="110"/>
        <v>105.89905309235377</v>
      </c>
      <c r="Q123">
        <f t="shared" ca="1" si="64"/>
        <v>120.84024974132784</v>
      </c>
      <c r="R123">
        <f t="shared" ca="1" si="65"/>
        <v>0</v>
      </c>
      <c r="S123">
        <f t="shared" ca="1" si="66"/>
        <v>0</v>
      </c>
    </row>
    <row r="124" spans="5:19" x14ac:dyDescent="0.75">
      <c r="E124">
        <v>119</v>
      </c>
      <c r="F124">
        <f t="shared" si="62"/>
        <v>100</v>
      </c>
      <c r="G124">
        <f t="shared" ca="1" si="63"/>
        <v>112.66545138840813</v>
      </c>
      <c r="H124">
        <f t="shared" ca="1" si="63"/>
        <v>104.53618187252675</v>
      </c>
      <c r="I124">
        <f t="shared" ca="1" si="63"/>
        <v>100.17830325473732</v>
      </c>
      <c r="J124">
        <f t="shared" ref="J124:P124" ca="1" si="111">I124*EXP(($C$6-0.5*$C$7^2)*$C$12+$C$7*SQRT($C$12)*NORMINV(RAND(),0,1))</f>
        <v>93.29447775997798</v>
      </c>
      <c r="K124">
        <f t="shared" ca="1" si="111"/>
        <v>93.102297753560819</v>
      </c>
      <c r="L124">
        <f t="shared" ca="1" si="111"/>
        <v>88.610348830876276</v>
      </c>
      <c r="M124">
        <f t="shared" ca="1" si="111"/>
        <v>86.033366649164975</v>
      </c>
      <c r="N124">
        <f t="shared" ca="1" si="111"/>
        <v>80.171873959276638</v>
      </c>
      <c r="O124">
        <f t="shared" ca="1" si="111"/>
        <v>82.602378858201476</v>
      </c>
      <c r="P124">
        <f t="shared" ca="1" si="111"/>
        <v>86.066592890545508</v>
      </c>
      <c r="Q124">
        <f t="shared" ca="1" si="64"/>
        <v>112.66545138840813</v>
      </c>
      <c r="R124">
        <f t="shared" ca="1" si="65"/>
        <v>0</v>
      </c>
      <c r="S124">
        <f t="shared" ca="1" si="66"/>
        <v>0</v>
      </c>
    </row>
    <row r="125" spans="5:19" x14ac:dyDescent="0.75">
      <c r="E125">
        <v>120</v>
      </c>
      <c r="F125">
        <f t="shared" si="62"/>
        <v>100</v>
      </c>
      <c r="G125">
        <f t="shared" ca="1" si="63"/>
        <v>104.30226837856824</v>
      </c>
      <c r="H125">
        <f t="shared" ca="1" si="63"/>
        <v>97.179508344231351</v>
      </c>
      <c r="I125">
        <f t="shared" ca="1" si="63"/>
        <v>103.95646392827307</v>
      </c>
      <c r="J125">
        <f t="shared" ref="J125:P125" ca="1" si="112">I125*EXP(($C$6-0.5*$C$7^2)*$C$12+$C$7*SQRT($C$12)*NORMINV(RAND(),0,1))</f>
        <v>110.00082843830646</v>
      </c>
      <c r="K125">
        <f t="shared" ca="1" si="112"/>
        <v>115.60168422696343</v>
      </c>
      <c r="L125">
        <f t="shared" ca="1" si="112"/>
        <v>115.36134127132773</v>
      </c>
      <c r="M125">
        <f t="shared" ca="1" si="112"/>
        <v>113.56551214022335</v>
      </c>
      <c r="N125">
        <f t="shared" ca="1" si="112"/>
        <v>116.08988206144591</v>
      </c>
      <c r="O125">
        <f t="shared" ca="1" si="112"/>
        <v>118.63754916872064</v>
      </c>
      <c r="P125">
        <f t="shared" ca="1" si="112"/>
        <v>124.14773121211029</v>
      </c>
      <c r="Q125">
        <f t="shared" ca="1" si="64"/>
        <v>124.14773121211029</v>
      </c>
      <c r="R125">
        <f t="shared" ca="1" si="65"/>
        <v>0</v>
      </c>
      <c r="S125">
        <f t="shared" ca="1" si="66"/>
        <v>0</v>
      </c>
    </row>
    <row r="126" spans="5:19" x14ac:dyDescent="0.75">
      <c r="E126">
        <v>121</v>
      </c>
      <c r="F126">
        <f t="shared" si="62"/>
        <v>100</v>
      </c>
      <c r="G126">
        <f t="shared" ca="1" si="63"/>
        <v>96.568069872197526</v>
      </c>
      <c r="H126">
        <f t="shared" ca="1" si="63"/>
        <v>93.135546209920889</v>
      </c>
      <c r="I126">
        <f t="shared" ca="1" si="63"/>
        <v>93.794243723162097</v>
      </c>
      <c r="J126">
        <f t="shared" ref="J126:P126" ca="1" si="113">I126*EXP(($C$6-0.5*$C$7^2)*$C$12+$C$7*SQRT($C$12)*NORMINV(RAND(),0,1))</f>
        <v>99.361615801921914</v>
      </c>
      <c r="K126">
        <f t="shared" ca="1" si="113"/>
        <v>92.013962296523502</v>
      </c>
      <c r="L126">
        <f t="shared" ca="1" si="113"/>
        <v>84.598918556019342</v>
      </c>
      <c r="M126">
        <f t="shared" ca="1" si="113"/>
        <v>90.151823988130289</v>
      </c>
      <c r="N126">
        <f t="shared" ca="1" si="113"/>
        <v>95.255416394521248</v>
      </c>
      <c r="O126">
        <f t="shared" ca="1" si="113"/>
        <v>101.05875511559837</v>
      </c>
      <c r="P126">
        <f t="shared" ca="1" si="113"/>
        <v>95.333930953558365</v>
      </c>
      <c r="Q126">
        <f t="shared" ca="1" si="64"/>
        <v>101.05875511559837</v>
      </c>
      <c r="R126">
        <f t="shared" ca="1" si="65"/>
        <v>0</v>
      </c>
      <c r="S126">
        <f t="shared" ca="1" si="66"/>
        <v>0</v>
      </c>
    </row>
    <row r="127" spans="5:19" x14ac:dyDescent="0.75">
      <c r="E127">
        <v>122</v>
      </c>
      <c r="F127">
        <f t="shared" si="62"/>
        <v>100</v>
      </c>
      <c r="G127">
        <f t="shared" ca="1" si="63"/>
        <v>104.25876966042702</v>
      </c>
      <c r="H127">
        <f t="shared" ca="1" si="63"/>
        <v>110.35330576539151</v>
      </c>
      <c r="I127">
        <f t="shared" ca="1" si="63"/>
        <v>115.30937778408075</v>
      </c>
      <c r="J127">
        <f t="shared" ref="J127:P127" ca="1" si="114">I127*EXP(($C$6-0.5*$C$7^2)*$C$12+$C$7*SQRT($C$12)*NORMINV(RAND(),0,1))</f>
        <v>109.76553578946546</v>
      </c>
      <c r="K127">
        <f t="shared" ca="1" si="114"/>
        <v>114.39320731014183</v>
      </c>
      <c r="L127">
        <f t="shared" ca="1" si="114"/>
        <v>108.95852763020903</v>
      </c>
      <c r="M127">
        <f t="shared" ca="1" si="114"/>
        <v>108.51105765651455</v>
      </c>
      <c r="N127">
        <f t="shared" ca="1" si="114"/>
        <v>107.53069225155807</v>
      </c>
      <c r="O127">
        <f t="shared" ca="1" si="114"/>
        <v>112.5088971023861</v>
      </c>
      <c r="P127">
        <f t="shared" ca="1" si="114"/>
        <v>119.18423597078292</v>
      </c>
      <c r="Q127">
        <f t="shared" ca="1" si="64"/>
        <v>119.18423597078292</v>
      </c>
      <c r="R127">
        <f t="shared" ca="1" si="65"/>
        <v>0</v>
      </c>
      <c r="S127">
        <f t="shared" ca="1" si="66"/>
        <v>0</v>
      </c>
    </row>
    <row r="128" spans="5:19" x14ac:dyDescent="0.75">
      <c r="E128">
        <v>123</v>
      </c>
      <c r="F128">
        <f t="shared" si="62"/>
        <v>100</v>
      </c>
      <c r="G128">
        <f t="shared" ca="1" si="63"/>
        <v>101.62102729134841</v>
      </c>
      <c r="H128">
        <f t="shared" ca="1" si="63"/>
        <v>102.26187149633783</v>
      </c>
      <c r="I128">
        <f t="shared" ca="1" si="63"/>
        <v>92.522851401320438</v>
      </c>
      <c r="J128">
        <f t="shared" ref="J128:P128" ca="1" si="115">I128*EXP(($C$6-0.5*$C$7^2)*$C$12+$C$7*SQRT($C$12)*NORMINV(RAND(),0,1))</f>
        <v>85.560948090153843</v>
      </c>
      <c r="K128">
        <f t="shared" ca="1" si="115"/>
        <v>82.063941106614379</v>
      </c>
      <c r="L128">
        <f t="shared" ca="1" si="115"/>
        <v>79.2619618802254</v>
      </c>
      <c r="M128">
        <f t="shared" ca="1" si="115"/>
        <v>79.809716887339107</v>
      </c>
      <c r="N128">
        <f t="shared" ca="1" si="115"/>
        <v>79.563299065496835</v>
      </c>
      <c r="O128">
        <f t="shared" ca="1" si="115"/>
        <v>70.939012817438766</v>
      </c>
      <c r="P128">
        <f t="shared" ca="1" si="115"/>
        <v>76.763667336756683</v>
      </c>
      <c r="Q128">
        <f t="shared" ca="1" si="64"/>
        <v>102.26187149633783</v>
      </c>
      <c r="R128">
        <f t="shared" ca="1" si="65"/>
        <v>0</v>
      </c>
      <c r="S128">
        <f t="shared" ca="1" si="66"/>
        <v>0</v>
      </c>
    </row>
    <row r="129" spans="5:19" x14ac:dyDescent="0.75">
      <c r="E129">
        <v>124</v>
      </c>
      <c r="F129">
        <f t="shared" si="62"/>
        <v>100</v>
      </c>
      <c r="G129">
        <f t="shared" ca="1" si="63"/>
        <v>98.113977901186132</v>
      </c>
      <c r="H129">
        <f t="shared" ca="1" si="63"/>
        <v>96.775592909287766</v>
      </c>
      <c r="I129">
        <f t="shared" ca="1" si="63"/>
        <v>99.592574318404999</v>
      </c>
      <c r="J129">
        <f t="shared" ref="J129:P129" ca="1" si="116">I129*EXP(($C$6-0.5*$C$7^2)*$C$12+$C$7*SQRT($C$12)*NORMINV(RAND(),0,1))</f>
        <v>101.3021501058212</v>
      </c>
      <c r="K129">
        <f t="shared" ca="1" si="116"/>
        <v>95.369508778183629</v>
      </c>
      <c r="L129">
        <f t="shared" ca="1" si="116"/>
        <v>94.93783125035651</v>
      </c>
      <c r="M129">
        <f t="shared" ca="1" si="116"/>
        <v>98.474452197335069</v>
      </c>
      <c r="N129">
        <f t="shared" ca="1" si="116"/>
        <v>98.839998462759908</v>
      </c>
      <c r="O129">
        <f t="shared" ca="1" si="116"/>
        <v>98.78156969127636</v>
      </c>
      <c r="P129">
        <f t="shared" ca="1" si="116"/>
        <v>104.08676492475755</v>
      </c>
      <c r="Q129">
        <f t="shared" ca="1" si="64"/>
        <v>104.08676492475755</v>
      </c>
      <c r="R129">
        <f t="shared" ca="1" si="65"/>
        <v>2.0867649247575457</v>
      </c>
      <c r="S129">
        <f t="shared" ca="1" si="66"/>
        <v>2.035242515189092</v>
      </c>
    </row>
    <row r="130" spans="5:19" x14ac:dyDescent="0.75">
      <c r="E130">
        <v>125</v>
      </c>
      <c r="F130">
        <f t="shared" si="62"/>
        <v>100</v>
      </c>
      <c r="G130">
        <f t="shared" ca="1" si="63"/>
        <v>98.42673458052306</v>
      </c>
      <c r="H130">
        <f t="shared" ca="1" si="63"/>
        <v>115.90932250014366</v>
      </c>
      <c r="I130">
        <f t="shared" ca="1" si="63"/>
        <v>114.59053042062172</v>
      </c>
      <c r="J130">
        <f t="shared" ref="J130:P130" ca="1" si="117">I130*EXP(($C$6-0.5*$C$7^2)*$C$12+$C$7*SQRT($C$12)*NORMINV(RAND(),0,1))</f>
        <v>100.20803105218953</v>
      </c>
      <c r="K130">
        <f t="shared" ca="1" si="117"/>
        <v>99.972640223674915</v>
      </c>
      <c r="L130">
        <f t="shared" ca="1" si="117"/>
        <v>99.087289454214755</v>
      </c>
      <c r="M130">
        <f t="shared" ca="1" si="117"/>
        <v>105.00733732504779</v>
      </c>
      <c r="N130">
        <f t="shared" ca="1" si="117"/>
        <v>113.87775190867781</v>
      </c>
      <c r="O130">
        <f t="shared" ca="1" si="117"/>
        <v>118.8785044692422</v>
      </c>
      <c r="P130">
        <f t="shared" ca="1" si="117"/>
        <v>115.36158144923373</v>
      </c>
      <c r="Q130">
        <f t="shared" ca="1" si="64"/>
        <v>118.8785044692422</v>
      </c>
      <c r="R130">
        <f t="shared" ca="1" si="65"/>
        <v>0</v>
      </c>
      <c r="S130">
        <f t="shared" ca="1" si="66"/>
        <v>0</v>
      </c>
    </row>
    <row r="131" spans="5:19" x14ac:dyDescent="0.75">
      <c r="E131">
        <v>126</v>
      </c>
      <c r="F131">
        <f t="shared" si="62"/>
        <v>100</v>
      </c>
      <c r="G131">
        <f t="shared" ca="1" si="63"/>
        <v>100.99499272071645</v>
      </c>
      <c r="H131">
        <f t="shared" ca="1" si="63"/>
        <v>105.16961548581314</v>
      </c>
      <c r="I131">
        <f t="shared" ca="1" si="63"/>
        <v>105.05623775242715</v>
      </c>
      <c r="J131">
        <f t="shared" ref="J131:P131" ca="1" si="118">I131*EXP(($C$6-0.5*$C$7^2)*$C$12+$C$7*SQRT($C$12)*NORMINV(RAND(),0,1))</f>
        <v>105.28838004106596</v>
      </c>
      <c r="K131">
        <f t="shared" ca="1" si="118"/>
        <v>109.03261239950479</v>
      </c>
      <c r="L131">
        <f t="shared" ca="1" si="118"/>
        <v>108.62771495248823</v>
      </c>
      <c r="M131">
        <f t="shared" ca="1" si="118"/>
        <v>107.03422360784927</v>
      </c>
      <c r="N131">
        <f t="shared" ca="1" si="118"/>
        <v>106.66358991042529</v>
      </c>
      <c r="O131">
        <f t="shared" ca="1" si="118"/>
        <v>113.03355210596726</v>
      </c>
      <c r="P131">
        <f t="shared" ca="1" si="118"/>
        <v>120.95408989959734</v>
      </c>
      <c r="Q131">
        <f t="shared" ca="1" si="64"/>
        <v>120.95408989959734</v>
      </c>
      <c r="R131">
        <f t="shared" ca="1" si="65"/>
        <v>0</v>
      </c>
      <c r="S131">
        <f t="shared" ca="1" si="66"/>
        <v>0</v>
      </c>
    </row>
    <row r="132" spans="5:19" x14ac:dyDescent="0.75">
      <c r="E132">
        <v>127</v>
      </c>
      <c r="F132">
        <f t="shared" si="62"/>
        <v>100</v>
      </c>
      <c r="G132">
        <f t="shared" ca="1" si="63"/>
        <v>112.24881417502863</v>
      </c>
      <c r="H132">
        <f t="shared" ca="1" si="63"/>
        <v>116.82433719091652</v>
      </c>
      <c r="I132">
        <f t="shared" ca="1" si="63"/>
        <v>117.42124225113697</v>
      </c>
      <c r="J132">
        <f t="shared" ref="J132:P132" ca="1" si="119">I132*EXP(($C$6-0.5*$C$7^2)*$C$12+$C$7*SQRT($C$12)*NORMINV(RAND(),0,1))</f>
        <v>112.10564719285189</v>
      </c>
      <c r="K132">
        <f t="shared" ca="1" si="119"/>
        <v>108.07710685674164</v>
      </c>
      <c r="L132">
        <f t="shared" ca="1" si="119"/>
        <v>109.27400797254731</v>
      </c>
      <c r="M132">
        <f t="shared" ca="1" si="119"/>
        <v>115.41155251149968</v>
      </c>
      <c r="N132">
        <f t="shared" ca="1" si="119"/>
        <v>112.69650126143844</v>
      </c>
      <c r="O132">
        <f t="shared" ca="1" si="119"/>
        <v>115.379513554792</v>
      </c>
      <c r="P132">
        <f t="shared" ca="1" si="119"/>
        <v>122.1130661541433</v>
      </c>
      <c r="Q132">
        <f t="shared" ca="1" si="64"/>
        <v>122.1130661541433</v>
      </c>
      <c r="R132">
        <f t="shared" ca="1" si="65"/>
        <v>0</v>
      </c>
      <c r="S132">
        <f t="shared" ca="1" si="66"/>
        <v>0</v>
      </c>
    </row>
    <row r="133" spans="5:19" x14ac:dyDescent="0.75">
      <c r="E133">
        <v>128</v>
      </c>
      <c r="F133">
        <f t="shared" si="62"/>
        <v>100</v>
      </c>
      <c r="G133">
        <f t="shared" ca="1" si="63"/>
        <v>100.15038650875896</v>
      </c>
      <c r="H133">
        <f t="shared" ca="1" si="63"/>
        <v>96.618722874777063</v>
      </c>
      <c r="I133">
        <f t="shared" ca="1" si="63"/>
        <v>94.007649424921766</v>
      </c>
      <c r="J133">
        <f t="shared" ref="J133:P133" ca="1" si="120">I133*EXP(($C$6-0.5*$C$7^2)*$C$12+$C$7*SQRT($C$12)*NORMINV(RAND(),0,1))</f>
        <v>89.531740513717409</v>
      </c>
      <c r="K133">
        <f t="shared" ca="1" si="120"/>
        <v>88.739339931513072</v>
      </c>
      <c r="L133">
        <f t="shared" ca="1" si="120"/>
        <v>78.742757127271929</v>
      </c>
      <c r="M133">
        <f t="shared" ca="1" si="120"/>
        <v>75.694325719207086</v>
      </c>
      <c r="N133">
        <f t="shared" ca="1" si="120"/>
        <v>73.625851513040686</v>
      </c>
      <c r="O133">
        <f t="shared" ca="1" si="120"/>
        <v>75.253634987756115</v>
      </c>
      <c r="P133">
        <f t="shared" ca="1" si="120"/>
        <v>74.660684678577269</v>
      </c>
      <c r="Q133">
        <f t="shared" ca="1" si="64"/>
        <v>100.15038650875896</v>
      </c>
      <c r="R133">
        <f t="shared" ca="1" si="65"/>
        <v>0</v>
      </c>
      <c r="S133">
        <f t="shared" ca="1" si="66"/>
        <v>0</v>
      </c>
    </row>
    <row r="134" spans="5:19" x14ac:dyDescent="0.75">
      <c r="E134">
        <v>129</v>
      </c>
      <c r="F134">
        <f t="shared" si="62"/>
        <v>100</v>
      </c>
      <c r="G134">
        <f t="shared" ca="1" si="63"/>
        <v>95.682197837251053</v>
      </c>
      <c r="H134">
        <f t="shared" ca="1" si="63"/>
        <v>93.305326833593966</v>
      </c>
      <c r="I134">
        <f t="shared" ca="1" si="63"/>
        <v>89.584750140015544</v>
      </c>
      <c r="J134">
        <f t="shared" ref="J134:P134" ca="1" si="121">I134*EXP(($C$6-0.5*$C$7^2)*$C$12+$C$7*SQRT($C$12)*NORMINV(RAND(),0,1))</f>
        <v>98.223849280943895</v>
      </c>
      <c r="K134">
        <f t="shared" ca="1" si="121"/>
        <v>103.8393572750897</v>
      </c>
      <c r="L134">
        <f t="shared" ca="1" si="121"/>
        <v>106.09560819658873</v>
      </c>
      <c r="M134">
        <f t="shared" ca="1" si="121"/>
        <v>119.93744521914053</v>
      </c>
      <c r="N134">
        <f t="shared" ca="1" si="121"/>
        <v>124.3618661931278</v>
      </c>
      <c r="O134">
        <f t="shared" ca="1" si="121"/>
        <v>123.74581283735893</v>
      </c>
      <c r="P134">
        <f t="shared" ca="1" si="121"/>
        <v>116.47930170620711</v>
      </c>
      <c r="Q134">
        <f t="shared" ca="1" si="64"/>
        <v>124.3618661931278</v>
      </c>
      <c r="R134">
        <f t="shared" ca="1" si="65"/>
        <v>0</v>
      </c>
      <c r="S134">
        <f t="shared" ca="1" si="66"/>
        <v>0</v>
      </c>
    </row>
    <row r="135" spans="5:19" x14ac:dyDescent="0.75">
      <c r="E135">
        <v>130</v>
      </c>
      <c r="F135">
        <f t="shared" ref="F135:F198" si="122">$C$5</f>
        <v>100</v>
      </c>
      <c r="G135">
        <f t="shared" ref="G135:P198" ca="1" si="123">F135*EXP(($C$6-0.5*$C$7^2)*$C$12+$C$7*SQRT($C$12)*NORMINV(RAND(),0,1))</f>
        <v>100.50975468480037</v>
      </c>
      <c r="H135">
        <f t="shared" ca="1" si="123"/>
        <v>103.99133413379704</v>
      </c>
      <c r="I135">
        <f t="shared" ca="1" si="123"/>
        <v>108.70772496895884</v>
      </c>
      <c r="J135">
        <f t="shared" ca="1" si="123"/>
        <v>103.85096644868527</v>
      </c>
      <c r="K135">
        <f t="shared" ca="1" si="123"/>
        <v>99.240870782853918</v>
      </c>
      <c r="L135">
        <f t="shared" ca="1" si="123"/>
        <v>103.90222443276572</v>
      </c>
      <c r="M135">
        <f t="shared" ca="1" si="123"/>
        <v>105.72243678346975</v>
      </c>
      <c r="N135">
        <f t="shared" ca="1" si="123"/>
        <v>103.42469937775927</v>
      </c>
      <c r="O135">
        <f t="shared" ca="1" si="123"/>
        <v>106.38398808976547</v>
      </c>
      <c r="P135">
        <f t="shared" ca="1" si="123"/>
        <v>112.51954514551558</v>
      </c>
      <c r="Q135">
        <f t="shared" ref="Q135:Q198" ca="1" si="124">MAX(G135:P135)</f>
        <v>112.51954514551558</v>
      </c>
      <c r="R135">
        <f t="shared" ref="R135:R198" ca="1" si="125">IF(Q135&gt;=$C$13,0, MAX(P135-$C$9,0))</f>
        <v>0</v>
      </c>
      <c r="S135">
        <f t="shared" ref="S135:S198" ca="1" si="126">EXP(-$C$6*$C$8)*R135</f>
        <v>0</v>
      </c>
    </row>
    <row r="136" spans="5:19" x14ac:dyDescent="0.75">
      <c r="E136">
        <v>131</v>
      </c>
      <c r="F136">
        <f t="shared" si="122"/>
        <v>100</v>
      </c>
      <c r="G136">
        <f t="shared" ca="1" si="123"/>
        <v>99.385423422489765</v>
      </c>
      <c r="H136">
        <f t="shared" ca="1" si="123"/>
        <v>101.51003146132476</v>
      </c>
      <c r="I136">
        <f t="shared" ca="1" si="123"/>
        <v>102.18370620853484</v>
      </c>
      <c r="J136">
        <f t="shared" ca="1" si="123"/>
        <v>105.94457818030983</v>
      </c>
      <c r="K136">
        <f t="shared" ca="1" si="123"/>
        <v>110.37868234608619</v>
      </c>
      <c r="L136">
        <f t="shared" ca="1" si="123"/>
        <v>108.93510120127307</v>
      </c>
      <c r="M136">
        <f t="shared" ca="1" si="123"/>
        <v>107.1098287826195</v>
      </c>
      <c r="N136">
        <f t="shared" ca="1" si="123"/>
        <v>101.31990198097262</v>
      </c>
      <c r="O136">
        <f t="shared" ca="1" si="123"/>
        <v>94.60568636589457</v>
      </c>
      <c r="P136">
        <f t="shared" ca="1" si="123"/>
        <v>90.676157875635255</v>
      </c>
      <c r="Q136">
        <f t="shared" ca="1" si="124"/>
        <v>110.37868234608619</v>
      </c>
      <c r="R136">
        <f t="shared" ca="1" si="125"/>
        <v>0</v>
      </c>
      <c r="S136">
        <f t="shared" ca="1" si="126"/>
        <v>0</v>
      </c>
    </row>
    <row r="137" spans="5:19" x14ac:dyDescent="0.75">
      <c r="E137">
        <v>132</v>
      </c>
      <c r="F137">
        <f t="shared" si="122"/>
        <v>100</v>
      </c>
      <c r="G137">
        <f t="shared" ca="1" si="123"/>
        <v>95.40642044670291</v>
      </c>
      <c r="H137">
        <f t="shared" ca="1" si="123"/>
        <v>96.228514768757009</v>
      </c>
      <c r="I137">
        <f t="shared" ca="1" si="123"/>
        <v>96.484610256814008</v>
      </c>
      <c r="J137">
        <f t="shared" ca="1" si="123"/>
        <v>98.004656182193202</v>
      </c>
      <c r="K137">
        <f t="shared" ca="1" si="123"/>
        <v>93.843438848379009</v>
      </c>
      <c r="L137">
        <f t="shared" ca="1" si="123"/>
        <v>88.885835124220307</v>
      </c>
      <c r="M137">
        <f t="shared" ca="1" si="123"/>
        <v>88.718938751241978</v>
      </c>
      <c r="N137">
        <f t="shared" ca="1" si="123"/>
        <v>85.917613348686658</v>
      </c>
      <c r="O137">
        <f t="shared" ca="1" si="123"/>
        <v>82.976991570049648</v>
      </c>
      <c r="P137">
        <f t="shared" ca="1" si="123"/>
        <v>86.664361083552478</v>
      </c>
      <c r="Q137">
        <f t="shared" ca="1" si="124"/>
        <v>98.004656182193202</v>
      </c>
      <c r="R137">
        <f t="shared" ca="1" si="125"/>
        <v>0</v>
      </c>
      <c r="S137">
        <f t="shared" ca="1" si="126"/>
        <v>0</v>
      </c>
    </row>
    <row r="138" spans="5:19" x14ac:dyDescent="0.75">
      <c r="E138">
        <v>133</v>
      </c>
      <c r="F138">
        <f t="shared" si="122"/>
        <v>100</v>
      </c>
      <c r="G138">
        <f t="shared" ca="1" si="123"/>
        <v>96.089311906650877</v>
      </c>
      <c r="H138">
        <f t="shared" ca="1" si="123"/>
        <v>94.957879812934038</v>
      </c>
      <c r="I138">
        <f t="shared" ca="1" si="123"/>
        <v>92.221771743753436</v>
      </c>
      <c r="J138">
        <f t="shared" ca="1" si="123"/>
        <v>86.509980403666333</v>
      </c>
      <c r="K138">
        <f t="shared" ca="1" si="123"/>
        <v>86.462596942199312</v>
      </c>
      <c r="L138">
        <f t="shared" ca="1" si="123"/>
        <v>84.793579006366286</v>
      </c>
      <c r="M138">
        <f t="shared" ca="1" si="123"/>
        <v>77.137243805180475</v>
      </c>
      <c r="N138">
        <f t="shared" ca="1" si="123"/>
        <v>75.23561456983154</v>
      </c>
      <c r="O138">
        <f t="shared" ca="1" si="123"/>
        <v>76.02803246101557</v>
      </c>
      <c r="P138">
        <f t="shared" ca="1" si="123"/>
        <v>79.949646446917612</v>
      </c>
      <c r="Q138">
        <f t="shared" ca="1" si="124"/>
        <v>96.089311906650877</v>
      </c>
      <c r="R138">
        <f t="shared" ca="1" si="125"/>
        <v>0</v>
      </c>
      <c r="S138">
        <f t="shared" ca="1" si="126"/>
        <v>0</v>
      </c>
    </row>
    <row r="139" spans="5:19" x14ac:dyDescent="0.75">
      <c r="E139">
        <v>134</v>
      </c>
      <c r="F139">
        <f t="shared" si="122"/>
        <v>100</v>
      </c>
      <c r="G139">
        <f t="shared" ca="1" si="123"/>
        <v>104.49889892194366</v>
      </c>
      <c r="H139">
        <f t="shared" ca="1" si="123"/>
        <v>98.65645196665551</v>
      </c>
      <c r="I139">
        <f t="shared" ca="1" si="123"/>
        <v>96.437116178118615</v>
      </c>
      <c r="J139">
        <f t="shared" ca="1" si="123"/>
        <v>97.643280092730137</v>
      </c>
      <c r="K139">
        <f t="shared" ca="1" si="123"/>
        <v>91.367007773345463</v>
      </c>
      <c r="L139">
        <f t="shared" ca="1" si="123"/>
        <v>94.501488216871863</v>
      </c>
      <c r="M139">
        <f t="shared" ca="1" si="123"/>
        <v>99.950193460881636</v>
      </c>
      <c r="N139">
        <f t="shared" ca="1" si="123"/>
        <v>102.43864325489663</v>
      </c>
      <c r="O139">
        <f t="shared" ca="1" si="123"/>
        <v>98.116600612932928</v>
      </c>
      <c r="P139">
        <f t="shared" ca="1" si="123"/>
        <v>96.112752858814758</v>
      </c>
      <c r="Q139">
        <f t="shared" ca="1" si="124"/>
        <v>104.49889892194366</v>
      </c>
      <c r="R139">
        <f t="shared" ca="1" si="125"/>
        <v>0</v>
      </c>
      <c r="S139">
        <f t="shared" ca="1" si="126"/>
        <v>0</v>
      </c>
    </row>
    <row r="140" spans="5:19" x14ac:dyDescent="0.75">
      <c r="E140">
        <v>135</v>
      </c>
      <c r="F140">
        <f t="shared" si="122"/>
        <v>100</v>
      </c>
      <c r="G140">
        <f t="shared" ca="1" si="123"/>
        <v>96.21787138638517</v>
      </c>
      <c r="H140">
        <f t="shared" ca="1" si="123"/>
        <v>99.974293267052488</v>
      </c>
      <c r="I140">
        <f t="shared" ca="1" si="123"/>
        <v>94.958221786183088</v>
      </c>
      <c r="J140">
        <f t="shared" ca="1" si="123"/>
        <v>98.458418246466621</v>
      </c>
      <c r="K140">
        <f t="shared" ca="1" si="123"/>
        <v>103.00783327542467</v>
      </c>
      <c r="L140">
        <f t="shared" ca="1" si="123"/>
        <v>106.36858812409211</v>
      </c>
      <c r="M140">
        <f t="shared" ca="1" si="123"/>
        <v>103.65180376341142</v>
      </c>
      <c r="N140">
        <f t="shared" ca="1" si="123"/>
        <v>100.15754332023835</v>
      </c>
      <c r="O140">
        <f t="shared" ca="1" si="123"/>
        <v>101.45239368371405</v>
      </c>
      <c r="P140">
        <f t="shared" ca="1" si="123"/>
        <v>99.955218463148611</v>
      </c>
      <c r="Q140">
        <f t="shared" ca="1" si="124"/>
        <v>106.36858812409211</v>
      </c>
      <c r="R140">
        <f t="shared" ca="1" si="125"/>
        <v>0</v>
      </c>
      <c r="S140">
        <f t="shared" ca="1" si="126"/>
        <v>0</v>
      </c>
    </row>
    <row r="141" spans="5:19" x14ac:dyDescent="0.75">
      <c r="E141">
        <v>136</v>
      </c>
      <c r="F141">
        <f t="shared" si="122"/>
        <v>100</v>
      </c>
      <c r="G141">
        <f t="shared" ca="1" si="123"/>
        <v>101.6734321794505</v>
      </c>
      <c r="H141">
        <f t="shared" ca="1" si="123"/>
        <v>98.379570180760211</v>
      </c>
      <c r="I141">
        <f t="shared" ca="1" si="123"/>
        <v>106.43780545276617</v>
      </c>
      <c r="J141">
        <f t="shared" ca="1" si="123"/>
        <v>107.32143834594709</v>
      </c>
      <c r="K141">
        <f t="shared" ca="1" si="123"/>
        <v>110.40116184869051</v>
      </c>
      <c r="L141">
        <f t="shared" ca="1" si="123"/>
        <v>103.9428662614097</v>
      </c>
      <c r="M141">
        <f t="shared" ca="1" si="123"/>
        <v>98.290849259159259</v>
      </c>
      <c r="N141">
        <f t="shared" ca="1" si="123"/>
        <v>96.670114253172628</v>
      </c>
      <c r="O141">
        <f t="shared" ca="1" si="123"/>
        <v>95.936339688756632</v>
      </c>
      <c r="P141">
        <f t="shared" ca="1" si="123"/>
        <v>97.30530873918056</v>
      </c>
      <c r="Q141">
        <f t="shared" ca="1" si="124"/>
        <v>110.40116184869051</v>
      </c>
      <c r="R141">
        <f t="shared" ca="1" si="125"/>
        <v>0</v>
      </c>
      <c r="S141">
        <f t="shared" ca="1" si="126"/>
        <v>0</v>
      </c>
    </row>
    <row r="142" spans="5:19" x14ac:dyDescent="0.75">
      <c r="E142">
        <v>137</v>
      </c>
      <c r="F142">
        <f t="shared" si="122"/>
        <v>100</v>
      </c>
      <c r="G142">
        <f t="shared" ca="1" si="123"/>
        <v>99.5723104980828</v>
      </c>
      <c r="H142">
        <f t="shared" ca="1" si="123"/>
        <v>99.668695542621407</v>
      </c>
      <c r="I142">
        <f t="shared" ca="1" si="123"/>
        <v>95.681508250248768</v>
      </c>
      <c r="J142">
        <f t="shared" ca="1" si="123"/>
        <v>99.686775044800356</v>
      </c>
      <c r="K142">
        <f t="shared" ca="1" si="123"/>
        <v>101.43838512715492</v>
      </c>
      <c r="L142">
        <f t="shared" ca="1" si="123"/>
        <v>109.65077120604643</v>
      </c>
      <c r="M142">
        <f t="shared" ca="1" si="123"/>
        <v>107.8434156289882</v>
      </c>
      <c r="N142">
        <f t="shared" ca="1" si="123"/>
        <v>109.62181035636856</v>
      </c>
      <c r="O142">
        <f t="shared" ca="1" si="123"/>
        <v>104.66667525285983</v>
      </c>
      <c r="P142">
        <f t="shared" ca="1" si="123"/>
        <v>108.6317129046701</v>
      </c>
      <c r="Q142">
        <f t="shared" ca="1" si="124"/>
        <v>109.65077120604643</v>
      </c>
      <c r="R142">
        <f t="shared" ca="1" si="125"/>
        <v>6.6317129046700956</v>
      </c>
      <c r="S142">
        <f t="shared" ca="1" si="126"/>
        <v>6.4679753296509492</v>
      </c>
    </row>
    <row r="143" spans="5:19" x14ac:dyDescent="0.75">
      <c r="E143">
        <v>138</v>
      </c>
      <c r="F143">
        <f t="shared" si="122"/>
        <v>100</v>
      </c>
      <c r="G143">
        <f t="shared" ca="1" si="123"/>
        <v>100.23206064035872</v>
      </c>
      <c r="H143">
        <f t="shared" ca="1" si="123"/>
        <v>95.963333692766227</v>
      </c>
      <c r="I143">
        <f t="shared" ca="1" si="123"/>
        <v>109.14719837252026</v>
      </c>
      <c r="J143">
        <f t="shared" ca="1" si="123"/>
        <v>96.970723249162816</v>
      </c>
      <c r="K143">
        <f t="shared" ca="1" si="123"/>
        <v>89.315950751842507</v>
      </c>
      <c r="L143">
        <f t="shared" ca="1" si="123"/>
        <v>87.607933681107539</v>
      </c>
      <c r="M143">
        <f t="shared" ca="1" si="123"/>
        <v>92.125190186102728</v>
      </c>
      <c r="N143">
        <f t="shared" ca="1" si="123"/>
        <v>91.057350218599154</v>
      </c>
      <c r="O143">
        <f t="shared" ca="1" si="123"/>
        <v>93.338734645907465</v>
      </c>
      <c r="P143">
        <f t="shared" ca="1" si="123"/>
        <v>92.394216396320857</v>
      </c>
      <c r="Q143">
        <f t="shared" ca="1" si="124"/>
        <v>109.14719837252026</v>
      </c>
      <c r="R143">
        <f t="shared" ca="1" si="125"/>
        <v>0</v>
      </c>
      <c r="S143">
        <f t="shared" ca="1" si="126"/>
        <v>0</v>
      </c>
    </row>
    <row r="144" spans="5:19" x14ac:dyDescent="0.75">
      <c r="E144">
        <v>139</v>
      </c>
      <c r="F144">
        <f t="shared" si="122"/>
        <v>100</v>
      </c>
      <c r="G144">
        <f t="shared" ca="1" si="123"/>
        <v>103.13509524461344</v>
      </c>
      <c r="H144">
        <f t="shared" ca="1" si="123"/>
        <v>113.72021356969977</v>
      </c>
      <c r="I144">
        <f t="shared" ca="1" si="123"/>
        <v>107.04347449302425</v>
      </c>
      <c r="J144">
        <f t="shared" ref="J144:P144" ca="1" si="127">I144*EXP(($C$6-0.5*$C$7^2)*$C$12+$C$7*SQRT($C$12)*NORMINV(RAND(),0,1))</f>
        <v>101.81114996489985</v>
      </c>
      <c r="K144">
        <f t="shared" ca="1" si="127"/>
        <v>97.645664509996948</v>
      </c>
      <c r="L144">
        <f t="shared" ca="1" si="127"/>
        <v>102.4399290722106</v>
      </c>
      <c r="M144">
        <f t="shared" ca="1" si="127"/>
        <v>109.92920296548481</v>
      </c>
      <c r="N144">
        <f t="shared" ca="1" si="127"/>
        <v>104.61063673036152</v>
      </c>
      <c r="O144">
        <f t="shared" ca="1" si="127"/>
        <v>102.73956654041804</v>
      </c>
      <c r="P144">
        <f t="shared" ca="1" si="127"/>
        <v>104.8297089359659</v>
      </c>
      <c r="Q144">
        <f t="shared" ca="1" si="124"/>
        <v>113.72021356969977</v>
      </c>
      <c r="R144">
        <f t="shared" ca="1" si="125"/>
        <v>0</v>
      </c>
      <c r="S144">
        <f t="shared" ca="1" si="126"/>
        <v>0</v>
      </c>
    </row>
    <row r="145" spans="5:19" x14ac:dyDescent="0.75">
      <c r="E145">
        <v>140</v>
      </c>
      <c r="F145">
        <f t="shared" si="122"/>
        <v>100</v>
      </c>
      <c r="G145">
        <f t="shared" ca="1" si="123"/>
        <v>107.29460384969012</v>
      </c>
      <c r="H145">
        <f t="shared" ca="1" si="123"/>
        <v>104.68511345207038</v>
      </c>
      <c r="I145">
        <f t="shared" ca="1" si="123"/>
        <v>98.753265584694375</v>
      </c>
      <c r="J145">
        <f t="shared" ref="J145:P145" ca="1" si="128">I145*EXP(($C$6-0.5*$C$7^2)*$C$12+$C$7*SQRT($C$12)*NORMINV(RAND(),0,1))</f>
        <v>94.012118812251074</v>
      </c>
      <c r="K145">
        <f t="shared" ca="1" si="128"/>
        <v>95.04037871411677</v>
      </c>
      <c r="L145">
        <f t="shared" ca="1" si="128"/>
        <v>98.443876104401454</v>
      </c>
      <c r="M145">
        <f t="shared" ca="1" si="128"/>
        <v>101.99158156817548</v>
      </c>
      <c r="N145">
        <f t="shared" ca="1" si="128"/>
        <v>108.04686063275216</v>
      </c>
      <c r="O145">
        <f t="shared" ca="1" si="128"/>
        <v>114.87199968777182</v>
      </c>
      <c r="P145">
        <f t="shared" ca="1" si="128"/>
        <v>117.63839525007842</v>
      </c>
      <c r="Q145">
        <f t="shared" ca="1" si="124"/>
        <v>117.63839525007842</v>
      </c>
      <c r="R145">
        <f t="shared" ca="1" si="125"/>
        <v>0</v>
      </c>
      <c r="S145">
        <f t="shared" ca="1" si="126"/>
        <v>0</v>
      </c>
    </row>
    <row r="146" spans="5:19" x14ac:dyDescent="0.75">
      <c r="E146">
        <v>141</v>
      </c>
      <c r="F146">
        <f t="shared" si="122"/>
        <v>100</v>
      </c>
      <c r="G146">
        <f t="shared" ca="1" si="123"/>
        <v>101.1428988006204</v>
      </c>
      <c r="H146">
        <f t="shared" ca="1" si="123"/>
        <v>95.193403015722552</v>
      </c>
      <c r="I146">
        <f t="shared" ca="1" si="123"/>
        <v>97.384762129757149</v>
      </c>
      <c r="J146">
        <f t="shared" ref="J146:P146" ca="1" si="129">I146*EXP(($C$6-0.5*$C$7^2)*$C$12+$C$7*SQRT($C$12)*NORMINV(RAND(),0,1))</f>
        <v>100.76839084530522</v>
      </c>
      <c r="K146">
        <f t="shared" ca="1" si="129"/>
        <v>102.16002763039054</v>
      </c>
      <c r="L146">
        <f t="shared" ca="1" si="129"/>
        <v>102.50774716553101</v>
      </c>
      <c r="M146">
        <f t="shared" ca="1" si="129"/>
        <v>108.91173484021712</v>
      </c>
      <c r="N146">
        <f t="shared" ca="1" si="129"/>
        <v>105.6861561019917</v>
      </c>
      <c r="O146">
        <f t="shared" ca="1" si="129"/>
        <v>103.79213400615127</v>
      </c>
      <c r="P146">
        <f t="shared" ca="1" si="129"/>
        <v>110.94208616637482</v>
      </c>
      <c r="Q146">
        <f t="shared" ca="1" si="124"/>
        <v>110.94208616637482</v>
      </c>
      <c r="R146">
        <f t="shared" ca="1" si="125"/>
        <v>0</v>
      </c>
      <c r="S146">
        <f t="shared" ca="1" si="126"/>
        <v>0</v>
      </c>
    </row>
    <row r="147" spans="5:19" x14ac:dyDescent="0.75">
      <c r="E147">
        <v>142</v>
      </c>
      <c r="F147">
        <f t="shared" si="122"/>
        <v>100</v>
      </c>
      <c r="G147">
        <f t="shared" ca="1" si="123"/>
        <v>102.55627993052678</v>
      </c>
      <c r="H147">
        <f t="shared" ca="1" si="123"/>
        <v>104.43496973481226</v>
      </c>
      <c r="I147">
        <f t="shared" ca="1" si="123"/>
        <v>105.34236109506493</v>
      </c>
      <c r="J147">
        <f t="shared" ref="J147:P147" ca="1" si="130">I147*EXP(($C$6-0.5*$C$7^2)*$C$12+$C$7*SQRT($C$12)*NORMINV(RAND(),0,1))</f>
        <v>104.424443386489</v>
      </c>
      <c r="K147">
        <f t="shared" ca="1" si="130"/>
        <v>110.1717260577103</v>
      </c>
      <c r="L147">
        <f t="shared" ca="1" si="130"/>
        <v>112.14110682958591</v>
      </c>
      <c r="M147">
        <f t="shared" ca="1" si="130"/>
        <v>116.44416336864732</v>
      </c>
      <c r="N147">
        <f t="shared" ca="1" si="130"/>
        <v>122.78729819818363</v>
      </c>
      <c r="O147">
        <f t="shared" ca="1" si="130"/>
        <v>122.97383534541262</v>
      </c>
      <c r="P147">
        <f t="shared" ca="1" si="130"/>
        <v>129.68341618083696</v>
      </c>
      <c r="Q147">
        <f t="shared" ca="1" si="124"/>
        <v>129.68341618083696</v>
      </c>
      <c r="R147">
        <f t="shared" ca="1" si="125"/>
        <v>0</v>
      </c>
      <c r="S147">
        <f t="shared" ca="1" si="126"/>
        <v>0</v>
      </c>
    </row>
    <row r="148" spans="5:19" x14ac:dyDescent="0.75">
      <c r="E148">
        <v>143</v>
      </c>
      <c r="F148">
        <f t="shared" si="122"/>
        <v>100</v>
      </c>
      <c r="G148">
        <f t="shared" ca="1" si="123"/>
        <v>109.94437669832161</v>
      </c>
      <c r="H148">
        <f t="shared" ca="1" si="123"/>
        <v>118.11446181104428</v>
      </c>
      <c r="I148">
        <f t="shared" ca="1" si="123"/>
        <v>127.00313598428731</v>
      </c>
      <c r="J148">
        <f t="shared" ref="J148:P148" ca="1" si="131">I148*EXP(($C$6-0.5*$C$7^2)*$C$12+$C$7*SQRT($C$12)*NORMINV(RAND(),0,1))</f>
        <v>136.03327298854904</v>
      </c>
      <c r="K148">
        <f t="shared" ca="1" si="131"/>
        <v>142.71239291197591</v>
      </c>
      <c r="L148">
        <f t="shared" ca="1" si="131"/>
        <v>140.49051336109383</v>
      </c>
      <c r="M148">
        <f t="shared" ca="1" si="131"/>
        <v>143.49893487594258</v>
      </c>
      <c r="N148">
        <f t="shared" ca="1" si="131"/>
        <v>135.91412646239962</v>
      </c>
      <c r="O148">
        <f t="shared" ca="1" si="131"/>
        <v>136.49014086540819</v>
      </c>
      <c r="P148">
        <f t="shared" ca="1" si="131"/>
        <v>129.47324587626358</v>
      </c>
      <c r="Q148">
        <f t="shared" ca="1" si="124"/>
        <v>143.49893487594258</v>
      </c>
      <c r="R148">
        <f t="shared" ca="1" si="125"/>
        <v>0</v>
      </c>
      <c r="S148">
        <f t="shared" ca="1" si="126"/>
        <v>0</v>
      </c>
    </row>
    <row r="149" spans="5:19" x14ac:dyDescent="0.75">
      <c r="E149">
        <v>144</v>
      </c>
      <c r="F149">
        <f t="shared" si="122"/>
        <v>100</v>
      </c>
      <c r="G149">
        <f t="shared" ca="1" si="123"/>
        <v>100.69710601465221</v>
      </c>
      <c r="H149">
        <f t="shared" ca="1" si="123"/>
        <v>103.31809080066583</v>
      </c>
      <c r="I149">
        <f t="shared" ca="1" si="123"/>
        <v>106.96382720557197</v>
      </c>
      <c r="J149">
        <f t="shared" ref="J149:P149" ca="1" si="132">I149*EXP(($C$6-0.5*$C$7^2)*$C$12+$C$7*SQRT($C$12)*NORMINV(RAND(),0,1))</f>
        <v>108.29987592516733</v>
      </c>
      <c r="K149">
        <f t="shared" ca="1" si="132"/>
        <v>105.36585061790235</v>
      </c>
      <c r="L149">
        <f t="shared" ca="1" si="132"/>
        <v>103.5251321526984</v>
      </c>
      <c r="M149">
        <f t="shared" ca="1" si="132"/>
        <v>101.65542057122272</v>
      </c>
      <c r="N149">
        <f t="shared" ca="1" si="132"/>
        <v>104.8736557311662</v>
      </c>
      <c r="O149">
        <f t="shared" ca="1" si="132"/>
        <v>98.030580890410519</v>
      </c>
      <c r="P149">
        <f t="shared" ca="1" si="132"/>
        <v>91.279932653735258</v>
      </c>
      <c r="Q149">
        <f t="shared" ca="1" si="124"/>
        <v>108.29987592516733</v>
      </c>
      <c r="R149">
        <f t="shared" ca="1" si="125"/>
        <v>0</v>
      </c>
      <c r="S149">
        <f t="shared" ca="1" si="126"/>
        <v>0</v>
      </c>
    </row>
    <row r="150" spans="5:19" x14ac:dyDescent="0.75">
      <c r="E150">
        <v>145</v>
      </c>
      <c r="F150">
        <f t="shared" si="122"/>
        <v>100</v>
      </c>
      <c r="G150">
        <f t="shared" ca="1" si="123"/>
        <v>107.03403380073394</v>
      </c>
      <c r="H150">
        <f t="shared" ca="1" si="123"/>
        <v>103.1949600515604</v>
      </c>
      <c r="I150">
        <f t="shared" ca="1" si="123"/>
        <v>106.83086232272458</v>
      </c>
      <c r="J150">
        <f t="shared" ref="J150:P150" ca="1" si="133">I150*EXP(($C$6-0.5*$C$7^2)*$C$12+$C$7*SQRT($C$12)*NORMINV(RAND(),0,1))</f>
        <v>118.90126953419777</v>
      </c>
      <c r="K150">
        <f t="shared" ca="1" si="133"/>
        <v>118.67473892331655</v>
      </c>
      <c r="L150">
        <f t="shared" ca="1" si="133"/>
        <v>118.86497706155257</v>
      </c>
      <c r="M150">
        <f t="shared" ca="1" si="133"/>
        <v>120.2113424721822</v>
      </c>
      <c r="N150">
        <f t="shared" ca="1" si="133"/>
        <v>119.77261838247716</v>
      </c>
      <c r="O150">
        <f t="shared" ca="1" si="133"/>
        <v>115.09406748767245</v>
      </c>
      <c r="P150">
        <f t="shared" ca="1" si="133"/>
        <v>106.55257427032254</v>
      </c>
      <c r="Q150">
        <f t="shared" ca="1" si="124"/>
        <v>120.2113424721822</v>
      </c>
      <c r="R150">
        <f t="shared" ca="1" si="125"/>
        <v>0</v>
      </c>
      <c r="S150">
        <f t="shared" ca="1" si="126"/>
        <v>0</v>
      </c>
    </row>
    <row r="151" spans="5:19" x14ac:dyDescent="0.75">
      <c r="E151">
        <v>146</v>
      </c>
      <c r="F151">
        <f t="shared" si="122"/>
        <v>100</v>
      </c>
      <c r="G151">
        <f t="shared" ca="1" si="123"/>
        <v>98.450229403679273</v>
      </c>
      <c r="H151">
        <f t="shared" ca="1" si="123"/>
        <v>103.98098184833206</v>
      </c>
      <c r="I151">
        <f t="shared" ca="1" si="123"/>
        <v>100.4027071720337</v>
      </c>
      <c r="J151">
        <f t="shared" ref="J151:P151" ca="1" si="134">I151*EXP(($C$6-0.5*$C$7^2)*$C$12+$C$7*SQRT($C$12)*NORMINV(RAND(),0,1))</f>
        <v>104.08198530129431</v>
      </c>
      <c r="K151">
        <f t="shared" ca="1" si="134"/>
        <v>103.50814040521557</v>
      </c>
      <c r="L151">
        <f t="shared" ca="1" si="134"/>
        <v>106.97750929397743</v>
      </c>
      <c r="M151">
        <f t="shared" ca="1" si="134"/>
        <v>108.02914214208903</v>
      </c>
      <c r="N151">
        <f t="shared" ca="1" si="134"/>
        <v>104.1790181409136</v>
      </c>
      <c r="O151">
        <f t="shared" ca="1" si="134"/>
        <v>102.85044115407727</v>
      </c>
      <c r="P151">
        <f t="shared" ca="1" si="134"/>
        <v>101.00423777314489</v>
      </c>
      <c r="Q151">
        <f t="shared" ca="1" si="124"/>
        <v>108.02914214208903</v>
      </c>
      <c r="R151">
        <f t="shared" ca="1" si="125"/>
        <v>0</v>
      </c>
      <c r="S151">
        <f t="shared" ca="1" si="126"/>
        <v>0</v>
      </c>
    </row>
    <row r="152" spans="5:19" x14ac:dyDescent="0.75">
      <c r="E152">
        <v>147</v>
      </c>
      <c r="F152">
        <f t="shared" si="122"/>
        <v>100</v>
      </c>
      <c r="G152">
        <f t="shared" ca="1" si="123"/>
        <v>98.828543776989278</v>
      </c>
      <c r="H152">
        <f t="shared" ca="1" si="123"/>
        <v>89.398992248857141</v>
      </c>
      <c r="I152">
        <f t="shared" ca="1" si="123"/>
        <v>87.890157791748337</v>
      </c>
      <c r="J152">
        <f t="shared" ref="J152:P152" ca="1" si="135">I152*EXP(($C$6-0.5*$C$7^2)*$C$12+$C$7*SQRT($C$12)*NORMINV(RAND(),0,1))</f>
        <v>82.238631749337571</v>
      </c>
      <c r="K152">
        <f t="shared" ca="1" si="135"/>
        <v>82.054641230721131</v>
      </c>
      <c r="L152">
        <f t="shared" ca="1" si="135"/>
        <v>83.453196393041267</v>
      </c>
      <c r="M152">
        <f t="shared" ca="1" si="135"/>
        <v>84.136325276488179</v>
      </c>
      <c r="N152">
        <f t="shared" ca="1" si="135"/>
        <v>86.660178567664005</v>
      </c>
      <c r="O152">
        <f t="shared" ca="1" si="135"/>
        <v>84.302315864880967</v>
      </c>
      <c r="P152">
        <f t="shared" ca="1" si="135"/>
        <v>83.861454621129724</v>
      </c>
      <c r="Q152">
        <f t="shared" ca="1" si="124"/>
        <v>98.828543776989278</v>
      </c>
      <c r="R152">
        <f t="shared" ca="1" si="125"/>
        <v>0</v>
      </c>
      <c r="S152">
        <f t="shared" ca="1" si="126"/>
        <v>0</v>
      </c>
    </row>
    <row r="153" spans="5:19" x14ac:dyDescent="0.75">
      <c r="E153">
        <v>148</v>
      </c>
      <c r="F153">
        <f t="shared" si="122"/>
        <v>100</v>
      </c>
      <c r="G153">
        <f t="shared" ca="1" si="123"/>
        <v>99.249369276877147</v>
      </c>
      <c r="H153">
        <f t="shared" ca="1" si="123"/>
        <v>106.48817114804513</v>
      </c>
      <c r="I153">
        <f t="shared" ca="1" si="123"/>
        <v>110.83656507287019</v>
      </c>
      <c r="J153">
        <f t="shared" ref="J153:P153" ca="1" si="136">I153*EXP(($C$6-0.5*$C$7^2)*$C$12+$C$7*SQRT($C$12)*NORMINV(RAND(),0,1))</f>
        <v>113.89831032174312</v>
      </c>
      <c r="K153">
        <f t="shared" ca="1" si="136"/>
        <v>110.73492663978476</v>
      </c>
      <c r="L153">
        <f t="shared" ca="1" si="136"/>
        <v>122.44696231099408</v>
      </c>
      <c r="M153">
        <f t="shared" ca="1" si="136"/>
        <v>112.3169176224233</v>
      </c>
      <c r="N153">
        <f t="shared" ca="1" si="136"/>
        <v>113.75206658413215</v>
      </c>
      <c r="O153">
        <f t="shared" ca="1" si="136"/>
        <v>116.69571055676575</v>
      </c>
      <c r="P153">
        <f t="shared" ca="1" si="136"/>
        <v>123.68412159068561</v>
      </c>
      <c r="Q153">
        <f t="shared" ca="1" si="124"/>
        <v>123.68412159068561</v>
      </c>
      <c r="R153">
        <f t="shared" ca="1" si="125"/>
        <v>0</v>
      </c>
      <c r="S153">
        <f t="shared" ca="1" si="126"/>
        <v>0</v>
      </c>
    </row>
    <row r="154" spans="5:19" x14ac:dyDescent="0.75">
      <c r="E154">
        <v>149</v>
      </c>
      <c r="F154">
        <f t="shared" si="122"/>
        <v>100</v>
      </c>
      <c r="G154">
        <f t="shared" ca="1" si="123"/>
        <v>97.841953931132537</v>
      </c>
      <c r="H154">
        <f t="shared" ca="1" si="123"/>
        <v>101.47257984998062</v>
      </c>
      <c r="I154">
        <f t="shared" ca="1" si="123"/>
        <v>104.27618767284446</v>
      </c>
      <c r="J154">
        <f t="shared" ref="J154:P154" ca="1" si="137">I154*EXP(($C$6-0.5*$C$7^2)*$C$12+$C$7*SQRT($C$12)*NORMINV(RAND(),0,1))</f>
        <v>100.50983706588265</v>
      </c>
      <c r="K154">
        <f t="shared" ca="1" si="137"/>
        <v>99.543342745165958</v>
      </c>
      <c r="L154">
        <f t="shared" ca="1" si="137"/>
        <v>95.647173292648347</v>
      </c>
      <c r="M154">
        <f t="shared" ca="1" si="137"/>
        <v>94.810595259921399</v>
      </c>
      <c r="N154">
        <f t="shared" ca="1" si="137"/>
        <v>97.329301540956209</v>
      </c>
      <c r="O154">
        <f t="shared" ca="1" si="137"/>
        <v>98.64954178786347</v>
      </c>
      <c r="P154">
        <f t="shared" ca="1" si="137"/>
        <v>99.518123738575994</v>
      </c>
      <c r="Q154">
        <f t="shared" ca="1" si="124"/>
        <v>104.27618767284446</v>
      </c>
      <c r="R154">
        <f t="shared" ca="1" si="125"/>
        <v>0</v>
      </c>
      <c r="S154">
        <f t="shared" ca="1" si="126"/>
        <v>0</v>
      </c>
    </row>
    <row r="155" spans="5:19" x14ac:dyDescent="0.75">
      <c r="E155">
        <v>150</v>
      </c>
      <c r="F155">
        <f t="shared" si="122"/>
        <v>100</v>
      </c>
      <c r="G155">
        <f t="shared" ca="1" si="123"/>
        <v>97.680665661609112</v>
      </c>
      <c r="H155">
        <f t="shared" ca="1" si="123"/>
        <v>89.980136455094311</v>
      </c>
      <c r="I155">
        <f t="shared" ca="1" si="123"/>
        <v>89.906951465819319</v>
      </c>
      <c r="J155">
        <f t="shared" ref="J155:P155" ca="1" si="138">I155*EXP(($C$6-0.5*$C$7^2)*$C$12+$C$7*SQRT($C$12)*NORMINV(RAND(),0,1))</f>
        <v>88.336567942495691</v>
      </c>
      <c r="K155">
        <f t="shared" ca="1" si="138"/>
        <v>90.136456181280849</v>
      </c>
      <c r="L155">
        <f t="shared" ca="1" si="138"/>
        <v>89.277589626263946</v>
      </c>
      <c r="M155">
        <f t="shared" ca="1" si="138"/>
        <v>86.150620965285626</v>
      </c>
      <c r="N155">
        <f t="shared" ca="1" si="138"/>
        <v>79.116740080278376</v>
      </c>
      <c r="O155">
        <f t="shared" ca="1" si="138"/>
        <v>80.32585267544664</v>
      </c>
      <c r="P155">
        <f t="shared" ca="1" si="138"/>
        <v>79.640890852041807</v>
      </c>
      <c r="Q155">
        <f t="shared" ca="1" si="124"/>
        <v>97.680665661609112</v>
      </c>
      <c r="R155">
        <f t="shared" ca="1" si="125"/>
        <v>0</v>
      </c>
      <c r="S155">
        <f t="shared" ca="1" si="126"/>
        <v>0</v>
      </c>
    </row>
    <row r="156" spans="5:19" x14ac:dyDescent="0.75">
      <c r="E156">
        <v>151</v>
      </c>
      <c r="F156">
        <f t="shared" si="122"/>
        <v>100</v>
      </c>
      <c r="G156">
        <f t="shared" ca="1" si="123"/>
        <v>103.21426742191997</v>
      </c>
      <c r="H156">
        <f t="shared" ca="1" si="123"/>
        <v>106.84782184810439</v>
      </c>
      <c r="I156">
        <f t="shared" ca="1" si="123"/>
        <v>103.46133438261472</v>
      </c>
      <c r="J156">
        <f t="shared" ref="J156:P156" ca="1" si="139">I156*EXP(($C$6-0.5*$C$7^2)*$C$12+$C$7*SQRT($C$12)*NORMINV(RAND(),0,1))</f>
        <v>102.87423306315719</v>
      </c>
      <c r="K156">
        <f t="shared" ca="1" si="139"/>
        <v>98.708648506624471</v>
      </c>
      <c r="L156">
        <f t="shared" ca="1" si="139"/>
        <v>96.081233152710126</v>
      </c>
      <c r="M156">
        <f t="shared" ca="1" si="139"/>
        <v>96.51347898552217</v>
      </c>
      <c r="N156">
        <f t="shared" ca="1" si="139"/>
        <v>106.25801955619667</v>
      </c>
      <c r="O156">
        <f t="shared" ca="1" si="139"/>
        <v>107.95325777481644</v>
      </c>
      <c r="P156">
        <f t="shared" ca="1" si="139"/>
        <v>111.16209020848659</v>
      </c>
      <c r="Q156">
        <f t="shared" ca="1" si="124"/>
        <v>111.16209020848659</v>
      </c>
      <c r="R156">
        <f t="shared" ca="1" si="125"/>
        <v>0</v>
      </c>
      <c r="S156">
        <f t="shared" ca="1" si="126"/>
        <v>0</v>
      </c>
    </row>
    <row r="157" spans="5:19" x14ac:dyDescent="0.75">
      <c r="E157">
        <v>152</v>
      </c>
      <c r="F157">
        <f t="shared" si="122"/>
        <v>100</v>
      </c>
      <c r="G157">
        <f t="shared" ca="1" si="123"/>
        <v>97.101473107301857</v>
      </c>
      <c r="H157">
        <f t="shared" ca="1" si="123"/>
        <v>90.36353707636539</v>
      </c>
      <c r="I157">
        <f t="shared" ca="1" si="123"/>
        <v>89.617724858983834</v>
      </c>
      <c r="J157">
        <f t="shared" ref="J157:P157" ca="1" si="140">I157*EXP(($C$6-0.5*$C$7^2)*$C$12+$C$7*SQRT($C$12)*NORMINV(RAND(),0,1))</f>
        <v>88.369645410062532</v>
      </c>
      <c r="K157">
        <f t="shared" ca="1" si="140"/>
        <v>83.88091276417866</v>
      </c>
      <c r="L157">
        <f t="shared" ca="1" si="140"/>
        <v>86.880731655423318</v>
      </c>
      <c r="M157">
        <f t="shared" ca="1" si="140"/>
        <v>88.311872794587643</v>
      </c>
      <c r="N157">
        <f t="shared" ca="1" si="140"/>
        <v>90.152686230855551</v>
      </c>
      <c r="O157">
        <f t="shared" ca="1" si="140"/>
        <v>96.56183304522736</v>
      </c>
      <c r="P157">
        <f t="shared" ca="1" si="140"/>
        <v>100.18118085610192</v>
      </c>
      <c r="Q157">
        <f t="shared" ca="1" si="124"/>
        <v>100.18118085610192</v>
      </c>
      <c r="R157">
        <f t="shared" ca="1" si="125"/>
        <v>0</v>
      </c>
      <c r="S157">
        <f t="shared" ca="1" si="126"/>
        <v>0</v>
      </c>
    </row>
    <row r="158" spans="5:19" x14ac:dyDescent="0.75">
      <c r="E158">
        <v>153</v>
      </c>
      <c r="F158">
        <f t="shared" si="122"/>
        <v>100</v>
      </c>
      <c r="G158">
        <f t="shared" ca="1" si="123"/>
        <v>106.68523563682881</v>
      </c>
      <c r="H158">
        <f t="shared" ca="1" si="123"/>
        <v>104.93519157192966</v>
      </c>
      <c r="I158">
        <f t="shared" ca="1" si="123"/>
        <v>106.11660391004281</v>
      </c>
      <c r="J158">
        <f t="shared" ref="J158:P158" ca="1" si="141">I158*EXP(($C$6-0.5*$C$7^2)*$C$12+$C$7*SQRT($C$12)*NORMINV(RAND(),0,1))</f>
        <v>103.86403557601038</v>
      </c>
      <c r="K158">
        <f t="shared" ca="1" si="141"/>
        <v>105.68234451446021</v>
      </c>
      <c r="L158">
        <f t="shared" ca="1" si="141"/>
        <v>105.54868136412804</v>
      </c>
      <c r="M158">
        <f t="shared" ca="1" si="141"/>
        <v>105.22059872090624</v>
      </c>
      <c r="N158">
        <f t="shared" ca="1" si="141"/>
        <v>106.12574874628348</v>
      </c>
      <c r="O158">
        <f t="shared" ca="1" si="141"/>
        <v>105.1036956534079</v>
      </c>
      <c r="P158">
        <f t="shared" ca="1" si="141"/>
        <v>109.92186530906663</v>
      </c>
      <c r="Q158">
        <f t="shared" ca="1" si="124"/>
        <v>109.92186530906663</v>
      </c>
      <c r="R158">
        <f t="shared" ca="1" si="125"/>
        <v>7.9218653090666322</v>
      </c>
      <c r="S158">
        <f t="shared" ca="1" si="126"/>
        <v>7.7262737576860774</v>
      </c>
    </row>
    <row r="159" spans="5:19" x14ac:dyDescent="0.75">
      <c r="E159">
        <v>154</v>
      </c>
      <c r="F159">
        <f t="shared" si="122"/>
        <v>100</v>
      </c>
      <c r="G159">
        <f t="shared" ca="1" si="123"/>
        <v>104.52872894252189</v>
      </c>
      <c r="H159">
        <f t="shared" ca="1" si="123"/>
        <v>102.93147683932681</v>
      </c>
      <c r="I159">
        <f t="shared" ca="1" si="123"/>
        <v>105.30551429410771</v>
      </c>
      <c r="J159">
        <f t="shared" ref="J159:P159" ca="1" si="142">I159*EXP(($C$6-0.5*$C$7^2)*$C$12+$C$7*SQRT($C$12)*NORMINV(RAND(),0,1))</f>
        <v>104.42110935362085</v>
      </c>
      <c r="K159">
        <f t="shared" ca="1" si="142"/>
        <v>104.62231831230505</v>
      </c>
      <c r="L159">
        <f t="shared" ca="1" si="142"/>
        <v>104.81303341246229</v>
      </c>
      <c r="M159">
        <f t="shared" ca="1" si="142"/>
        <v>99.824247072931925</v>
      </c>
      <c r="N159">
        <f t="shared" ca="1" si="142"/>
        <v>106.87144575268886</v>
      </c>
      <c r="O159">
        <f t="shared" ca="1" si="142"/>
        <v>103.27150585256604</v>
      </c>
      <c r="P159">
        <f t="shared" ca="1" si="142"/>
        <v>101.87033191140006</v>
      </c>
      <c r="Q159">
        <f t="shared" ca="1" si="124"/>
        <v>106.87144575268886</v>
      </c>
      <c r="R159">
        <f t="shared" ca="1" si="125"/>
        <v>0</v>
      </c>
      <c r="S159">
        <f t="shared" ca="1" si="126"/>
        <v>0</v>
      </c>
    </row>
    <row r="160" spans="5:19" x14ac:dyDescent="0.75">
      <c r="E160">
        <v>155</v>
      </c>
      <c r="F160">
        <f t="shared" si="122"/>
        <v>100</v>
      </c>
      <c r="G160">
        <f t="shared" ca="1" si="123"/>
        <v>97.611185691014697</v>
      </c>
      <c r="H160">
        <f t="shared" ca="1" si="123"/>
        <v>95.392708629394207</v>
      </c>
      <c r="I160">
        <f t="shared" ca="1" si="123"/>
        <v>96.995397952469176</v>
      </c>
      <c r="J160">
        <f t="shared" ref="J160:P160" ca="1" si="143">I160*EXP(($C$6-0.5*$C$7^2)*$C$12+$C$7*SQRT($C$12)*NORMINV(RAND(),0,1))</f>
        <v>94.776079419924599</v>
      </c>
      <c r="K160">
        <f t="shared" ca="1" si="143"/>
        <v>92.012785431419445</v>
      </c>
      <c r="L160">
        <f t="shared" ca="1" si="143"/>
        <v>94.072890240130306</v>
      </c>
      <c r="M160">
        <f t="shared" ca="1" si="143"/>
        <v>93.355727562793206</v>
      </c>
      <c r="N160">
        <f t="shared" ca="1" si="143"/>
        <v>98.251910699682639</v>
      </c>
      <c r="O160">
        <f t="shared" ca="1" si="143"/>
        <v>102.89845562100692</v>
      </c>
      <c r="P160">
        <f t="shared" ca="1" si="143"/>
        <v>106.30847281929439</v>
      </c>
      <c r="Q160">
        <f t="shared" ca="1" si="124"/>
        <v>106.30847281929439</v>
      </c>
      <c r="R160">
        <f t="shared" ca="1" si="125"/>
        <v>4.3084728192943942</v>
      </c>
      <c r="S160">
        <f t="shared" ca="1" si="126"/>
        <v>4.202096246362478</v>
      </c>
    </row>
    <row r="161" spans="5:19" x14ac:dyDescent="0.75">
      <c r="E161">
        <v>156</v>
      </c>
      <c r="F161">
        <f t="shared" si="122"/>
        <v>100</v>
      </c>
      <c r="G161">
        <f t="shared" ca="1" si="123"/>
        <v>108.10751471082159</v>
      </c>
      <c r="H161">
        <f t="shared" ca="1" si="123"/>
        <v>111.55765351712587</v>
      </c>
      <c r="I161">
        <f t="shared" ca="1" si="123"/>
        <v>108.27869494346891</v>
      </c>
      <c r="J161">
        <f t="shared" ref="J161:P161" ca="1" si="144">I161*EXP(($C$6-0.5*$C$7^2)*$C$12+$C$7*SQRT($C$12)*NORMINV(RAND(),0,1))</f>
        <v>99.585974342790223</v>
      </c>
      <c r="K161">
        <f t="shared" ca="1" si="144"/>
        <v>94.135010726557638</v>
      </c>
      <c r="L161">
        <f t="shared" ca="1" si="144"/>
        <v>85.143821590144725</v>
      </c>
      <c r="M161">
        <f t="shared" ca="1" si="144"/>
        <v>95.493670750704609</v>
      </c>
      <c r="N161">
        <f t="shared" ca="1" si="144"/>
        <v>87.86589729278225</v>
      </c>
      <c r="O161">
        <f t="shared" ca="1" si="144"/>
        <v>91.946599173248117</v>
      </c>
      <c r="P161">
        <f t="shared" ca="1" si="144"/>
        <v>98.993894466754014</v>
      </c>
      <c r="Q161">
        <f t="shared" ca="1" si="124"/>
        <v>111.55765351712587</v>
      </c>
      <c r="R161">
        <f t="shared" ca="1" si="125"/>
        <v>0</v>
      </c>
      <c r="S161">
        <f t="shared" ca="1" si="126"/>
        <v>0</v>
      </c>
    </row>
    <row r="162" spans="5:19" x14ac:dyDescent="0.75">
      <c r="E162">
        <v>157</v>
      </c>
      <c r="F162">
        <f t="shared" si="122"/>
        <v>100</v>
      </c>
      <c r="G162">
        <f t="shared" ca="1" si="123"/>
        <v>99.229933399802263</v>
      </c>
      <c r="H162">
        <f t="shared" ca="1" si="123"/>
        <v>87.391192757901763</v>
      </c>
      <c r="I162">
        <f t="shared" ca="1" si="123"/>
        <v>93.94450427966153</v>
      </c>
      <c r="J162">
        <f t="shared" ref="J162:P162" ca="1" si="145">I162*EXP(($C$6-0.5*$C$7^2)*$C$12+$C$7*SQRT($C$12)*NORMINV(RAND(),0,1))</f>
        <v>94.704937634134609</v>
      </c>
      <c r="K162">
        <f t="shared" ca="1" si="145"/>
        <v>92.959108885207684</v>
      </c>
      <c r="L162">
        <f t="shared" ca="1" si="145"/>
        <v>92.955695537794227</v>
      </c>
      <c r="M162">
        <f t="shared" ca="1" si="145"/>
        <v>92.832414566847021</v>
      </c>
      <c r="N162">
        <f t="shared" ca="1" si="145"/>
        <v>92.187876642607435</v>
      </c>
      <c r="O162">
        <f t="shared" ca="1" si="145"/>
        <v>100.72162388260364</v>
      </c>
      <c r="P162">
        <f t="shared" ca="1" si="145"/>
        <v>103.64062045424654</v>
      </c>
      <c r="Q162">
        <f t="shared" ca="1" si="124"/>
        <v>103.64062045424654</v>
      </c>
      <c r="R162">
        <f t="shared" ca="1" si="125"/>
        <v>1.6406204542465446</v>
      </c>
      <c r="S162">
        <f t="shared" ca="1" si="126"/>
        <v>1.6001133909030805</v>
      </c>
    </row>
    <row r="163" spans="5:19" x14ac:dyDescent="0.75">
      <c r="E163">
        <v>158</v>
      </c>
      <c r="F163">
        <f t="shared" si="122"/>
        <v>100</v>
      </c>
      <c r="G163">
        <f t="shared" ca="1" si="123"/>
        <v>96.442743395199628</v>
      </c>
      <c r="H163">
        <f t="shared" ca="1" si="123"/>
        <v>98.240258082469708</v>
      </c>
      <c r="I163">
        <f t="shared" ca="1" si="123"/>
        <v>99.883765193792129</v>
      </c>
      <c r="J163">
        <f t="shared" ref="J163:P163" ca="1" si="146">I163*EXP(($C$6-0.5*$C$7^2)*$C$12+$C$7*SQRT($C$12)*NORMINV(RAND(),0,1))</f>
        <v>117.73260381373326</v>
      </c>
      <c r="K163">
        <f t="shared" ca="1" si="146"/>
        <v>126.85255127701301</v>
      </c>
      <c r="L163">
        <f t="shared" ca="1" si="146"/>
        <v>128.90487107296627</v>
      </c>
      <c r="M163">
        <f t="shared" ca="1" si="146"/>
        <v>135.7896010765873</v>
      </c>
      <c r="N163">
        <f t="shared" ca="1" si="146"/>
        <v>145.63465646089765</v>
      </c>
      <c r="O163">
        <f t="shared" ca="1" si="146"/>
        <v>159.09852264004294</v>
      </c>
      <c r="P163">
        <f t="shared" ca="1" si="146"/>
        <v>154.48972697022532</v>
      </c>
      <c r="Q163">
        <f t="shared" ca="1" si="124"/>
        <v>159.09852264004294</v>
      </c>
      <c r="R163">
        <f t="shared" ca="1" si="125"/>
        <v>0</v>
      </c>
      <c r="S163">
        <f t="shared" ca="1" si="126"/>
        <v>0</v>
      </c>
    </row>
    <row r="164" spans="5:19" x14ac:dyDescent="0.75">
      <c r="E164">
        <v>159</v>
      </c>
      <c r="F164">
        <f t="shared" si="122"/>
        <v>100</v>
      </c>
      <c r="G164">
        <f t="shared" ca="1" si="123"/>
        <v>101.27450822975736</v>
      </c>
      <c r="H164">
        <f t="shared" ca="1" si="123"/>
        <v>100.55245594291584</v>
      </c>
      <c r="I164">
        <f t="shared" ca="1" si="123"/>
        <v>106.01925121113435</v>
      </c>
      <c r="J164">
        <f t="shared" ref="J164:P164" ca="1" si="147">I164*EXP(($C$6-0.5*$C$7^2)*$C$12+$C$7*SQRT($C$12)*NORMINV(RAND(),0,1))</f>
        <v>97.020920252577938</v>
      </c>
      <c r="K164">
        <f t="shared" ca="1" si="147"/>
        <v>99.978311561332362</v>
      </c>
      <c r="L164">
        <f t="shared" ca="1" si="147"/>
        <v>104.65497896862509</v>
      </c>
      <c r="M164">
        <f t="shared" ca="1" si="147"/>
        <v>100.39689599069382</v>
      </c>
      <c r="N164">
        <f t="shared" ca="1" si="147"/>
        <v>101.05309650004953</v>
      </c>
      <c r="O164">
        <f t="shared" ca="1" si="147"/>
        <v>99.850931404591975</v>
      </c>
      <c r="P164">
        <f t="shared" ca="1" si="147"/>
        <v>103.23398064761162</v>
      </c>
      <c r="Q164">
        <f t="shared" ca="1" si="124"/>
        <v>106.01925121113435</v>
      </c>
      <c r="R164">
        <f t="shared" ca="1" si="125"/>
        <v>1.2339806476116166</v>
      </c>
      <c r="S164">
        <f t="shared" ca="1" si="126"/>
        <v>1.2035135568667508</v>
      </c>
    </row>
    <row r="165" spans="5:19" x14ac:dyDescent="0.75">
      <c r="E165">
        <v>160</v>
      </c>
      <c r="F165">
        <f t="shared" si="122"/>
        <v>100</v>
      </c>
      <c r="G165">
        <f t="shared" ca="1" si="123"/>
        <v>101.24108931191871</v>
      </c>
      <c r="H165">
        <f t="shared" ca="1" si="123"/>
        <v>107.55983105146284</v>
      </c>
      <c r="I165">
        <f t="shared" ca="1" si="123"/>
        <v>103.49705095874857</v>
      </c>
      <c r="J165">
        <f t="shared" ref="J165:P165" ca="1" si="148">I165*EXP(($C$6-0.5*$C$7^2)*$C$12+$C$7*SQRT($C$12)*NORMINV(RAND(),0,1))</f>
        <v>101.84881269586995</v>
      </c>
      <c r="K165">
        <f t="shared" ca="1" si="148"/>
        <v>101.05635150945611</v>
      </c>
      <c r="L165">
        <f t="shared" ca="1" si="148"/>
        <v>96.192730033687724</v>
      </c>
      <c r="M165">
        <f t="shared" ca="1" si="148"/>
        <v>104.28315597348059</v>
      </c>
      <c r="N165">
        <f t="shared" ca="1" si="148"/>
        <v>103.46765484069927</v>
      </c>
      <c r="O165">
        <f t="shared" ca="1" si="148"/>
        <v>107.09251821345964</v>
      </c>
      <c r="P165">
        <f t="shared" ca="1" si="148"/>
        <v>108.55071936401917</v>
      </c>
      <c r="Q165">
        <f t="shared" ca="1" si="124"/>
        <v>108.55071936401917</v>
      </c>
      <c r="R165">
        <f t="shared" ca="1" si="125"/>
        <v>6.550719364019173</v>
      </c>
      <c r="S165">
        <f t="shared" ca="1" si="126"/>
        <v>6.3889815266438346</v>
      </c>
    </row>
    <row r="166" spans="5:19" x14ac:dyDescent="0.75">
      <c r="E166">
        <v>161</v>
      </c>
      <c r="F166">
        <f t="shared" si="122"/>
        <v>100</v>
      </c>
      <c r="G166">
        <f t="shared" ca="1" si="123"/>
        <v>102.72457661844159</v>
      </c>
      <c r="H166">
        <f t="shared" ca="1" si="123"/>
        <v>98.502386174148555</v>
      </c>
      <c r="I166">
        <f t="shared" ca="1" si="123"/>
        <v>94.016066296846589</v>
      </c>
      <c r="J166">
        <f t="shared" ref="J166:P166" ca="1" si="149">I166*EXP(($C$6-0.5*$C$7^2)*$C$12+$C$7*SQRT($C$12)*NORMINV(RAND(),0,1))</f>
        <v>98.804699906841378</v>
      </c>
      <c r="K166">
        <f t="shared" ca="1" si="149"/>
        <v>105.7147817391451</v>
      </c>
      <c r="L166">
        <f t="shared" ca="1" si="149"/>
        <v>107.12834207859213</v>
      </c>
      <c r="M166">
        <f t="shared" ca="1" si="149"/>
        <v>108.37169905488666</v>
      </c>
      <c r="N166">
        <f t="shared" ca="1" si="149"/>
        <v>107.07053890405426</v>
      </c>
      <c r="O166">
        <f t="shared" ca="1" si="149"/>
        <v>118.93119767770757</v>
      </c>
      <c r="P166">
        <f t="shared" ca="1" si="149"/>
        <v>116.16812797359687</v>
      </c>
      <c r="Q166">
        <f t="shared" ca="1" si="124"/>
        <v>118.93119767770757</v>
      </c>
      <c r="R166">
        <f t="shared" ca="1" si="125"/>
        <v>0</v>
      </c>
      <c r="S166">
        <f t="shared" ca="1" si="126"/>
        <v>0</v>
      </c>
    </row>
    <row r="167" spans="5:19" x14ac:dyDescent="0.75">
      <c r="E167">
        <v>162</v>
      </c>
      <c r="F167">
        <f t="shared" si="122"/>
        <v>100</v>
      </c>
      <c r="G167">
        <f t="shared" ca="1" si="123"/>
        <v>102.37582507629894</v>
      </c>
      <c r="H167">
        <f t="shared" ca="1" si="123"/>
        <v>102.0010603252661</v>
      </c>
      <c r="I167">
        <f t="shared" ca="1" si="123"/>
        <v>107.23252764697801</v>
      </c>
      <c r="J167">
        <f t="shared" ref="J167:P167" ca="1" si="150">I167*EXP(($C$6-0.5*$C$7^2)*$C$12+$C$7*SQRT($C$12)*NORMINV(RAND(),0,1))</f>
        <v>107.10948121763472</v>
      </c>
      <c r="K167">
        <f t="shared" ca="1" si="150"/>
        <v>107.37291883296284</v>
      </c>
      <c r="L167">
        <f t="shared" ca="1" si="150"/>
        <v>109.38271782933229</v>
      </c>
      <c r="M167">
        <f t="shared" ca="1" si="150"/>
        <v>111.71891756362821</v>
      </c>
      <c r="N167">
        <f t="shared" ca="1" si="150"/>
        <v>111.15517870043165</v>
      </c>
      <c r="O167">
        <f t="shared" ca="1" si="150"/>
        <v>103.21537300611627</v>
      </c>
      <c r="P167">
        <f t="shared" ca="1" si="150"/>
        <v>97.49428301189181</v>
      </c>
      <c r="Q167">
        <f t="shared" ca="1" si="124"/>
        <v>111.71891756362821</v>
      </c>
      <c r="R167">
        <f t="shared" ca="1" si="125"/>
        <v>0</v>
      </c>
      <c r="S167">
        <f t="shared" ca="1" si="126"/>
        <v>0</v>
      </c>
    </row>
    <row r="168" spans="5:19" x14ac:dyDescent="0.75">
      <c r="E168">
        <v>163</v>
      </c>
      <c r="F168">
        <f t="shared" si="122"/>
        <v>100</v>
      </c>
      <c r="G168">
        <f t="shared" ca="1" si="123"/>
        <v>97.185324769999454</v>
      </c>
      <c r="H168">
        <f t="shared" ca="1" si="123"/>
        <v>96.883402013834598</v>
      </c>
      <c r="I168">
        <f t="shared" ca="1" si="123"/>
        <v>100.38119688937348</v>
      </c>
      <c r="J168">
        <f t="shared" ref="J168:P168" ca="1" si="151">I168*EXP(($C$6-0.5*$C$7^2)*$C$12+$C$7*SQRT($C$12)*NORMINV(RAND(),0,1))</f>
        <v>107.20953951165518</v>
      </c>
      <c r="K168">
        <f t="shared" ca="1" si="151"/>
        <v>103.33709247724072</v>
      </c>
      <c r="L168">
        <f t="shared" ca="1" si="151"/>
        <v>110.77025114756931</v>
      </c>
      <c r="M168">
        <f t="shared" ca="1" si="151"/>
        <v>113.20892181670331</v>
      </c>
      <c r="N168">
        <f t="shared" ca="1" si="151"/>
        <v>109.02180625691287</v>
      </c>
      <c r="O168">
        <f t="shared" ca="1" si="151"/>
        <v>109.52774838006071</v>
      </c>
      <c r="P168">
        <f t="shared" ca="1" si="151"/>
        <v>105.0829580395415</v>
      </c>
      <c r="Q168">
        <f t="shared" ca="1" si="124"/>
        <v>113.20892181670331</v>
      </c>
      <c r="R168">
        <f t="shared" ca="1" si="125"/>
        <v>0</v>
      </c>
      <c r="S168">
        <f t="shared" ca="1" si="126"/>
        <v>0</v>
      </c>
    </row>
    <row r="169" spans="5:19" x14ac:dyDescent="0.75">
      <c r="E169">
        <v>164</v>
      </c>
      <c r="F169">
        <f t="shared" si="122"/>
        <v>100</v>
      </c>
      <c r="G169">
        <f t="shared" ca="1" si="123"/>
        <v>99.22648391828838</v>
      </c>
      <c r="H169">
        <f t="shared" ca="1" si="123"/>
        <v>96.536641315666017</v>
      </c>
      <c r="I169">
        <f t="shared" ca="1" si="123"/>
        <v>93.265089489744042</v>
      </c>
      <c r="J169">
        <f t="shared" ref="J169:P169" ca="1" si="152">I169*EXP(($C$6-0.5*$C$7^2)*$C$12+$C$7*SQRT($C$12)*NORMINV(RAND(),0,1))</f>
        <v>91.22989028808</v>
      </c>
      <c r="K169">
        <f t="shared" ca="1" si="152"/>
        <v>93.715932391933549</v>
      </c>
      <c r="L169">
        <f t="shared" ca="1" si="152"/>
        <v>94.789976788172225</v>
      </c>
      <c r="M169">
        <f t="shared" ca="1" si="152"/>
        <v>96.345710260034323</v>
      </c>
      <c r="N169">
        <f t="shared" ca="1" si="152"/>
        <v>102.41925767113085</v>
      </c>
      <c r="O169">
        <f t="shared" ca="1" si="152"/>
        <v>104.95594593520282</v>
      </c>
      <c r="P169">
        <f t="shared" ca="1" si="152"/>
        <v>103.30843894741828</v>
      </c>
      <c r="Q169">
        <f t="shared" ca="1" si="124"/>
        <v>104.95594593520282</v>
      </c>
      <c r="R169">
        <f t="shared" ca="1" si="125"/>
        <v>1.3084389474182814</v>
      </c>
      <c r="S169">
        <f t="shared" ca="1" si="126"/>
        <v>1.2761334747009681</v>
      </c>
    </row>
    <row r="170" spans="5:19" x14ac:dyDescent="0.75">
      <c r="E170">
        <v>165</v>
      </c>
      <c r="F170">
        <f t="shared" si="122"/>
        <v>100</v>
      </c>
      <c r="G170">
        <f t="shared" ca="1" si="123"/>
        <v>105.80267883825576</v>
      </c>
      <c r="H170">
        <f t="shared" ca="1" si="123"/>
        <v>102.75742560667118</v>
      </c>
      <c r="I170">
        <f t="shared" ca="1" si="123"/>
        <v>104.00477116187244</v>
      </c>
      <c r="J170">
        <f t="shared" ref="J170:P170" ca="1" si="153">I170*EXP(($C$6-0.5*$C$7^2)*$C$12+$C$7*SQRT($C$12)*NORMINV(RAND(),0,1))</f>
        <v>100.40494696374685</v>
      </c>
      <c r="K170">
        <f t="shared" ca="1" si="153"/>
        <v>99.625704055024769</v>
      </c>
      <c r="L170">
        <f t="shared" ca="1" si="153"/>
        <v>98.385479945088747</v>
      </c>
      <c r="M170">
        <f t="shared" ca="1" si="153"/>
        <v>100.53836115893601</v>
      </c>
      <c r="N170">
        <f t="shared" ca="1" si="153"/>
        <v>98.362453309394766</v>
      </c>
      <c r="O170">
        <f t="shared" ca="1" si="153"/>
        <v>98.687159973449326</v>
      </c>
      <c r="P170">
        <f t="shared" ca="1" si="153"/>
        <v>98.907032721408058</v>
      </c>
      <c r="Q170">
        <f t="shared" ca="1" si="124"/>
        <v>105.80267883825576</v>
      </c>
      <c r="R170">
        <f t="shared" ca="1" si="125"/>
        <v>0</v>
      </c>
      <c r="S170">
        <f t="shared" ca="1" si="126"/>
        <v>0</v>
      </c>
    </row>
    <row r="171" spans="5:19" x14ac:dyDescent="0.75">
      <c r="E171">
        <v>166</v>
      </c>
      <c r="F171">
        <f t="shared" si="122"/>
        <v>100</v>
      </c>
      <c r="G171">
        <f t="shared" ca="1" si="123"/>
        <v>106.3605558746256</v>
      </c>
      <c r="H171">
        <f t="shared" ca="1" si="123"/>
        <v>109.31022988220404</v>
      </c>
      <c r="I171">
        <f t="shared" ca="1" si="123"/>
        <v>105.50614116946842</v>
      </c>
      <c r="J171">
        <f t="shared" ref="J171:P171" ca="1" si="154">I171*EXP(($C$6-0.5*$C$7^2)*$C$12+$C$7*SQRT($C$12)*NORMINV(RAND(),0,1))</f>
        <v>104.08591676144914</v>
      </c>
      <c r="K171">
        <f t="shared" ca="1" si="154"/>
        <v>101.17021044993507</v>
      </c>
      <c r="L171">
        <f t="shared" ca="1" si="154"/>
        <v>107.04036269500688</v>
      </c>
      <c r="M171">
        <f t="shared" ca="1" si="154"/>
        <v>104.68036592720372</v>
      </c>
      <c r="N171">
        <f t="shared" ca="1" si="154"/>
        <v>96.872736103192665</v>
      </c>
      <c r="O171">
        <f t="shared" ca="1" si="154"/>
        <v>90.75117551282446</v>
      </c>
      <c r="P171">
        <f t="shared" ca="1" si="154"/>
        <v>95.908635805525307</v>
      </c>
      <c r="Q171">
        <f t="shared" ca="1" si="124"/>
        <v>109.31022988220404</v>
      </c>
      <c r="R171">
        <f t="shared" ca="1" si="125"/>
        <v>0</v>
      </c>
      <c r="S171">
        <f t="shared" ca="1" si="126"/>
        <v>0</v>
      </c>
    </row>
    <row r="172" spans="5:19" x14ac:dyDescent="0.75">
      <c r="E172">
        <v>167</v>
      </c>
      <c r="F172">
        <f t="shared" si="122"/>
        <v>100</v>
      </c>
      <c r="G172">
        <f t="shared" ca="1" si="123"/>
        <v>102.7251843375051</v>
      </c>
      <c r="H172">
        <f t="shared" ca="1" si="123"/>
        <v>108.08921855679316</v>
      </c>
      <c r="I172">
        <f t="shared" ca="1" si="123"/>
        <v>118.49985480859999</v>
      </c>
      <c r="J172">
        <f t="shared" ref="J172:P172" ca="1" si="155">I172*EXP(($C$6-0.5*$C$7^2)*$C$12+$C$7*SQRT($C$12)*NORMINV(RAND(),0,1))</f>
        <v>113.04838945401411</v>
      </c>
      <c r="K172">
        <f t="shared" ca="1" si="155"/>
        <v>123.82068979624549</v>
      </c>
      <c r="L172">
        <f t="shared" ca="1" si="155"/>
        <v>116.99764342753015</v>
      </c>
      <c r="M172">
        <f t="shared" ca="1" si="155"/>
        <v>127.37202631366578</v>
      </c>
      <c r="N172">
        <f t="shared" ca="1" si="155"/>
        <v>137.63995655716519</v>
      </c>
      <c r="O172">
        <f t="shared" ca="1" si="155"/>
        <v>138.4698703103854</v>
      </c>
      <c r="P172">
        <f t="shared" ca="1" si="155"/>
        <v>133.64639857518179</v>
      </c>
      <c r="Q172">
        <f t="shared" ca="1" si="124"/>
        <v>138.4698703103854</v>
      </c>
      <c r="R172">
        <f t="shared" ca="1" si="125"/>
        <v>0</v>
      </c>
      <c r="S172">
        <f t="shared" ca="1" si="126"/>
        <v>0</v>
      </c>
    </row>
    <row r="173" spans="5:19" x14ac:dyDescent="0.75">
      <c r="E173">
        <v>168</v>
      </c>
      <c r="F173">
        <f t="shared" si="122"/>
        <v>100</v>
      </c>
      <c r="G173">
        <f t="shared" ca="1" si="123"/>
        <v>99.740893339069217</v>
      </c>
      <c r="H173">
        <f t="shared" ca="1" si="123"/>
        <v>104.09121433691311</v>
      </c>
      <c r="I173">
        <f t="shared" ca="1" si="123"/>
        <v>99.624434740462249</v>
      </c>
      <c r="J173">
        <f t="shared" ref="J173:P173" ca="1" si="156">I173*EXP(($C$6-0.5*$C$7^2)*$C$12+$C$7*SQRT($C$12)*NORMINV(RAND(),0,1))</f>
        <v>103.22044018600342</v>
      </c>
      <c r="K173">
        <f t="shared" ca="1" si="156"/>
        <v>114.87454242604922</v>
      </c>
      <c r="L173">
        <f t="shared" ca="1" si="156"/>
        <v>110.24509278494973</v>
      </c>
      <c r="M173">
        <f t="shared" ca="1" si="156"/>
        <v>109.50004790712089</v>
      </c>
      <c r="N173">
        <f t="shared" ca="1" si="156"/>
        <v>110.2261995957727</v>
      </c>
      <c r="O173">
        <f t="shared" ca="1" si="156"/>
        <v>103.56005207627499</v>
      </c>
      <c r="P173">
        <f t="shared" ca="1" si="156"/>
        <v>99.81472691664986</v>
      </c>
      <c r="Q173">
        <f t="shared" ca="1" si="124"/>
        <v>114.87454242604922</v>
      </c>
      <c r="R173">
        <f t="shared" ca="1" si="125"/>
        <v>0</v>
      </c>
      <c r="S173">
        <f t="shared" ca="1" si="126"/>
        <v>0</v>
      </c>
    </row>
    <row r="174" spans="5:19" x14ac:dyDescent="0.75">
      <c r="E174">
        <v>169</v>
      </c>
      <c r="F174">
        <f t="shared" si="122"/>
        <v>100</v>
      </c>
      <c r="G174">
        <f t="shared" ca="1" si="123"/>
        <v>102.56193951687607</v>
      </c>
      <c r="H174">
        <f t="shared" ca="1" si="123"/>
        <v>102.07809913698611</v>
      </c>
      <c r="I174">
        <f t="shared" ca="1" si="123"/>
        <v>104.99123278407554</v>
      </c>
      <c r="J174">
        <f t="shared" ref="J174:P174" ca="1" si="157">I174*EXP(($C$6-0.5*$C$7^2)*$C$12+$C$7*SQRT($C$12)*NORMINV(RAND(),0,1))</f>
        <v>110.10409839053031</v>
      </c>
      <c r="K174">
        <f t="shared" ca="1" si="157"/>
        <v>103.00659921244041</v>
      </c>
      <c r="L174">
        <f t="shared" ca="1" si="157"/>
        <v>108.90586541150864</v>
      </c>
      <c r="M174">
        <f t="shared" ca="1" si="157"/>
        <v>113.46225233492834</v>
      </c>
      <c r="N174">
        <f t="shared" ca="1" si="157"/>
        <v>118.30192904884518</v>
      </c>
      <c r="O174">
        <f t="shared" ca="1" si="157"/>
        <v>123.83493359635351</v>
      </c>
      <c r="P174">
        <f t="shared" ca="1" si="157"/>
        <v>114.5386947538188</v>
      </c>
      <c r="Q174">
        <f t="shared" ca="1" si="124"/>
        <v>123.83493359635351</v>
      </c>
      <c r="R174">
        <f t="shared" ca="1" si="125"/>
        <v>0</v>
      </c>
      <c r="S174">
        <f t="shared" ca="1" si="126"/>
        <v>0</v>
      </c>
    </row>
    <row r="175" spans="5:19" x14ac:dyDescent="0.75">
      <c r="E175">
        <v>170</v>
      </c>
      <c r="F175">
        <f t="shared" si="122"/>
        <v>100</v>
      </c>
      <c r="G175">
        <f t="shared" ca="1" si="123"/>
        <v>98.163762065042164</v>
      </c>
      <c r="H175">
        <f t="shared" ca="1" si="123"/>
        <v>101.2003613260602</v>
      </c>
      <c r="I175">
        <f t="shared" ca="1" si="123"/>
        <v>99.769907779854975</v>
      </c>
      <c r="J175">
        <f t="shared" ref="J175:P175" ca="1" si="158">I175*EXP(($C$6-0.5*$C$7^2)*$C$12+$C$7*SQRT($C$12)*NORMINV(RAND(),0,1))</f>
        <v>103.60128073946414</v>
      </c>
      <c r="K175">
        <f t="shared" ca="1" si="158"/>
        <v>110.83880084448677</v>
      </c>
      <c r="L175">
        <f t="shared" ca="1" si="158"/>
        <v>110.28343400372047</v>
      </c>
      <c r="M175">
        <f t="shared" ca="1" si="158"/>
        <v>106.712977433494</v>
      </c>
      <c r="N175">
        <f t="shared" ca="1" si="158"/>
        <v>115.72566297302167</v>
      </c>
      <c r="O175">
        <f t="shared" ca="1" si="158"/>
        <v>108.12012316222565</v>
      </c>
      <c r="P175">
        <f t="shared" ca="1" si="158"/>
        <v>108.50910299443382</v>
      </c>
      <c r="Q175">
        <f t="shared" ca="1" si="124"/>
        <v>115.72566297302167</v>
      </c>
      <c r="R175">
        <f t="shared" ca="1" si="125"/>
        <v>0</v>
      </c>
      <c r="S175">
        <f t="shared" ca="1" si="126"/>
        <v>0</v>
      </c>
    </row>
    <row r="176" spans="5:19" x14ac:dyDescent="0.75">
      <c r="E176">
        <v>171</v>
      </c>
      <c r="F176">
        <f t="shared" si="122"/>
        <v>100</v>
      </c>
      <c r="G176">
        <f t="shared" ca="1" si="123"/>
        <v>99.114344552110552</v>
      </c>
      <c r="H176">
        <f t="shared" ca="1" si="123"/>
        <v>103.1929623621873</v>
      </c>
      <c r="I176">
        <f t="shared" ca="1" si="123"/>
        <v>102.50898599788266</v>
      </c>
      <c r="J176">
        <f t="shared" ref="J176:P176" ca="1" si="159">I176*EXP(($C$6-0.5*$C$7^2)*$C$12+$C$7*SQRT($C$12)*NORMINV(RAND(),0,1))</f>
        <v>109.06909633586196</v>
      </c>
      <c r="K176">
        <f t="shared" ca="1" si="159"/>
        <v>109.88503071095769</v>
      </c>
      <c r="L176">
        <f t="shared" ca="1" si="159"/>
        <v>118.57000485816937</v>
      </c>
      <c r="M176">
        <f t="shared" ca="1" si="159"/>
        <v>115.86362526635223</v>
      </c>
      <c r="N176">
        <f t="shared" ca="1" si="159"/>
        <v>116.79660812463662</v>
      </c>
      <c r="O176">
        <f t="shared" ca="1" si="159"/>
        <v>119.33829631344734</v>
      </c>
      <c r="P176">
        <f t="shared" ca="1" si="159"/>
        <v>126.59898639700488</v>
      </c>
      <c r="Q176">
        <f t="shared" ca="1" si="124"/>
        <v>126.59898639700488</v>
      </c>
      <c r="R176">
        <f t="shared" ca="1" si="125"/>
        <v>0</v>
      </c>
      <c r="S176">
        <f t="shared" ca="1" si="126"/>
        <v>0</v>
      </c>
    </row>
    <row r="177" spans="5:19" x14ac:dyDescent="0.75">
      <c r="E177">
        <v>172</v>
      </c>
      <c r="F177">
        <f t="shared" si="122"/>
        <v>100</v>
      </c>
      <c r="G177">
        <f t="shared" ca="1" si="123"/>
        <v>103.14746315505067</v>
      </c>
      <c r="H177">
        <f t="shared" ca="1" si="123"/>
        <v>104.74842989372719</v>
      </c>
      <c r="I177">
        <f t="shared" ca="1" si="123"/>
        <v>111.27846009932907</v>
      </c>
      <c r="J177">
        <f t="shared" ref="J177:P177" ca="1" si="160">I177*EXP(($C$6-0.5*$C$7^2)*$C$12+$C$7*SQRT($C$12)*NORMINV(RAND(),0,1))</f>
        <v>110.60186342412206</v>
      </c>
      <c r="K177">
        <f t="shared" ca="1" si="160"/>
        <v>107.62013369050122</v>
      </c>
      <c r="L177">
        <f t="shared" ca="1" si="160"/>
        <v>117.30733772015851</v>
      </c>
      <c r="M177">
        <f t="shared" ca="1" si="160"/>
        <v>117.07758674249169</v>
      </c>
      <c r="N177">
        <f t="shared" ca="1" si="160"/>
        <v>111.65219796763361</v>
      </c>
      <c r="O177">
        <f t="shared" ca="1" si="160"/>
        <v>109.67602499567259</v>
      </c>
      <c r="P177">
        <f t="shared" ca="1" si="160"/>
        <v>118.64167382605285</v>
      </c>
      <c r="Q177">
        <f t="shared" ca="1" si="124"/>
        <v>118.64167382605285</v>
      </c>
      <c r="R177">
        <f t="shared" ca="1" si="125"/>
        <v>0</v>
      </c>
      <c r="S177">
        <f t="shared" ca="1" si="126"/>
        <v>0</v>
      </c>
    </row>
    <row r="178" spans="5:19" x14ac:dyDescent="0.75">
      <c r="E178">
        <v>173</v>
      </c>
      <c r="F178">
        <f t="shared" si="122"/>
        <v>100</v>
      </c>
      <c r="G178">
        <f t="shared" ca="1" si="123"/>
        <v>101.1654372143848</v>
      </c>
      <c r="H178">
        <f t="shared" ca="1" si="123"/>
        <v>105.98103072662832</v>
      </c>
      <c r="I178">
        <f t="shared" ca="1" si="123"/>
        <v>109.09339085792867</v>
      </c>
      <c r="J178">
        <f t="shared" ref="J178:P178" ca="1" si="161">I178*EXP(($C$6-0.5*$C$7^2)*$C$12+$C$7*SQRT($C$12)*NORMINV(RAND(),0,1))</f>
        <v>114.32979664352658</v>
      </c>
      <c r="K178">
        <f t="shared" ca="1" si="161"/>
        <v>115.4152250137014</v>
      </c>
      <c r="L178">
        <f t="shared" ca="1" si="161"/>
        <v>122.71670317011895</v>
      </c>
      <c r="M178">
        <f t="shared" ca="1" si="161"/>
        <v>128.32662050614502</v>
      </c>
      <c r="N178">
        <f t="shared" ca="1" si="161"/>
        <v>129.70497136090009</v>
      </c>
      <c r="O178">
        <f t="shared" ca="1" si="161"/>
        <v>127.03147228354817</v>
      </c>
      <c r="P178">
        <f t="shared" ca="1" si="161"/>
        <v>133.18443937581901</v>
      </c>
      <c r="Q178">
        <f t="shared" ca="1" si="124"/>
        <v>133.18443937581901</v>
      </c>
      <c r="R178">
        <f t="shared" ca="1" si="125"/>
        <v>0</v>
      </c>
      <c r="S178">
        <f t="shared" ca="1" si="126"/>
        <v>0</v>
      </c>
    </row>
    <row r="179" spans="5:19" x14ac:dyDescent="0.75">
      <c r="E179">
        <v>174</v>
      </c>
      <c r="F179">
        <f t="shared" si="122"/>
        <v>100</v>
      </c>
      <c r="G179">
        <f t="shared" ca="1" si="123"/>
        <v>94.871559126117205</v>
      </c>
      <c r="H179">
        <f t="shared" ca="1" si="123"/>
        <v>92.117464268760457</v>
      </c>
      <c r="I179">
        <f t="shared" ca="1" si="123"/>
        <v>90.51335709357781</v>
      </c>
      <c r="J179">
        <f t="shared" ref="J179:P179" ca="1" si="162">I179*EXP(($C$6-0.5*$C$7^2)*$C$12+$C$7*SQRT($C$12)*NORMINV(RAND(),0,1))</f>
        <v>87.393409708333394</v>
      </c>
      <c r="K179">
        <f t="shared" ca="1" si="162"/>
        <v>88.102206710881802</v>
      </c>
      <c r="L179">
        <f t="shared" ca="1" si="162"/>
        <v>85.614127859094069</v>
      </c>
      <c r="M179">
        <f t="shared" ca="1" si="162"/>
        <v>83.647959920243196</v>
      </c>
      <c r="N179">
        <f t="shared" ca="1" si="162"/>
        <v>78.31217634246488</v>
      </c>
      <c r="O179">
        <f t="shared" ca="1" si="162"/>
        <v>79.83652318081657</v>
      </c>
      <c r="P179">
        <f t="shared" ca="1" si="162"/>
        <v>81.666950358464987</v>
      </c>
      <c r="Q179">
        <f t="shared" ca="1" si="124"/>
        <v>94.871559126117205</v>
      </c>
      <c r="R179">
        <f t="shared" ca="1" si="125"/>
        <v>0</v>
      </c>
      <c r="S179">
        <f t="shared" ca="1" si="126"/>
        <v>0</v>
      </c>
    </row>
    <row r="180" spans="5:19" x14ac:dyDescent="0.75">
      <c r="E180">
        <v>175</v>
      </c>
      <c r="F180">
        <f t="shared" si="122"/>
        <v>100</v>
      </c>
      <c r="G180">
        <f t="shared" ca="1" si="123"/>
        <v>96.506891647001297</v>
      </c>
      <c r="H180">
        <f t="shared" ca="1" si="123"/>
        <v>97.789734327606439</v>
      </c>
      <c r="I180">
        <f t="shared" ca="1" si="123"/>
        <v>105.66215948801093</v>
      </c>
      <c r="J180">
        <f t="shared" ref="J180:P180" ca="1" si="163">I180*EXP(($C$6-0.5*$C$7^2)*$C$12+$C$7*SQRT($C$12)*NORMINV(RAND(),0,1))</f>
        <v>115.86070822549607</v>
      </c>
      <c r="K180">
        <f t="shared" ca="1" si="163"/>
        <v>120.5469075946321</v>
      </c>
      <c r="L180">
        <f t="shared" ca="1" si="163"/>
        <v>120.38588069203206</v>
      </c>
      <c r="M180">
        <f t="shared" ca="1" si="163"/>
        <v>122.73397255065019</v>
      </c>
      <c r="N180">
        <f t="shared" ca="1" si="163"/>
        <v>135.94040681180329</v>
      </c>
      <c r="O180">
        <f t="shared" ca="1" si="163"/>
        <v>131.87589807940165</v>
      </c>
      <c r="P180">
        <f t="shared" ca="1" si="163"/>
        <v>123.23673013154729</v>
      </c>
      <c r="Q180">
        <f t="shared" ca="1" si="124"/>
        <v>135.94040681180329</v>
      </c>
      <c r="R180">
        <f t="shared" ca="1" si="125"/>
        <v>0</v>
      </c>
      <c r="S180">
        <f t="shared" ca="1" si="126"/>
        <v>0</v>
      </c>
    </row>
    <row r="181" spans="5:19" x14ac:dyDescent="0.75">
      <c r="E181">
        <v>176</v>
      </c>
      <c r="F181">
        <f t="shared" si="122"/>
        <v>100</v>
      </c>
      <c r="G181">
        <f t="shared" ca="1" si="123"/>
        <v>109.87780118390408</v>
      </c>
      <c r="H181">
        <f t="shared" ca="1" si="123"/>
        <v>104.16316420939305</v>
      </c>
      <c r="I181">
        <f t="shared" ca="1" si="123"/>
        <v>110.78591255973008</v>
      </c>
      <c r="J181">
        <f t="shared" ref="J181:P181" ca="1" si="164">I181*EXP(($C$6-0.5*$C$7^2)*$C$12+$C$7*SQRT($C$12)*NORMINV(RAND(),0,1))</f>
        <v>111.50165546388251</v>
      </c>
      <c r="K181">
        <f t="shared" ca="1" si="164"/>
        <v>122.76225614926172</v>
      </c>
      <c r="L181">
        <f t="shared" ca="1" si="164"/>
        <v>116.66292648999935</v>
      </c>
      <c r="M181">
        <f t="shared" ca="1" si="164"/>
        <v>112.27083083467177</v>
      </c>
      <c r="N181">
        <f t="shared" ca="1" si="164"/>
        <v>118.67756989944408</v>
      </c>
      <c r="O181">
        <f t="shared" ca="1" si="164"/>
        <v>132.80384900240648</v>
      </c>
      <c r="P181">
        <f t="shared" ca="1" si="164"/>
        <v>119.32992372610197</v>
      </c>
      <c r="Q181">
        <f t="shared" ca="1" si="124"/>
        <v>132.80384900240648</v>
      </c>
      <c r="R181">
        <f t="shared" ca="1" si="125"/>
        <v>0</v>
      </c>
      <c r="S181">
        <f t="shared" ca="1" si="126"/>
        <v>0</v>
      </c>
    </row>
    <row r="182" spans="5:19" x14ac:dyDescent="0.75">
      <c r="E182">
        <v>177</v>
      </c>
      <c r="F182">
        <f t="shared" si="122"/>
        <v>100</v>
      </c>
      <c r="G182">
        <f t="shared" ca="1" si="123"/>
        <v>96.649725788528755</v>
      </c>
      <c r="H182">
        <f t="shared" ca="1" si="123"/>
        <v>94.697105548631114</v>
      </c>
      <c r="I182">
        <f t="shared" ca="1" si="123"/>
        <v>97.815675117144394</v>
      </c>
      <c r="J182">
        <f t="shared" ref="J182:P182" ca="1" si="165">I182*EXP(($C$6-0.5*$C$7^2)*$C$12+$C$7*SQRT($C$12)*NORMINV(RAND(),0,1))</f>
        <v>102.66737659424787</v>
      </c>
      <c r="K182">
        <f t="shared" ca="1" si="165"/>
        <v>92.646586754711365</v>
      </c>
      <c r="L182">
        <f t="shared" ca="1" si="165"/>
        <v>100.43103359454413</v>
      </c>
      <c r="M182">
        <f t="shared" ca="1" si="165"/>
        <v>107.09480756210687</v>
      </c>
      <c r="N182">
        <f t="shared" ca="1" si="165"/>
        <v>104.71849965788053</v>
      </c>
      <c r="O182">
        <f t="shared" ca="1" si="165"/>
        <v>103.39751918725908</v>
      </c>
      <c r="P182">
        <f t="shared" ca="1" si="165"/>
        <v>105.15032045599624</v>
      </c>
      <c r="Q182">
        <f t="shared" ca="1" si="124"/>
        <v>107.09480756210687</v>
      </c>
      <c r="R182">
        <f t="shared" ca="1" si="125"/>
        <v>3.150320455996237</v>
      </c>
      <c r="S182">
        <f t="shared" ca="1" si="126"/>
        <v>3.0725387667987465</v>
      </c>
    </row>
    <row r="183" spans="5:19" x14ac:dyDescent="0.75">
      <c r="E183">
        <v>178</v>
      </c>
      <c r="F183">
        <f t="shared" si="122"/>
        <v>100</v>
      </c>
      <c r="G183">
        <f t="shared" ca="1" si="123"/>
        <v>97.142817172105282</v>
      </c>
      <c r="H183">
        <f t="shared" ca="1" si="123"/>
        <v>101.59302871031234</v>
      </c>
      <c r="I183">
        <f t="shared" ca="1" si="123"/>
        <v>98.216284365226684</v>
      </c>
      <c r="J183">
        <f t="shared" ref="J183:P183" ca="1" si="166">I183*EXP(($C$6-0.5*$C$7^2)*$C$12+$C$7*SQRT($C$12)*NORMINV(RAND(),0,1))</f>
        <v>103.88455462206811</v>
      </c>
      <c r="K183">
        <f t="shared" ca="1" si="166"/>
        <v>103.69062896598992</v>
      </c>
      <c r="L183">
        <f t="shared" ca="1" si="166"/>
        <v>104.41153201200693</v>
      </c>
      <c r="M183">
        <f t="shared" ca="1" si="166"/>
        <v>106.10665421367342</v>
      </c>
      <c r="N183">
        <f t="shared" ca="1" si="166"/>
        <v>113.09322083549141</v>
      </c>
      <c r="O183">
        <f t="shared" ca="1" si="166"/>
        <v>127.35949554116755</v>
      </c>
      <c r="P183">
        <f t="shared" ca="1" si="166"/>
        <v>122.62091978848362</v>
      </c>
      <c r="Q183">
        <f t="shared" ca="1" si="124"/>
        <v>127.35949554116755</v>
      </c>
      <c r="R183">
        <f t="shared" ca="1" si="125"/>
        <v>0</v>
      </c>
      <c r="S183">
        <f t="shared" ca="1" si="126"/>
        <v>0</v>
      </c>
    </row>
    <row r="184" spans="5:19" x14ac:dyDescent="0.75">
      <c r="E184">
        <v>179</v>
      </c>
      <c r="F184">
        <f t="shared" si="122"/>
        <v>100</v>
      </c>
      <c r="G184">
        <f t="shared" ca="1" si="123"/>
        <v>99.282479029251519</v>
      </c>
      <c r="H184">
        <f t="shared" ca="1" si="123"/>
        <v>100.37821336443865</v>
      </c>
      <c r="I184">
        <f t="shared" ca="1" si="123"/>
        <v>97.517413003279046</v>
      </c>
      <c r="J184">
        <f t="shared" ref="J184:P184" ca="1" si="167">I184*EXP(($C$6-0.5*$C$7^2)*$C$12+$C$7*SQRT($C$12)*NORMINV(RAND(),0,1))</f>
        <v>91.209541053396848</v>
      </c>
      <c r="K184">
        <f t="shared" ca="1" si="167"/>
        <v>85.735097050148369</v>
      </c>
      <c r="L184">
        <f t="shared" ca="1" si="167"/>
        <v>84.139402100229233</v>
      </c>
      <c r="M184">
        <f t="shared" ca="1" si="167"/>
        <v>89.644527140533668</v>
      </c>
      <c r="N184">
        <f t="shared" ca="1" si="167"/>
        <v>95.167763631609475</v>
      </c>
      <c r="O184">
        <f t="shared" ca="1" si="167"/>
        <v>91.132548830466305</v>
      </c>
      <c r="P184">
        <f t="shared" ca="1" si="167"/>
        <v>93.292585279818297</v>
      </c>
      <c r="Q184">
        <f t="shared" ca="1" si="124"/>
        <v>100.37821336443865</v>
      </c>
      <c r="R184">
        <f t="shared" ca="1" si="125"/>
        <v>0</v>
      </c>
      <c r="S184">
        <f t="shared" ca="1" si="126"/>
        <v>0</v>
      </c>
    </row>
    <row r="185" spans="5:19" x14ac:dyDescent="0.75">
      <c r="E185">
        <v>180</v>
      </c>
      <c r="F185">
        <f t="shared" si="122"/>
        <v>100</v>
      </c>
      <c r="G185">
        <f t="shared" ca="1" si="123"/>
        <v>100.83242570408598</v>
      </c>
      <c r="H185">
        <f t="shared" ca="1" si="123"/>
        <v>96.216109802706328</v>
      </c>
      <c r="I185">
        <f t="shared" ca="1" si="123"/>
        <v>96.346982266732837</v>
      </c>
      <c r="J185">
        <f t="shared" ref="J185:P185" ca="1" si="168">I185*EXP(($C$6-0.5*$C$7^2)*$C$12+$C$7*SQRT($C$12)*NORMINV(RAND(),0,1))</f>
        <v>96.529390464375709</v>
      </c>
      <c r="K185">
        <f t="shared" ca="1" si="168"/>
        <v>97.43745935085218</v>
      </c>
      <c r="L185">
        <f t="shared" ca="1" si="168"/>
        <v>91.842127225139279</v>
      </c>
      <c r="M185">
        <f t="shared" ca="1" si="168"/>
        <v>98.053209379095421</v>
      </c>
      <c r="N185">
        <f t="shared" ca="1" si="168"/>
        <v>99.98957271103329</v>
      </c>
      <c r="O185">
        <f t="shared" ca="1" si="168"/>
        <v>103.71819918947861</v>
      </c>
      <c r="P185">
        <f t="shared" ca="1" si="168"/>
        <v>101.61224744658271</v>
      </c>
      <c r="Q185">
        <f t="shared" ca="1" si="124"/>
        <v>103.71819918947861</v>
      </c>
      <c r="R185">
        <f t="shared" ca="1" si="125"/>
        <v>0</v>
      </c>
      <c r="S185">
        <f t="shared" ca="1" si="126"/>
        <v>0</v>
      </c>
    </row>
    <row r="186" spans="5:19" x14ac:dyDescent="0.75">
      <c r="E186">
        <v>181</v>
      </c>
      <c r="F186">
        <f t="shared" si="122"/>
        <v>100</v>
      </c>
      <c r="G186">
        <f t="shared" ca="1" si="123"/>
        <v>98.873244700729245</v>
      </c>
      <c r="H186">
        <f t="shared" ca="1" si="123"/>
        <v>98.026206779505941</v>
      </c>
      <c r="I186">
        <f t="shared" ca="1" si="123"/>
        <v>96.001953447213836</v>
      </c>
      <c r="J186">
        <f t="shared" ref="J186:P186" ca="1" si="169">I186*EXP(($C$6-0.5*$C$7^2)*$C$12+$C$7*SQRT($C$12)*NORMINV(RAND(),0,1))</f>
        <v>94.645922816490227</v>
      </c>
      <c r="K186">
        <f t="shared" ca="1" si="169"/>
        <v>92.881983243423349</v>
      </c>
      <c r="L186">
        <f t="shared" ca="1" si="169"/>
        <v>87.817296741477008</v>
      </c>
      <c r="M186">
        <f t="shared" ca="1" si="169"/>
        <v>91.301363592039536</v>
      </c>
      <c r="N186">
        <f t="shared" ca="1" si="169"/>
        <v>95.499319323734497</v>
      </c>
      <c r="O186">
        <f t="shared" ca="1" si="169"/>
        <v>97.849707731773663</v>
      </c>
      <c r="P186">
        <f t="shared" ca="1" si="169"/>
        <v>100.16542086281986</v>
      </c>
      <c r="Q186">
        <f t="shared" ca="1" si="124"/>
        <v>100.16542086281986</v>
      </c>
      <c r="R186">
        <f t="shared" ca="1" si="125"/>
        <v>0</v>
      </c>
      <c r="S186">
        <f t="shared" ca="1" si="126"/>
        <v>0</v>
      </c>
    </row>
    <row r="187" spans="5:19" x14ac:dyDescent="0.75">
      <c r="E187">
        <v>182</v>
      </c>
      <c r="F187">
        <f t="shared" si="122"/>
        <v>100</v>
      </c>
      <c r="G187">
        <f t="shared" ca="1" si="123"/>
        <v>95.89901285327295</v>
      </c>
      <c r="H187">
        <f t="shared" ca="1" si="123"/>
        <v>93.431002593508239</v>
      </c>
      <c r="I187">
        <f t="shared" ca="1" si="123"/>
        <v>92.838722550661345</v>
      </c>
      <c r="J187">
        <f t="shared" ref="J187:P187" ca="1" si="170">I187*EXP(($C$6-0.5*$C$7^2)*$C$12+$C$7*SQRT($C$12)*NORMINV(RAND(),0,1))</f>
        <v>97.557479269587745</v>
      </c>
      <c r="K187">
        <f t="shared" ca="1" si="170"/>
        <v>97.192542637988637</v>
      </c>
      <c r="L187">
        <f t="shared" ca="1" si="170"/>
        <v>97.07001335059185</v>
      </c>
      <c r="M187">
        <f t="shared" ca="1" si="170"/>
        <v>103.15432940640731</v>
      </c>
      <c r="N187">
        <f t="shared" ca="1" si="170"/>
        <v>105.62811387550192</v>
      </c>
      <c r="O187">
        <f t="shared" ca="1" si="170"/>
        <v>102.12267653809619</v>
      </c>
      <c r="P187">
        <f t="shared" ca="1" si="170"/>
        <v>101.69099254498137</v>
      </c>
      <c r="Q187">
        <f t="shared" ca="1" si="124"/>
        <v>105.62811387550192</v>
      </c>
      <c r="R187">
        <f t="shared" ca="1" si="125"/>
        <v>0</v>
      </c>
      <c r="S187">
        <f t="shared" ca="1" si="126"/>
        <v>0</v>
      </c>
    </row>
    <row r="188" spans="5:19" x14ac:dyDescent="0.75">
      <c r="E188">
        <v>183</v>
      </c>
      <c r="F188">
        <f t="shared" si="122"/>
        <v>100</v>
      </c>
      <c r="G188">
        <f t="shared" ca="1" si="123"/>
        <v>100.02490456636262</v>
      </c>
      <c r="H188">
        <f t="shared" ca="1" si="123"/>
        <v>102.14231315049535</v>
      </c>
      <c r="I188">
        <f t="shared" ca="1" si="123"/>
        <v>96.725493666648205</v>
      </c>
      <c r="J188">
        <f t="shared" ref="J188:P188" ca="1" si="171">I188*EXP(($C$6-0.5*$C$7^2)*$C$12+$C$7*SQRT($C$12)*NORMINV(RAND(),0,1))</f>
        <v>95.674887928055938</v>
      </c>
      <c r="K188">
        <f t="shared" ca="1" si="171"/>
        <v>96.599234560784339</v>
      </c>
      <c r="L188">
        <f t="shared" ca="1" si="171"/>
        <v>96.598364030774874</v>
      </c>
      <c r="M188">
        <f t="shared" ca="1" si="171"/>
        <v>99.987238570098711</v>
      </c>
      <c r="N188">
        <f t="shared" ca="1" si="171"/>
        <v>106.99234136900428</v>
      </c>
      <c r="O188">
        <f t="shared" ca="1" si="171"/>
        <v>104.14521949861592</v>
      </c>
      <c r="P188">
        <f t="shared" ca="1" si="171"/>
        <v>105.32604476349964</v>
      </c>
      <c r="Q188">
        <f t="shared" ca="1" si="124"/>
        <v>106.99234136900428</v>
      </c>
      <c r="R188">
        <f t="shared" ca="1" si="125"/>
        <v>3.3260447634996382</v>
      </c>
      <c r="S188">
        <f t="shared" ca="1" si="126"/>
        <v>3.2439244256911284</v>
      </c>
    </row>
    <row r="189" spans="5:19" x14ac:dyDescent="0.75">
      <c r="E189">
        <v>184</v>
      </c>
      <c r="F189">
        <f t="shared" si="122"/>
        <v>100</v>
      </c>
      <c r="G189">
        <f t="shared" ca="1" si="123"/>
        <v>102.32060127013204</v>
      </c>
      <c r="H189">
        <f t="shared" ca="1" si="123"/>
        <v>103.03914265782834</v>
      </c>
      <c r="I189">
        <f t="shared" ca="1" si="123"/>
        <v>96.046531728427652</v>
      </c>
      <c r="J189">
        <f t="shared" ref="J189:P189" ca="1" si="172">I189*EXP(($C$6-0.5*$C$7^2)*$C$12+$C$7*SQRT($C$12)*NORMINV(RAND(),0,1))</f>
        <v>94.927667093800579</v>
      </c>
      <c r="K189">
        <f t="shared" ca="1" si="172"/>
        <v>93.312924392421252</v>
      </c>
      <c r="L189">
        <f t="shared" ca="1" si="172"/>
        <v>88.745740443659955</v>
      </c>
      <c r="M189">
        <f t="shared" ca="1" si="172"/>
        <v>91.160572344120396</v>
      </c>
      <c r="N189">
        <f t="shared" ca="1" si="172"/>
        <v>88.866719326286685</v>
      </c>
      <c r="O189">
        <f t="shared" ca="1" si="172"/>
        <v>91.376884283689662</v>
      </c>
      <c r="P189">
        <f t="shared" ca="1" si="172"/>
        <v>91.67178703012334</v>
      </c>
      <c r="Q189">
        <f t="shared" ca="1" si="124"/>
        <v>103.03914265782834</v>
      </c>
      <c r="R189">
        <f t="shared" ca="1" si="125"/>
        <v>0</v>
      </c>
      <c r="S189">
        <f t="shared" ca="1" si="126"/>
        <v>0</v>
      </c>
    </row>
    <row r="190" spans="5:19" x14ac:dyDescent="0.75">
      <c r="E190">
        <v>185</v>
      </c>
      <c r="F190">
        <f t="shared" si="122"/>
        <v>100</v>
      </c>
      <c r="G190">
        <f t="shared" ca="1" si="123"/>
        <v>97.5790901179532</v>
      </c>
      <c r="H190">
        <f t="shared" ca="1" si="123"/>
        <v>97.416862648707337</v>
      </c>
      <c r="I190">
        <f t="shared" ca="1" si="123"/>
        <v>97.331905334603093</v>
      </c>
      <c r="J190">
        <f t="shared" ref="J190:P190" ca="1" si="173">I190*EXP(($C$6-0.5*$C$7^2)*$C$12+$C$7*SQRT($C$12)*NORMINV(RAND(),0,1))</f>
        <v>98.717442639574458</v>
      </c>
      <c r="K190">
        <f t="shared" ca="1" si="173"/>
        <v>100.83711052063252</v>
      </c>
      <c r="L190">
        <f t="shared" ca="1" si="173"/>
        <v>93.673957372614524</v>
      </c>
      <c r="M190">
        <f t="shared" ca="1" si="173"/>
        <v>95.545384409200381</v>
      </c>
      <c r="N190">
        <f t="shared" ca="1" si="173"/>
        <v>96.103453946801167</v>
      </c>
      <c r="O190">
        <f t="shared" ca="1" si="173"/>
        <v>99.662688929280833</v>
      </c>
      <c r="P190">
        <f t="shared" ca="1" si="173"/>
        <v>103.00688781046678</v>
      </c>
      <c r="Q190">
        <f t="shared" ca="1" si="124"/>
        <v>103.00688781046678</v>
      </c>
      <c r="R190">
        <f t="shared" ca="1" si="125"/>
        <v>1.0068878104667789</v>
      </c>
      <c r="S190">
        <f t="shared" ca="1" si="126"/>
        <v>0.98202766184875456</v>
      </c>
    </row>
    <row r="191" spans="5:19" x14ac:dyDescent="0.75">
      <c r="E191">
        <v>186</v>
      </c>
      <c r="F191">
        <f t="shared" si="122"/>
        <v>100</v>
      </c>
      <c r="G191">
        <f t="shared" ca="1" si="123"/>
        <v>101.39351106888677</v>
      </c>
      <c r="H191">
        <f t="shared" ca="1" si="123"/>
        <v>106.30918316351377</v>
      </c>
      <c r="I191">
        <f t="shared" ca="1" si="123"/>
        <v>110.23224114867772</v>
      </c>
      <c r="J191">
        <f t="shared" ref="J191:P191" ca="1" si="174">I191*EXP(($C$6-0.5*$C$7^2)*$C$12+$C$7*SQRT($C$12)*NORMINV(RAND(),0,1))</f>
        <v>111.33218441871445</v>
      </c>
      <c r="K191">
        <f t="shared" ca="1" si="174"/>
        <v>109.3218648183239</v>
      </c>
      <c r="L191">
        <f t="shared" ca="1" si="174"/>
        <v>106.99760542730725</v>
      </c>
      <c r="M191">
        <f t="shared" ca="1" si="174"/>
        <v>98.172446686746056</v>
      </c>
      <c r="N191">
        <f t="shared" ca="1" si="174"/>
        <v>90.589533414190512</v>
      </c>
      <c r="O191">
        <f t="shared" ca="1" si="174"/>
        <v>91.601964078600375</v>
      </c>
      <c r="P191">
        <f t="shared" ca="1" si="174"/>
        <v>88.111171560685634</v>
      </c>
      <c r="Q191">
        <f t="shared" ca="1" si="124"/>
        <v>111.33218441871445</v>
      </c>
      <c r="R191">
        <f t="shared" ca="1" si="125"/>
        <v>0</v>
      </c>
      <c r="S191">
        <f t="shared" ca="1" si="126"/>
        <v>0</v>
      </c>
    </row>
    <row r="192" spans="5:19" x14ac:dyDescent="0.75">
      <c r="E192">
        <v>187</v>
      </c>
      <c r="F192">
        <f t="shared" si="122"/>
        <v>100</v>
      </c>
      <c r="G192">
        <f t="shared" ca="1" si="123"/>
        <v>100.98612171745786</v>
      </c>
      <c r="H192">
        <f t="shared" ca="1" si="123"/>
        <v>102.74672200552317</v>
      </c>
      <c r="I192">
        <f t="shared" ca="1" si="123"/>
        <v>103.98052858345196</v>
      </c>
      <c r="J192">
        <f t="shared" ref="J192:P192" ca="1" si="175">I192*EXP(($C$6-0.5*$C$7^2)*$C$12+$C$7*SQRT($C$12)*NORMINV(RAND(),0,1))</f>
        <v>103.73937746460008</v>
      </c>
      <c r="K192">
        <f t="shared" ca="1" si="175"/>
        <v>107.78856572513222</v>
      </c>
      <c r="L192">
        <f t="shared" ca="1" si="175"/>
        <v>119.01593856511134</v>
      </c>
      <c r="M192">
        <f t="shared" ca="1" si="175"/>
        <v>127.30899682523594</v>
      </c>
      <c r="N192">
        <f t="shared" ca="1" si="175"/>
        <v>137.17534702383409</v>
      </c>
      <c r="O192">
        <f t="shared" ca="1" si="175"/>
        <v>135.90328889987998</v>
      </c>
      <c r="P192">
        <f t="shared" ca="1" si="175"/>
        <v>133.36884770406493</v>
      </c>
      <c r="Q192">
        <f t="shared" ca="1" si="124"/>
        <v>137.17534702383409</v>
      </c>
      <c r="R192">
        <f t="shared" ca="1" si="125"/>
        <v>0</v>
      </c>
      <c r="S192">
        <f t="shared" ca="1" si="126"/>
        <v>0</v>
      </c>
    </row>
    <row r="193" spans="5:19" x14ac:dyDescent="0.75">
      <c r="E193">
        <v>188</v>
      </c>
      <c r="F193">
        <f t="shared" si="122"/>
        <v>100</v>
      </c>
      <c r="G193">
        <f t="shared" ca="1" si="123"/>
        <v>99.632190246918526</v>
      </c>
      <c r="H193">
        <f t="shared" ca="1" si="123"/>
        <v>95.678931629416908</v>
      </c>
      <c r="I193">
        <f t="shared" ca="1" si="123"/>
        <v>94.546781078077586</v>
      </c>
      <c r="J193">
        <f t="shared" ref="J193:P193" ca="1" si="176">I193*EXP(($C$6-0.5*$C$7^2)*$C$12+$C$7*SQRT($C$12)*NORMINV(RAND(),0,1))</f>
        <v>96.263070245546061</v>
      </c>
      <c r="K193">
        <f t="shared" ca="1" si="176"/>
        <v>95.517597265776502</v>
      </c>
      <c r="L193">
        <f t="shared" ca="1" si="176"/>
        <v>90.150964799682527</v>
      </c>
      <c r="M193">
        <f t="shared" ca="1" si="176"/>
        <v>93.964559342116786</v>
      </c>
      <c r="N193">
        <f t="shared" ca="1" si="176"/>
        <v>91.463898857286694</v>
      </c>
      <c r="O193">
        <f t="shared" ca="1" si="176"/>
        <v>82.104566506519575</v>
      </c>
      <c r="P193">
        <f t="shared" ca="1" si="176"/>
        <v>79.792203361676656</v>
      </c>
      <c r="Q193">
        <f t="shared" ca="1" si="124"/>
        <v>99.632190246918526</v>
      </c>
      <c r="R193">
        <f t="shared" ca="1" si="125"/>
        <v>0</v>
      </c>
      <c r="S193">
        <f t="shared" ca="1" si="126"/>
        <v>0</v>
      </c>
    </row>
    <row r="194" spans="5:19" x14ac:dyDescent="0.75">
      <c r="E194">
        <v>189</v>
      </c>
      <c r="F194">
        <f t="shared" si="122"/>
        <v>100</v>
      </c>
      <c r="G194">
        <f t="shared" ca="1" si="123"/>
        <v>103.46690579520426</v>
      </c>
      <c r="H194">
        <f t="shared" ca="1" si="123"/>
        <v>110.30976789067427</v>
      </c>
      <c r="I194">
        <f t="shared" ca="1" si="123"/>
        <v>107.14573235401205</v>
      </c>
      <c r="J194">
        <f t="shared" ref="J194:P194" ca="1" si="177">I194*EXP(($C$6-0.5*$C$7^2)*$C$12+$C$7*SQRT($C$12)*NORMINV(RAND(),0,1))</f>
        <v>103.35881423596871</v>
      </c>
      <c r="K194">
        <f t="shared" ca="1" si="177"/>
        <v>117.64039648761727</v>
      </c>
      <c r="L194">
        <f t="shared" ca="1" si="177"/>
        <v>114.84180937818876</v>
      </c>
      <c r="M194">
        <f t="shared" ca="1" si="177"/>
        <v>115.48690992628177</v>
      </c>
      <c r="N194">
        <f t="shared" ca="1" si="177"/>
        <v>121.36758135981424</v>
      </c>
      <c r="O194">
        <f t="shared" ca="1" si="177"/>
        <v>124.53822305957944</v>
      </c>
      <c r="P194">
        <f t="shared" ca="1" si="177"/>
        <v>124.88345161608193</v>
      </c>
      <c r="Q194">
        <f t="shared" ca="1" si="124"/>
        <v>124.88345161608193</v>
      </c>
      <c r="R194">
        <f t="shared" ca="1" si="125"/>
        <v>0</v>
      </c>
      <c r="S194">
        <f t="shared" ca="1" si="126"/>
        <v>0</v>
      </c>
    </row>
    <row r="195" spans="5:19" x14ac:dyDescent="0.75">
      <c r="E195">
        <v>190</v>
      </c>
      <c r="F195">
        <f t="shared" si="122"/>
        <v>100</v>
      </c>
      <c r="G195">
        <f t="shared" ca="1" si="123"/>
        <v>96.192803780182217</v>
      </c>
      <c r="H195">
        <f t="shared" ca="1" si="123"/>
        <v>94.763909939027442</v>
      </c>
      <c r="I195">
        <f t="shared" ca="1" si="123"/>
        <v>87.774781473700997</v>
      </c>
      <c r="J195">
        <f t="shared" ref="J195:P195" ca="1" si="178">I195*EXP(($C$6-0.5*$C$7^2)*$C$12+$C$7*SQRT($C$12)*NORMINV(RAND(),0,1))</f>
        <v>91.814316619283716</v>
      </c>
      <c r="K195">
        <f t="shared" ca="1" si="178"/>
        <v>95.802122852131831</v>
      </c>
      <c r="L195">
        <f t="shared" ca="1" si="178"/>
        <v>96.502701121006112</v>
      </c>
      <c r="M195">
        <f t="shared" ca="1" si="178"/>
        <v>97.446685787130562</v>
      </c>
      <c r="N195">
        <f t="shared" ca="1" si="178"/>
        <v>90.466090460419906</v>
      </c>
      <c r="O195">
        <f t="shared" ca="1" si="178"/>
        <v>87.154177194715103</v>
      </c>
      <c r="P195">
        <f t="shared" ca="1" si="178"/>
        <v>86.707466972006443</v>
      </c>
      <c r="Q195">
        <f t="shared" ca="1" si="124"/>
        <v>97.446685787130562</v>
      </c>
      <c r="R195">
        <f t="shared" ca="1" si="125"/>
        <v>0</v>
      </c>
      <c r="S195">
        <f t="shared" ca="1" si="126"/>
        <v>0</v>
      </c>
    </row>
    <row r="196" spans="5:19" x14ac:dyDescent="0.75">
      <c r="E196">
        <v>191</v>
      </c>
      <c r="F196">
        <f t="shared" si="122"/>
        <v>100</v>
      </c>
      <c r="G196">
        <f t="shared" ca="1" si="123"/>
        <v>103.6777069980205</v>
      </c>
      <c r="H196">
        <f t="shared" ca="1" si="123"/>
        <v>113.83087010916654</v>
      </c>
      <c r="I196">
        <f t="shared" ca="1" si="123"/>
        <v>127.83928937959996</v>
      </c>
      <c r="J196">
        <f t="shared" ref="J196:P196" ca="1" si="179">I196*EXP(($C$6-0.5*$C$7^2)*$C$12+$C$7*SQRT($C$12)*NORMINV(RAND(),0,1))</f>
        <v>126.86399777832774</v>
      </c>
      <c r="K196">
        <f t="shared" ca="1" si="179"/>
        <v>121.20505826419645</v>
      </c>
      <c r="L196">
        <f t="shared" ca="1" si="179"/>
        <v>121.06541387195411</v>
      </c>
      <c r="M196">
        <f t="shared" ca="1" si="179"/>
        <v>124.19636372776976</v>
      </c>
      <c r="N196">
        <f t="shared" ca="1" si="179"/>
        <v>134.93833776850693</v>
      </c>
      <c r="O196">
        <f t="shared" ca="1" si="179"/>
        <v>134.13364574694052</v>
      </c>
      <c r="P196">
        <f t="shared" ca="1" si="179"/>
        <v>135.01463621406589</v>
      </c>
      <c r="Q196">
        <f t="shared" ca="1" si="124"/>
        <v>135.01463621406589</v>
      </c>
      <c r="R196">
        <f t="shared" ca="1" si="125"/>
        <v>0</v>
      </c>
      <c r="S196">
        <f t="shared" ca="1" si="126"/>
        <v>0</v>
      </c>
    </row>
    <row r="197" spans="5:19" x14ac:dyDescent="0.75">
      <c r="E197">
        <v>192</v>
      </c>
      <c r="F197">
        <f t="shared" si="122"/>
        <v>100</v>
      </c>
      <c r="G197">
        <f t="shared" ca="1" si="123"/>
        <v>95.10108034266878</v>
      </c>
      <c r="H197">
        <f t="shared" ca="1" si="123"/>
        <v>87.858795185393262</v>
      </c>
      <c r="I197">
        <f t="shared" ca="1" si="123"/>
        <v>92.043840373081281</v>
      </c>
      <c r="J197">
        <f t="shared" ref="J197:P197" ca="1" si="180">I197*EXP(($C$6-0.5*$C$7^2)*$C$12+$C$7*SQRT($C$12)*NORMINV(RAND(),0,1))</f>
        <v>95.624836255718662</v>
      </c>
      <c r="K197">
        <f t="shared" ca="1" si="180"/>
        <v>95.518990171764742</v>
      </c>
      <c r="L197">
        <f t="shared" ca="1" si="180"/>
        <v>95.462806579331684</v>
      </c>
      <c r="M197">
        <f t="shared" ca="1" si="180"/>
        <v>93.424070625441118</v>
      </c>
      <c r="N197">
        <f t="shared" ca="1" si="180"/>
        <v>98.054479114282813</v>
      </c>
      <c r="O197">
        <f t="shared" ca="1" si="180"/>
        <v>92.58413616694817</v>
      </c>
      <c r="P197">
        <f t="shared" ca="1" si="180"/>
        <v>97.156316987533572</v>
      </c>
      <c r="Q197">
        <f t="shared" ca="1" si="124"/>
        <v>98.054479114282813</v>
      </c>
      <c r="R197">
        <f t="shared" ca="1" si="125"/>
        <v>0</v>
      </c>
      <c r="S197">
        <f t="shared" ca="1" si="126"/>
        <v>0</v>
      </c>
    </row>
    <row r="198" spans="5:19" x14ac:dyDescent="0.75">
      <c r="E198">
        <v>193</v>
      </c>
      <c r="F198">
        <f t="shared" si="122"/>
        <v>100</v>
      </c>
      <c r="G198">
        <f t="shared" ca="1" si="123"/>
        <v>94.824603637412451</v>
      </c>
      <c r="H198">
        <f t="shared" ca="1" si="123"/>
        <v>91.141061064974679</v>
      </c>
      <c r="I198">
        <f t="shared" ca="1" si="123"/>
        <v>87.234777680192011</v>
      </c>
      <c r="J198">
        <f t="shared" ref="J198:P198" ca="1" si="181">I198*EXP(($C$6-0.5*$C$7^2)*$C$12+$C$7*SQRT($C$12)*NORMINV(RAND(),0,1))</f>
        <v>85.382851919406548</v>
      </c>
      <c r="K198">
        <f t="shared" ca="1" si="181"/>
        <v>87.634466043821348</v>
      </c>
      <c r="L198">
        <f t="shared" ca="1" si="181"/>
        <v>86.578265625794899</v>
      </c>
      <c r="M198">
        <f t="shared" ca="1" si="181"/>
        <v>85.438727050404751</v>
      </c>
      <c r="N198">
        <f t="shared" ca="1" si="181"/>
        <v>83.804455195522507</v>
      </c>
      <c r="O198">
        <f t="shared" ca="1" si="181"/>
        <v>86.282134252952474</v>
      </c>
      <c r="P198">
        <f t="shared" ca="1" si="181"/>
        <v>82.848948724370373</v>
      </c>
      <c r="Q198">
        <f t="shared" ca="1" si="124"/>
        <v>94.824603637412451</v>
      </c>
      <c r="R198">
        <f t="shared" ca="1" si="125"/>
        <v>0</v>
      </c>
      <c r="S198">
        <f t="shared" ca="1" si="126"/>
        <v>0</v>
      </c>
    </row>
    <row r="199" spans="5:19" x14ac:dyDescent="0.75">
      <c r="E199">
        <v>194</v>
      </c>
      <c r="F199">
        <f t="shared" ref="F199:F262" si="182">$C$5</f>
        <v>100</v>
      </c>
      <c r="G199">
        <f t="shared" ref="G199:P262" ca="1" si="183">F199*EXP(($C$6-0.5*$C$7^2)*$C$12+$C$7*SQRT($C$12)*NORMINV(RAND(),0,1))</f>
        <v>92.760369092023637</v>
      </c>
      <c r="H199">
        <f t="shared" ca="1" si="183"/>
        <v>97.793483349813087</v>
      </c>
      <c r="I199">
        <f t="shared" ca="1" si="183"/>
        <v>97.75873486397235</v>
      </c>
      <c r="J199">
        <f t="shared" ca="1" si="183"/>
        <v>100.21392022880769</v>
      </c>
      <c r="K199">
        <f t="shared" ca="1" si="183"/>
        <v>101.38937628031384</v>
      </c>
      <c r="L199">
        <f t="shared" ca="1" si="183"/>
        <v>99.44876853793464</v>
      </c>
      <c r="M199">
        <f t="shared" ca="1" si="183"/>
        <v>97.657715210462669</v>
      </c>
      <c r="N199">
        <f t="shared" ca="1" si="183"/>
        <v>103.82912900229256</v>
      </c>
      <c r="O199">
        <f t="shared" ca="1" si="183"/>
        <v>102.33448819478933</v>
      </c>
      <c r="P199">
        <f t="shared" ca="1" si="183"/>
        <v>92.738363511195971</v>
      </c>
      <c r="Q199">
        <f t="shared" ref="Q199:Q262" ca="1" si="184">MAX(G199:P199)</f>
        <v>103.82912900229256</v>
      </c>
      <c r="R199">
        <f t="shared" ref="R199:R262" ca="1" si="185">IF(Q199&gt;=$C$13,0, MAX(P199-$C$9,0))</f>
        <v>0</v>
      </c>
      <c r="S199">
        <f t="shared" ref="S199:S262" ca="1" si="186">EXP(-$C$6*$C$8)*R199</f>
        <v>0</v>
      </c>
    </row>
    <row r="200" spans="5:19" x14ac:dyDescent="0.75">
      <c r="E200">
        <v>195</v>
      </c>
      <c r="F200">
        <f t="shared" si="182"/>
        <v>100</v>
      </c>
      <c r="G200">
        <f t="shared" ca="1" si="183"/>
        <v>101.17311237976574</v>
      </c>
      <c r="H200">
        <f t="shared" ca="1" si="183"/>
        <v>101.00305511800143</v>
      </c>
      <c r="I200">
        <f t="shared" ca="1" si="183"/>
        <v>106.66021236435044</v>
      </c>
      <c r="J200">
        <f t="shared" ca="1" si="183"/>
        <v>100.73006145730693</v>
      </c>
      <c r="K200">
        <f t="shared" ca="1" si="183"/>
        <v>100.5010338276838</v>
      </c>
      <c r="L200">
        <f t="shared" ca="1" si="183"/>
        <v>102.80367129012814</v>
      </c>
      <c r="M200">
        <f t="shared" ca="1" si="183"/>
        <v>98.666694878622579</v>
      </c>
      <c r="N200">
        <f t="shared" ca="1" si="183"/>
        <v>105.66248444455495</v>
      </c>
      <c r="O200">
        <f t="shared" ca="1" si="183"/>
        <v>108.43184359412963</v>
      </c>
      <c r="P200">
        <f t="shared" ca="1" si="183"/>
        <v>106.39575339983428</v>
      </c>
      <c r="Q200">
        <f t="shared" ca="1" si="184"/>
        <v>108.43184359412963</v>
      </c>
      <c r="R200">
        <f t="shared" ca="1" si="185"/>
        <v>4.3957533998342768</v>
      </c>
      <c r="S200">
        <f t="shared" ca="1" si="186"/>
        <v>4.2872218616906128</v>
      </c>
    </row>
    <row r="201" spans="5:19" x14ac:dyDescent="0.75">
      <c r="E201">
        <v>196</v>
      </c>
      <c r="F201">
        <f t="shared" si="182"/>
        <v>100</v>
      </c>
      <c r="G201">
        <f t="shared" ca="1" si="183"/>
        <v>99.575261303655395</v>
      </c>
      <c r="H201">
        <f t="shared" ca="1" si="183"/>
        <v>87.993103940526964</v>
      </c>
      <c r="I201">
        <f t="shared" ca="1" si="183"/>
        <v>87.480026803507286</v>
      </c>
      <c r="J201">
        <f t="shared" ca="1" si="183"/>
        <v>87.986732618384025</v>
      </c>
      <c r="K201">
        <f t="shared" ca="1" si="183"/>
        <v>88.633697722069456</v>
      </c>
      <c r="L201">
        <f t="shared" ca="1" si="183"/>
        <v>87.498466014689797</v>
      </c>
      <c r="M201">
        <f t="shared" ca="1" si="183"/>
        <v>90.321100910389703</v>
      </c>
      <c r="N201">
        <f t="shared" ca="1" si="183"/>
        <v>92.817234562231405</v>
      </c>
      <c r="O201">
        <f t="shared" ca="1" si="183"/>
        <v>95.879346290139353</v>
      </c>
      <c r="P201">
        <f t="shared" ca="1" si="183"/>
        <v>92.744977638054777</v>
      </c>
      <c r="Q201">
        <f t="shared" ca="1" si="184"/>
        <v>99.575261303655395</v>
      </c>
      <c r="R201">
        <f t="shared" ca="1" si="185"/>
        <v>0</v>
      </c>
      <c r="S201">
        <f t="shared" ca="1" si="186"/>
        <v>0</v>
      </c>
    </row>
    <row r="202" spans="5:19" x14ac:dyDescent="0.75">
      <c r="E202">
        <v>197</v>
      </c>
      <c r="F202">
        <f t="shared" si="182"/>
        <v>100</v>
      </c>
      <c r="G202">
        <f t="shared" ca="1" si="183"/>
        <v>100.31999891071912</v>
      </c>
      <c r="H202">
        <f t="shared" ca="1" si="183"/>
        <v>102.52297634227376</v>
      </c>
      <c r="I202">
        <f t="shared" ca="1" si="183"/>
        <v>103.6225242834325</v>
      </c>
      <c r="J202">
        <f t="shared" ca="1" si="183"/>
        <v>102.91071549172004</v>
      </c>
      <c r="K202">
        <f t="shared" ca="1" si="183"/>
        <v>101.36439301311827</v>
      </c>
      <c r="L202">
        <f t="shared" ca="1" si="183"/>
        <v>107.47383671382968</v>
      </c>
      <c r="M202">
        <f t="shared" ca="1" si="183"/>
        <v>113.28254165035294</v>
      </c>
      <c r="N202">
        <f t="shared" ca="1" si="183"/>
        <v>118.23357191740244</v>
      </c>
      <c r="O202">
        <f t="shared" ca="1" si="183"/>
        <v>125.21505553471762</v>
      </c>
      <c r="P202">
        <f t="shared" ca="1" si="183"/>
        <v>117.73250324239675</v>
      </c>
      <c r="Q202">
        <f t="shared" ca="1" si="184"/>
        <v>125.21505553471762</v>
      </c>
      <c r="R202">
        <f t="shared" ca="1" si="185"/>
        <v>0</v>
      </c>
      <c r="S202">
        <f t="shared" ca="1" si="186"/>
        <v>0</v>
      </c>
    </row>
    <row r="203" spans="5:19" x14ac:dyDescent="0.75">
      <c r="E203">
        <v>198</v>
      </c>
      <c r="F203">
        <f t="shared" si="182"/>
        <v>100</v>
      </c>
      <c r="G203">
        <f t="shared" ca="1" si="183"/>
        <v>100.05960462680517</v>
      </c>
      <c r="H203">
        <f t="shared" ca="1" si="183"/>
        <v>97.574105740756991</v>
      </c>
      <c r="I203">
        <f t="shared" ca="1" si="183"/>
        <v>97.996659319091521</v>
      </c>
      <c r="J203">
        <f t="shared" ca="1" si="183"/>
        <v>100.95364441857971</v>
      </c>
      <c r="K203">
        <f t="shared" ca="1" si="183"/>
        <v>103.86698349594373</v>
      </c>
      <c r="L203">
        <f t="shared" ca="1" si="183"/>
        <v>109.09496313933123</v>
      </c>
      <c r="M203">
        <f t="shared" ca="1" si="183"/>
        <v>108.70789882781315</v>
      </c>
      <c r="N203">
        <f t="shared" ca="1" si="183"/>
        <v>104.79836029559321</v>
      </c>
      <c r="O203">
        <f t="shared" ca="1" si="183"/>
        <v>108.49608843521297</v>
      </c>
      <c r="P203">
        <f t="shared" ca="1" si="183"/>
        <v>108.80963840171668</v>
      </c>
      <c r="Q203">
        <f t="shared" ca="1" si="184"/>
        <v>109.09496313933123</v>
      </c>
      <c r="R203">
        <f t="shared" ca="1" si="185"/>
        <v>6.8096384017166827</v>
      </c>
      <c r="S203">
        <f t="shared" ca="1" si="186"/>
        <v>6.6415078305230537</v>
      </c>
    </row>
    <row r="204" spans="5:19" x14ac:dyDescent="0.75">
      <c r="E204">
        <v>199</v>
      </c>
      <c r="F204">
        <f t="shared" si="182"/>
        <v>100</v>
      </c>
      <c r="G204">
        <f t="shared" ca="1" si="183"/>
        <v>95.119608754214951</v>
      </c>
      <c r="H204">
        <f t="shared" ca="1" si="183"/>
        <v>92.579159216059168</v>
      </c>
      <c r="I204">
        <f t="shared" ca="1" si="183"/>
        <v>99.134058720582217</v>
      </c>
      <c r="J204">
        <f t="shared" ca="1" si="183"/>
        <v>99.674981128642983</v>
      </c>
      <c r="K204">
        <f t="shared" ca="1" si="183"/>
        <v>104.64064743598489</v>
      </c>
      <c r="L204">
        <f t="shared" ca="1" si="183"/>
        <v>108.05930010037702</v>
      </c>
      <c r="M204">
        <f t="shared" ca="1" si="183"/>
        <v>111.14543715319688</v>
      </c>
      <c r="N204">
        <f t="shared" ca="1" si="183"/>
        <v>104.47881412654164</v>
      </c>
      <c r="O204">
        <f t="shared" ca="1" si="183"/>
        <v>109.12567005898229</v>
      </c>
      <c r="P204">
        <f t="shared" ca="1" si="183"/>
        <v>107.65270084456574</v>
      </c>
      <c r="Q204">
        <f t="shared" ca="1" si="184"/>
        <v>111.14543715319688</v>
      </c>
      <c r="R204">
        <f t="shared" ca="1" si="185"/>
        <v>0</v>
      </c>
      <c r="S204">
        <f t="shared" ca="1" si="186"/>
        <v>0</v>
      </c>
    </row>
    <row r="205" spans="5:19" x14ac:dyDescent="0.75">
      <c r="E205">
        <v>200</v>
      </c>
      <c r="F205">
        <f t="shared" si="182"/>
        <v>100</v>
      </c>
      <c r="G205">
        <f t="shared" ca="1" si="183"/>
        <v>98.567097537247719</v>
      </c>
      <c r="H205">
        <f t="shared" ca="1" si="183"/>
        <v>102.46036800511149</v>
      </c>
      <c r="I205">
        <f t="shared" ca="1" si="183"/>
        <v>107.49205873249264</v>
      </c>
      <c r="J205">
        <f t="shared" ca="1" si="183"/>
        <v>108.74280686918891</v>
      </c>
      <c r="K205">
        <f t="shared" ca="1" si="183"/>
        <v>105.56238840956495</v>
      </c>
      <c r="L205">
        <f t="shared" ca="1" si="183"/>
        <v>103.39577369442192</v>
      </c>
      <c r="M205">
        <f t="shared" ca="1" si="183"/>
        <v>100.28705108799804</v>
      </c>
      <c r="N205">
        <f t="shared" ca="1" si="183"/>
        <v>104.96602280801575</v>
      </c>
      <c r="O205">
        <f t="shared" ca="1" si="183"/>
        <v>106.04639601261812</v>
      </c>
      <c r="P205">
        <f t="shared" ca="1" si="183"/>
        <v>109.11225818747525</v>
      </c>
      <c r="Q205">
        <f t="shared" ca="1" si="184"/>
        <v>109.11225818747525</v>
      </c>
      <c r="R205">
        <f t="shared" ca="1" si="185"/>
        <v>7.1122581874752484</v>
      </c>
      <c r="S205">
        <f t="shared" ca="1" si="186"/>
        <v>6.936655907149273</v>
      </c>
    </row>
    <row r="206" spans="5:19" x14ac:dyDescent="0.75">
      <c r="E206">
        <v>201</v>
      </c>
      <c r="F206">
        <f t="shared" si="182"/>
        <v>100</v>
      </c>
      <c r="G206">
        <f t="shared" ca="1" si="183"/>
        <v>103.4799491307532</v>
      </c>
      <c r="H206">
        <f t="shared" ca="1" si="183"/>
        <v>106.99010814833332</v>
      </c>
      <c r="I206">
        <f t="shared" ca="1" si="183"/>
        <v>112.02731495562149</v>
      </c>
      <c r="J206">
        <f t="shared" ca="1" si="183"/>
        <v>118.72740026682052</v>
      </c>
      <c r="K206">
        <f t="shared" ca="1" si="183"/>
        <v>120.31733464054084</v>
      </c>
      <c r="L206">
        <f t="shared" ca="1" si="183"/>
        <v>123.8110041566741</v>
      </c>
      <c r="M206">
        <f t="shared" ca="1" si="183"/>
        <v>130.69369499195963</v>
      </c>
      <c r="N206">
        <f t="shared" ca="1" si="183"/>
        <v>123.27618474788802</v>
      </c>
      <c r="O206">
        <f t="shared" ca="1" si="183"/>
        <v>128.42504479138671</v>
      </c>
      <c r="P206">
        <f t="shared" ca="1" si="183"/>
        <v>132.93978325662763</v>
      </c>
      <c r="Q206">
        <f t="shared" ca="1" si="184"/>
        <v>132.93978325662763</v>
      </c>
      <c r="R206">
        <f t="shared" ca="1" si="185"/>
        <v>0</v>
      </c>
      <c r="S206">
        <f t="shared" ca="1" si="186"/>
        <v>0</v>
      </c>
    </row>
    <row r="207" spans="5:19" x14ac:dyDescent="0.75">
      <c r="E207">
        <v>202</v>
      </c>
      <c r="F207">
        <f t="shared" si="182"/>
        <v>100</v>
      </c>
      <c r="G207">
        <f t="shared" ca="1" si="183"/>
        <v>103.21374694470991</v>
      </c>
      <c r="H207">
        <f t="shared" ca="1" si="183"/>
        <v>106.06143990982513</v>
      </c>
      <c r="I207">
        <f t="shared" ca="1" si="183"/>
        <v>102.31942494090949</v>
      </c>
      <c r="J207">
        <f t="shared" ca="1" si="183"/>
        <v>107.43181890421971</v>
      </c>
      <c r="K207">
        <f t="shared" ca="1" si="183"/>
        <v>107.9624789765581</v>
      </c>
      <c r="L207">
        <f t="shared" ca="1" si="183"/>
        <v>107.03219726338621</v>
      </c>
      <c r="M207">
        <f t="shared" ca="1" si="183"/>
        <v>104.9816647533399</v>
      </c>
      <c r="N207">
        <f t="shared" ca="1" si="183"/>
        <v>113.65897134855169</v>
      </c>
      <c r="O207">
        <f t="shared" ca="1" si="183"/>
        <v>123.761785584302</v>
      </c>
      <c r="P207">
        <f t="shared" ca="1" si="183"/>
        <v>125.83198530131098</v>
      </c>
      <c r="Q207">
        <f t="shared" ca="1" si="184"/>
        <v>125.83198530131098</v>
      </c>
      <c r="R207">
        <f t="shared" ca="1" si="185"/>
        <v>0</v>
      </c>
      <c r="S207">
        <f t="shared" ca="1" si="186"/>
        <v>0</v>
      </c>
    </row>
    <row r="208" spans="5:19" x14ac:dyDescent="0.75">
      <c r="E208">
        <v>203</v>
      </c>
      <c r="F208">
        <f t="shared" si="182"/>
        <v>100</v>
      </c>
      <c r="G208">
        <f t="shared" ca="1" si="183"/>
        <v>96.2829392953916</v>
      </c>
      <c r="H208">
        <f t="shared" ca="1" si="183"/>
        <v>95.806942721192911</v>
      </c>
      <c r="I208">
        <f t="shared" ca="1" si="183"/>
        <v>87.34823368783627</v>
      </c>
      <c r="J208">
        <f t="shared" ref="J208:P208" ca="1" si="187">I208*EXP(($C$6-0.5*$C$7^2)*$C$12+$C$7*SQRT($C$12)*NORMINV(RAND(),0,1))</f>
        <v>89.711880279837857</v>
      </c>
      <c r="K208">
        <f t="shared" ca="1" si="187"/>
        <v>95.370760233654991</v>
      </c>
      <c r="L208">
        <f t="shared" ca="1" si="187"/>
        <v>100.88207252174857</v>
      </c>
      <c r="M208">
        <f t="shared" ca="1" si="187"/>
        <v>96.119809171192131</v>
      </c>
      <c r="N208">
        <f t="shared" ca="1" si="187"/>
        <v>95.498685879865747</v>
      </c>
      <c r="O208">
        <f t="shared" ca="1" si="187"/>
        <v>94.544702942780063</v>
      </c>
      <c r="P208">
        <f t="shared" ca="1" si="187"/>
        <v>93.805136011995145</v>
      </c>
      <c r="Q208">
        <f t="shared" ca="1" si="184"/>
        <v>100.88207252174857</v>
      </c>
      <c r="R208">
        <f t="shared" ca="1" si="185"/>
        <v>0</v>
      </c>
      <c r="S208">
        <f t="shared" ca="1" si="186"/>
        <v>0</v>
      </c>
    </row>
    <row r="209" spans="5:19" x14ac:dyDescent="0.75">
      <c r="E209">
        <v>204</v>
      </c>
      <c r="F209">
        <f t="shared" si="182"/>
        <v>100</v>
      </c>
      <c r="G209">
        <f t="shared" ca="1" si="183"/>
        <v>106.72265314491267</v>
      </c>
      <c r="H209">
        <f t="shared" ca="1" si="183"/>
        <v>107.53688175473802</v>
      </c>
      <c r="I209">
        <f t="shared" ca="1" si="183"/>
        <v>113.49308524593719</v>
      </c>
      <c r="J209">
        <f t="shared" ref="J209:P209" ca="1" si="188">I209*EXP(($C$6-0.5*$C$7^2)*$C$12+$C$7*SQRT($C$12)*NORMINV(RAND(),0,1))</f>
        <v>118.26746511477984</v>
      </c>
      <c r="K209">
        <f t="shared" ca="1" si="188"/>
        <v>118.50052202546685</v>
      </c>
      <c r="L209">
        <f t="shared" ca="1" si="188"/>
        <v>119.1893289792051</v>
      </c>
      <c r="M209">
        <f t="shared" ca="1" si="188"/>
        <v>114.64221737643597</v>
      </c>
      <c r="N209">
        <f t="shared" ca="1" si="188"/>
        <v>112.79952757721469</v>
      </c>
      <c r="O209">
        <f t="shared" ca="1" si="188"/>
        <v>108.53074073367266</v>
      </c>
      <c r="P209">
        <f t="shared" ca="1" si="188"/>
        <v>111.37601137214085</v>
      </c>
      <c r="Q209">
        <f t="shared" ca="1" si="184"/>
        <v>119.1893289792051</v>
      </c>
      <c r="R209">
        <f t="shared" ca="1" si="185"/>
        <v>0</v>
      </c>
      <c r="S209">
        <f t="shared" ca="1" si="186"/>
        <v>0</v>
      </c>
    </row>
    <row r="210" spans="5:19" x14ac:dyDescent="0.75">
      <c r="E210">
        <v>205</v>
      </c>
      <c r="F210">
        <f t="shared" si="182"/>
        <v>100</v>
      </c>
      <c r="G210">
        <f t="shared" ca="1" si="183"/>
        <v>104.29481330794606</v>
      </c>
      <c r="H210">
        <f t="shared" ca="1" si="183"/>
        <v>117.36782240754584</v>
      </c>
      <c r="I210">
        <f t="shared" ca="1" si="183"/>
        <v>102.56179133820703</v>
      </c>
      <c r="J210">
        <f t="shared" ref="J210:P210" ca="1" si="189">I210*EXP(($C$6-0.5*$C$7^2)*$C$12+$C$7*SQRT($C$12)*NORMINV(RAND(),0,1))</f>
        <v>103.11141423355929</v>
      </c>
      <c r="K210">
        <f t="shared" ca="1" si="189"/>
        <v>98.687018594426036</v>
      </c>
      <c r="L210">
        <f t="shared" ca="1" si="189"/>
        <v>99.818833848465417</v>
      </c>
      <c r="M210">
        <f t="shared" ca="1" si="189"/>
        <v>95.734158275739588</v>
      </c>
      <c r="N210">
        <f t="shared" ca="1" si="189"/>
        <v>91.807707668263916</v>
      </c>
      <c r="O210">
        <f t="shared" ca="1" si="189"/>
        <v>86.527021919526589</v>
      </c>
      <c r="P210">
        <f t="shared" ca="1" si="189"/>
        <v>83.221521852522599</v>
      </c>
      <c r="Q210">
        <f t="shared" ca="1" si="184"/>
        <v>117.36782240754584</v>
      </c>
      <c r="R210">
        <f t="shared" ca="1" si="185"/>
        <v>0</v>
      </c>
      <c r="S210">
        <f t="shared" ca="1" si="186"/>
        <v>0</v>
      </c>
    </row>
    <row r="211" spans="5:19" x14ac:dyDescent="0.75">
      <c r="E211">
        <v>206</v>
      </c>
      <c r="F211">
        <f t="shared" si="182"/>
        <v>100</v>
      </c>
      <c r="G211">
        <f t="shared" ca="1" si="183"/>
        <v>89.545632695151397</v>
      </c>
      <c r="H211">
        <f t="shared" ca="1" si="183"/>
        <v>95.95800519229077</v>
      </c>
      <c r="I211">
        <f t="shared" ca="1" si="183"/>
        <v>88.813701030545104</v>
      </c>
      <c r="J211">
        <f t="shared" ref="J211:P211" ca="1" si="190">I211*EXP(($C$6-0.5*$C$7^2)*$C$12+$C$7*SQRT($C$12)*NORMINV(RAND(),0,1))</f>
        <v>92.634561690247594</v>
      </c>
      <c r="K211">
        <f t="shared" ca="1" si="190"/>
        <v>89.576923266592189</v>
      </c>
      <c r="L211">
        <f t="shared" ca="1" si="190"/>
        <v>93.730423004832645</v>
      </c>
      <c r="M211">
        <f t="shared" ca="1" si="190"/>
        <v>98.328820573007761</v>
      </c>
      <c r="N211">
        <f t="shared" ca="1" si="190"/>
        <v>107.82048706374286</v>
      </c>
      <c r="O211">
        <f t="shared" ca="1" si="190"/>
        <v>107.80449499853621</v>
      </c>
      <c r="P211">
        <f t="shared" ca="1" si="190"/>
        <v>110.22816961726244</v>
      </c>
      <c r="Q211">
        <f t="shared" ca="1" si="184"/>
        <v>110.22816961726244</v>
      </c>
      <c r="R211">
        <f t="shared" ca="1" si="185"/>
        <v>0</v>
      </c>
      <c r="S211">
        <f t="shared" ca="1" si="186"/>
        <v>0</v>
      </c>
    </row>
    <row r="212" spans="5:19" x14ac:dyDescent="0.75">
      <c r="E212">
        <v>207</v>
      </c>
      <c r="F212">
        <f t="shared" si="182"/>
        <v>100</v>
      </c>
      <c r="G212">
        <f t="shared" ca="1" si="183"/>
        <v>106.58316717076384</v>
      </c>
      <c r="H212">
        <f t="shared" ca="1" si="183"/>
        <v>114.62978446731617</v>
      </c>
      <c r="I212">
        <f t="shared" ca="1" si="183"/>
        <v>115.7720844168025</v>
      </c>
      <c r="J212">
        <f t="shared" ref="J212:P212" ca="1" si="191">I212*EXP(($C$6-0.5*$C$7^2)*$C$12+$C$7*SQRT($C$12)*NORMINV(RAND(),0,1))</f>
        <v>108.28152159699259</v>
      </c>
      <c r="K212">
        <f t="shared" ca="1" si="191"/>
        <v>114.49317341837212</v>
      </c>
      <c r="L212">
        <f t="shared" ca="1" si="191"/>
        <v>108.85616190478247</v>
      </c>
      <c r="M212">
        <f t="shared" ca="1" si="191"/>
        <v>111.30357831107936</v>
      </c>
      <c r="N212">
        <f t="shared" ca="1" si="191"/>
        <v>112.21808490736161</v>
      </c>
      <c r="O212">
        <f t="shared" ca="1" si="191"/>
        <v>109.61796941136599</v>
      </c>
      <c r="P212">
        <f t="shared" ca="1" si="191"/>
        <v>110.6565330741452</v>
      </c>
      <c r="Q212">
        <f t="shared" ca="1" si="184"/>
        <v>115.7720844168025</v>
      </c>
      <c r="R212">
        <f t="shared" ca="1" si="185"/>
        <v>0</v>
      </c>
      <c r="S212">
        <f t="shared" ca="1" si="186"/>
        <v>0</v>
      </c>
    </row>
    <row r="213" spans="5:19" x14ac:dyDescent="0.75">
      <c r="E213">
        <v>208</v>
      </c>
      <c r="F213">
        <f t="shared" si="182"/>
        <v>100</v>
      </c>
      <c r="G213">
        <f t="shared" ca="1" si="183"/>
        <v>103.94090020670316</v>
      </c>
      <c r="H213">
        <f t="shared" ca="1" si="183"/>
        <v>100.7722615926933</v>
      </c>
      <c r="I213">
        <f t="shared" ca="1" si="183"/>
        <v>114.11190517601814</v>
      </c>
      <c r="J213">
        <f t="shared" ref="J213:P213" ca="1" si="192">I213*EXP(($C$6-0.5*$C$7^2)*$C$12+$C$7*SQRT($C$12)*NORMINV(RAND(),0,1))</f>
        <v>118.57514270707728</v>
      </c>
      <c r="K213">
        <f t="shared" ca="1" si="192"/>
        <v>124.94311828337499</v>
      </c>
      <c r="L213">
        <f t="shared" ca="1" si="192"/>
        <v>124.00336659768337</v>
      </c>
      <c r="M213">
        <f t="shared" ca="1" si="192"/>
        <v>118.74493700608232</v>
      </c>
      <c r="N213">
        <f t="shared" ca="1" si="192"/>
        <v>113.11845144464066</v>
      </c>
      <c r="O213">
        <f t="shared" ca="1" si="192"/>
        <v>120.32155271713042</v>
      </c>
      <c r="P213">
        <f t="shared" ca="1" si="192"/>
        <v>116.97263458892733</v>
      </c>
      <c r="Q213">
        <f t="shared" ca="1" si="184"/>
        <v>124.94311828337499</v>
      </c>
      <c r="R213">
        <f t="shared" ca="1" si="185"/>
        <v>0</v>
      </c>
      <c r="S213">
        <f t="shared" ca="1" si="186"/>
        <v>0</v>
      </c>
    </row>
    <row r="214" spans="5:19" x14ac:dyDescent="0.75">
      <c r="E214">
        <v>209</v>
      </c>
      <c r="F214">
        <f t="shared" si="182"/>
        <v>100</v>
      </c>
      <c r="G214">
        <f t="shared" ca="1" si="183"/>
        <v>98.644916233973774</v>
      </c>
      <c r="H214">
        <f t="shared" ca="1" si="183"/>
        <v>96.091153238982301</v>
      </c>
      <c r="I214">
        <f t="shared" ca="1" si="183"/>
        <v>95.744011058518822</v>
      </c>
      <c r="J214">
        <f t="shared" ref="J214:P214" ca="1" si="193">I214*EXP(($C$6-0.5*$C$7^2)*$C$12+$C$7*SQRT($C$12)*NORMINV(RAND(),0,1))</f>
        <v>94.970351062658949</v>
      </c>
      <c r="K214">
        <f t="shared" ca="1" si="193"/>
        <v>93.109932476911823</v>
      </c>
      <c r="L214">
        <f t="shared" ca="1" si="193"/>
        <v>88.864156807481905</v>
      </c>
      <c r="M214">
        <f t="shared" ca="1" si="193"/>
        <v>87.235952297017917</v>
      </c>
      <c r="N214">
        <f t="shared" ca="1" si="193"/>
        <v>92.566331833541696</v>
      </c>
      <c r="O214">
        <f t="shared" ca="1" si="193"/>
        <v>101.73676182727151</v>
      </c>
      <c r="P214">
        <f t="shared" ca="1" si="193"/>
        <v>105.9631096954386</v>
      </c>
      <c r="Q214">
        <f t="shared" ca="1" si="184"/>
        <v>105.9631096954386</v>
      </c>
      <c r="R214">
        <f t="shared" ca="1" si="185"/>
        <v>3.9631096954386038</v>
      </c>
      <c r="S214">
        <f t="shared" ca="1" si="186"/>
        <v>3.8652601684168566</v>
      </c>
    </row>
    <row r="215" spans="5:19" x14ac:dyDescent="0.75">
      <c r="E215">
        <v>210</v>
      </c>
      <c r="F215">
        <f t="shared" si="182"/>
        <v>100</v>
      </c>
      <c r="G215">
        <f t="shared" ca="1" si="183"/>
        <v>106.28209646021958</v>
      </c>
      <c r="H215">
        <f t="shared" ca="1" si="183"/>
        <v>109.66968391146112</v>
      </c>
      <c r="I215">
        <f t="shared" ca="1" si="183"/>
        <v>118.90281988708307</v>
      </c>
      <c r="J215">
        <f t="shared" ref="J215:P215" ca="1" si="194">I215*EXP(($C$6-0.5*$C$7^2)*$C$12+$C$7*SQRT($C$12)*NORMINV(RAND(),0,1))</f>
        <v>114.66876185293351</v>
      </c>
      <c r="K215">
        <f t="shared" ca="1" si="194"/>
        <v>116.14312341178876</v>
      </c>
      <c r="L215">
        <f t="shared" ca="1" si="194"/>
        <v>116.2499176578083</v>
      </c>
      <c r="M215">
        <f t="shared" ca="1" si="194"/>
        <v>107.55808436267</v>
      </c>
      <c r="N215">
        <f t="shared" ca="1" si="194"/>
        <v>102.41779657085357</v>
      </c>
      <c r="O215">
        <f t="shared" ca="1" si="194"/>
        <v>105.84021365199621</v>
      </c>
      <c r="P215">
        <f t="shared" ca="1" si="194"/>
        <v>101.54394385772123</v>
      </c>
      <c r="Q215">
        <f t="shared" ca="1" si="184"/>
        <v>118.90281988708307</v>
      </c>
      <c r="R215">
        <f t="shared" ca="1" si="185"/>
        <v>0</v>
      </c>
      <c r="S215">
        <f t="shared" ca="1" si="186"/>
        <v>0</v>
      </c>
    </row>
    <row r="216" spans="5:19" x14ac:dyDescent="0.75">
      <c r="E216">
        <v>211</v>
      </c>
      <c r="F216">
        <f t="shared" si="182"/>
        <v>100</v>
      </c>
      <c r="G216">
        <f t="shared" ca="1" si="183"/>
        <v>96.567619335207198</v>
      </c>
      <c r="H216">
        <f t="shared" ca="1" si="183"/>
        <v>99.534605036442542</v>
      </c>
      <c r="I216">
        <f t="shared" ca="1" si="183"/>
        <v>100.54466326554338</v>
      </c>
      <c r="J216">
        <f t="shared" ref="J216:P216" ca="1" si="195">I216*EXP(($C$6-0.5*$C$7^2)*$C$12+$C$7*SQRT($C$12)*NORMINV(RAND(),0,1))</f>
        <v>98.797800398210981</v>
      </c>
      <c r="K216">
        <f t="shared" ca="1" si="195"/>
        <v>97.767855404609662</v>
      </c>
      <c r="L216">
        <f t="shared" ca="1" si="195"/>
        <v>92.118172064861383</v>
      </c>
      <c r="M216">
        <f t="shared" ca="1" si="195"/>
        <v>91.834951380774285</v>
      </c>
      <c r="N216">
        <f t="shared" ca="1" si="195"/>
        <v>93.173403595048484</v>
      </c>
      <c r="O216">
        <f t="shared" ca="1" si="195"/>
        <v>90.86748808898075</v>
      </c>
      <c r="P216">
        <f t="shared" ca="1" si="195"/>
        <v>95.374283473053808</v>
      </c>
      <c r="Q216">
        <f t="shared" ca="1" si="184"/>
        <v>100.54466326554338</v>
      </c>
      <c r="R216">
        <f t="shared" ca="1" si="185"/>
        <v>0</v>
      </c>
      <c r="S216">
        <f t="shared" ca="1" si="186"/>
        <v>0</v>
      </c>
    </row>
    <row r="217" spans="5:19" x14ac:dyDescent="0.75">
      <c r="E217">
        <v>212</v>
      </c>
      <c r="F217">
        <f t="shared" si="182"/>
        <v>100</v>
      </c>
      <c r="G217">
        <f t="shared" ca="1" si="183"/>
        <v>99.256351103241542</v>
      </c>
      <c r="H217">
        <f t="shared" ca="1" si="183"/>
        <v>98.904369461740941</v>
      </c>
      <c r="I217">
        <f t="shared" ca="1" si="183"/>
        <v>100.60613356873449</v>
      </c>
      <c r="J217">
        <f t="shared" ref="J217:P217" ca="1" si="196">I217*EXP(($C$6-0.5*$C$7^2)*$C$12+$C$7*SQRT($C$12)*NORMINV(RAND(),0,1))</f>
        <v>99.013065896217796</v>
      </c>
      <c r="K217">
        <f t="shared" ca="1" si="196"/>
        <v>99.337094370753519</v>
      </c>
      <c r="L217">
        <f t="shared" ca="1" si="196"/>
        <v>96.334056651138255</v>
      </c>
      <c r="M217">
        <f t="shared" ca="1" si="196"/>
        <v>99.555508804925708</v>
      </c>
      <c r="N217">
        <f t="shared" ca="1" si="196"/>
        <v>100.05868362656356</v>
      </c>
      <c r="O217">
        <f t="shared" ca="1" si="196"/>
        <v>103.44609731393972</v>
      </c>
      <c r="P217">
        <f t="shared" ca="1" si="196"/>
        <v>98.086397306071348</v>
      </c>
      <c r="Q217">
        <f t="shared" ca="1" si="184"/>
        <v>103.44609731393972</v>
      </c>
      <c r="R217">
        <f t="shared" ca="1" si="185"/>
        <v>0</v>
      </c>
      <c r="S217">
        <f t="shared" ca="1" si="186"/>
        <v>0</v>
      </c>
    </row>
    <row r="218" spans="5:19" x14ac:dyDescent="0.75">
      <c r="E218">
        <v>213</v>
      </c>
      <c r="F218">
        <f t="shared" si="182"/>
        <v>100</v>
      </c>
      <c r="G218">
        <f t="shared" ca="1" si="183"/>
        <v>103.51976897602628</v>
      </c>
      <c r="H218">
        <f t="shared" ca="1" si="183"/>
        <v>108.41196906859848</v>
      </c>
      <c r="I218">
        <f t="shared" ca="1" si="183"/>
        <v>104.54666796300125</v>
      </c>
      <c r="J218">
        <f t="shared" ref="J218:P218" ca="1" si="197">I218*EXP(($C$6-0.5*$C$7^2)*$C$12+$C$7*SQRT($C$12)*NORMINV(RAND(),0,1))</f>
        <v>107.98569286732857</v>
      </c>
      <c r="K218">
        <f t="shared" ca="1" si="197"/>
        <v>107.72915334517258</v>
      </c>
      <c r="L218">
        <f t="shared" ca="1" si="197"/>
        <v>108.34581455729844</v>
      </c>
      <c r="M218">
        <f t="shared" ca="1" si="197"/>
        <v>105.3557068008072</v>
      </c>
      <c r="N218">
        <f t="shared" ca="1" si="197"/>
        <v>107.56191973923485</v>
      </c>
      <c r="O218">
        <f t="shared" ca="1" si="197"/>
        <v>113.45226832078511</v>
      </c>
      <c r="P218">
        <f t="shared" ca="1" si="197"/>
        <v>108.13968709717138</v>
      </c>
      <c r="Q218">
        <f t="shared" ca="1" si="184"/>
        <v>113.45226832078511</v>
      </c>
      <c r="R218">
        <f t="shared" ca="1" si="185"/>
        <v>0</v>
      </c>
      <c r="S218">
        <f t="shared" ca="1" si="186"/>
        <v>0</v>
      </c>
    </row>
    <row r="219" spans="5:19" x14ac:dyDescent="0.75">
      <c r="E219">
        <v>214</v>
      </c>
      <c r="F219">
        <f t="shared" si="182"/>
        <v>100</v>
      </c>
      <c r="G219">
        <f t="shared" ca="1" si="183"/>
        <v>95.19061864093625</v>
      </c>
      <c r="H219">
        <f t="shared" ca="1" si="183"/>
        <v>89.052067686223282</v>
      </c>
      <c r="I219">
        <f t="shared" ca="1" si="183"/>
        <v>87.861535556129269</v>
      </c>
      <c r="J219">
        <f t="shared" ref="J219:P219" ca="1" si="198">I219*EXP(($C$6-0.5*$C$7^2)*$C$12+$C$7*SQRT($C$12)*NORMINV(RAND(),0,1))</f>
        <v>93.235301788188281</v>
      </c>
      <c r="K219">
        <f t="shared" ca="1" si="198"/>
        <v>86.899093177127597</v>
      </c>
      <c r="L219">
        <f t="shared" ca="1" si="198"/>
        <v>88.775202606625854</v>
      </c>
      <c r="M219">
        <f t="shared" ca="1" si="198"/>
        <v>90.37882482701869</v>
      </c>
      <c r="N219">
        <f t="shared" ca="1" si="198"/>
        <v>91.86772989017301</v>
      </c>
      <c r="O219">
        <f t="shared" ca="1" si="198"/>
        <v>84.380128700287884</v>
      </c>
      <c r="P219">
        <f t="shared" ca="1" si="198"/>
        <v>83.023324527507654</v>
      </c>
      <c r="Q219">
        <f t="shared" ca="1" si="184"/>
        <v>95.19061864093625</v>
      </c>
      <c r="R219">
        <f t="shared" ca="1" si="185"/>
        <v>0</v>
      </c>
      <c r="S219">
        <f t="shared" ca="1" si="186"/>
        <v>0</v>
      </c>
    </row>
    <row r="220" spans="5:19" x14ac:dyDescent="0.75">
      <c r="E220">
        <v>215</v>
      </c>
      <c r="F220">
        <f t="shared" si="182"/>
        <v>100</v>
      </c>
      <c r="G220">
        <f t="shared" ca="1" si="183"/>
        <v>96.522494304288074</v>
      </c>
      <c r="H220">
        <f t="shared" ca="1" si="183"/>
        <v>102.06444591478721</v>
      </c>
      <c r="I220">
        <f t="shared" ca="1" si="183"/>
        <v>116.0830812492358</v>
      </c>
      <c r="J220">
        <f t="shared" ref="J220:P220" ca="1" si="199">I220*EXP(($C$6-0.5*$C$7^2)*$C$12+$C$7*SQRT($C$12)*NORMINV(RAND(),0,1))</f>
        <v>121.96633864116275</v>
      </c>
      <c r="K220">
        <f t="shared" ca="1" si="199"/>
        <v>125.64326643541253</v>
      </c>
      <c r="L220">
        <f t="shared" ca="1" si="199"/>
        <v>121.58146689840778</v>
      </c>
      <c r="M220">
        <f t="shared" ca="1" si="199"/>
        <v>126.24290215597429</v>
      </c>
      <c r="N220">
        <f t="shared" ca="1" si="199"/>
        <v>119.95156933227493</v>
      </c>
      <c r="O220">
        <f t="shared" ca="1" si="199"/>
        <v>122.64810428336068</v>
      </c>
      <c r="P220">
        <f t="shared" ca="1" si="199"/>
        <v>129.45972788718956</v>
      </c>
      <c r="Q220">
        <f t="shared" ca="1" si="184"/>
        <v>129.45972788718956</v>
      </c>
      <c r="R220">
        <f t="shared" ca="1" si="185"/>
        <v>0</v>
      </c>
      <c r="S220">
        <f t="shared" ca="1" si="186"/>
        <v>0</v>
      </c>
    </row>
    <row r="221" spans="5:19" x14ac:dyDescent="0.75">
      <c r="E221">
        <v>216</v>
      </c>
      <c r="F221">
        <f t="shared" si="182"/>
        <v>100</v>
      </c>
      <c r="G221">
        <f t="shared" ca="1" si="183"/>
        <v>96.580172567850454</v>
      </c>
      <c r="H221">
        <f t="shared" ca="1" si="183"/>
        <v>100.89782774082056</v>
      </c>
      <c r="I221">
        <f t="shared" ca="1" si="183"/>
        <v>94.413839367811264</v>
      </c>
      <c r="J221">
        <f t="shared" ref="J221:P221" ca="1" si="200">I221*EXP(($C$6-0.5*$C$7^2)*$C$12+$C$7*SQRT($C$12)*NORMINV(RAND(),0,1))</f>
        <v>99.698336630287912</v>
      </c>
      <c r="K221">
        <f t="shared" ca="1" si="200"/>
        <v>95.284734772296787</v>
      </c>
      <c r="L221">
        <f t="shared" ca="1" si="200"/>
        <v>93.787984913474631</v>
      </c>
      <c r="M221">
        <f t="shared" ca="1" si="200"/>
        <v>95.653514040556487</v>
      </c>
      <c r="N221">
        <f t="shared" ca="1" si="200"/>
        <v>94.354669225359714</v>
      </c>
      <c r="O221">
        <f t="shared" ca="1" si="200"/>
        <v>94.776107248643555</v>
      </c>
      <c r="P221">
        <f t="shared" ca="1" si="200"/>
        <v>98.86028232820685</v>
      </c>
      <c r="Q221">
        <f t="shared" ca="1" si="184"/>
        <v>100.89782774082056</v>
      </c>
      <c r="R221">
        <f t="shared" ca="1" si="185"/>
        <v>0</v>
      </c>
      <c r="S221">
        <f t="shared" ca="1" si="186"/>
        <v>0</v>
      </c>
    </row>
    <row r="222" spans="5:19" x14ac:dyDescent="0.75">
      <c r="E222">
        <v>217</v>
      </c>
      <c r="F222">
        <f t="shared" si="182"/>
        <v>100</v>
      </c>
      <c r="G222">
        <f t="shared" ca="1" si="183"/>
        <v>102.63211270238182</v>
      </c>
      <c r="H222">
        <f t="shared" ca="1" si="183"/>
        <v>106.99679535820555</v>
      </c>
      <c r="I222">
        <f t="shared" ca="1" si="183"/>
        <v>108.07069218684153</v>
      </c>
      <c r="J222">
        <f t="shared" ref="J222:P222" ca="1" si="201">I222*EXP(($C$6-0.5*$C$7^2)*$C$12+$C$7*SQRT($C$12)*NORMINV(RAND(),0,1))</f>
        <v>101.12203206073291</v>
      </c>
      <c r="K222">
        <f t="shared" ca="1" si="201"/>
        <v>99.989668776577417</v>
      </c>
      <c r="L222">
        <f t="shared" ca="1" si="201"/>
        <v>98.52754555371439</v>
      </c>
      <c r="M222">
        <f t="shared" ca="1" si="201"/>
        <v>87.750774864083596</v>
      </c>
      <c r="N222">
        <f t="shared" ca="1" si="201"/>
        <v>85.488082942943848</v>
      </c>
      <c r="O222">
        <f t="shared" ca="1" si="201"/>
        <v>86.431049055014299</v>
      </c>
      <c r="P222">
        <f t="shared" ca="1" si="201"/>
        <v>90.213630915264986</v>
      </c>
      <c r="Q222">
        <f t="shared" ca="1" si="184"/>
        <v>108.07069218684153</v>
      </c>
      <c r="R222">
        <f t="shared" ca="1" si="185"/>
        <v>0</v>
      </c>
      <c r="S222">
        <f t="shared" ca="1" si="186"/>
        <v>0</v>
      </c>
    </row>
    <row r="223" spans="5:19" x14ac:dyDescent="0.75">
      <c r="E223">
        <v>218</v>
      </c>
      <c r="F223">
        <f t="shared" si="182"/>
        <v>100</v>
      </c>
      <c r="G223">
        <f t="shared" ca="1" si="183"/>
        <v>103.61239165744553</v>
      </c>
      <c r="H223">
        <f t="shared" ca="1" si="183"/>
        <v>107.64383317891135</v>
      </c>
      <c r="I223">
        <f t="shared" ca="1" si="183"/>
        <v>112.04335479846715</v>
      </c>
      <c r="J223">
        <f t="shared" ref="J223:P223" ca="1" si="202">I223*EXP(($C$6-0.5*$C$7^2)*$C$12+$C$7*SQRT($C$12)*NORMINV(RAND(),0,1))</f>
        <v>118.73908926628394</v>
      </c>
      <c r="K223">
        <f t="shared" ca="1" si="202"/>
        <v>130.35837705573084</v>
      </c>
      <c r="L223">
        <f t="shared" ca="1" si="202"/>
        <v>124.41467502342958</v>
      </c>
      <c r="M223">
        <f t="shared" ca="1" si="202"/>
        <v>121.29128147630725</v>
      </c>
      <c r="N223">
        <f t="shared" ca="1" si="202"/>
        <v>119.85011285678586</v>
      </c>
      <c r="O223">
        <f t="shared" ca="1" si="202"/>
        <v>120.52972091368365</v>
      </c>
      <c r="P223">
        <f t="shared" ca="1" si="202"/>
        <v>121.67802781579734</v>
      </c>
      <c r="Q223">
        <f t="shared" ca="1" si="184"/>
        <v>130.35837705573084</v>
      </c>
      <c r="R223">
        <f t="shared" ca="1" si="185"/>
        <v>0</v>
      </c>
      <c r="S223">
        <f t="shared" ca="1" si="186"/>
        <v>0</v>
      </c>
    </row>
    <row r="224" spans="5:19" x14ac:dyDescent="0.75">
      <c r="E224">
        <v>219</v>
      </c>
      <c r="F224">
        <f t="shared" si="182"/>
        <v>100</v>
      </c>
      <c r="G224">
        <f t="shared" ca="1" si="183"/>
        <v>108.11857807518057</v>
      </c>
      <c r="H224">
        <f t="shared" ca="1" si="183"/>
        <v>113.13962593213166</v>
      </c>
      <c r="I224">
        <f t="shared" ca="1" si="183"/>
        <v>112.85894171997379</v>
      </c>
      <c r="J224">
        <f t="shared" ref="J224:P224" ca="1" si="203">I224*EXP(($C$6-0.5*$C$7^2)*$C$12+$C$7*SQRT($C$12)*NORMINV(RAND(),0,1))</f>
        <v>110.18316134333048</v>
      </c>
      <c r="K224">
        <f t="shared" ca="1" si="203"/>
        <v>108.78041498653646</v>
      </c>
      <c r="L224">
        <f t="shared" ca="1" si="203"/>
        <v>117.93816050030141</v>
      </c>
      <c r="M224">
        <f t="shared" ca="1" si="203"/>
        <v>120.99316679598947</v>
      </c>
      <c r="N224">
        <f t="shared" ca="1" si="203"/>
        <v>122.21329971330016</v>
      </c>
      <c r="O224">
        <f t="shared" ca="1" si="203"/>
        <v>116.44558602450499</v>
      </c>
      <c r="P224">
        <f t="shared" ca="1" si="203"/>
        <v>106.43835197089187</v>
      </c>
      <c r="Q224">
        <f t="shared" ca="1" si="184"/>
        <v>122.21329971330016</v>
      </c>
      <c r="R224">
        <f t="shared" ca="1" si="185"/>
        <v>0</v>
      </c>
      <c r="S224">
        <f t="shared" ca="1" si="186"/>
        <v>0</v>
      </c>
    </row>
    <row r="225" spans="5:19" x14ac:dyDescent="0.75">
      <c r="E225">
        <v>220</v>
      </c>
      <c r="F225">
        <f t="shared" si="182"/>
        <v>100</v>
      </c>
      <c r="G225">
        <f t="shared" ca="1" si="183"/>
        <v>97.452558416626886</v>
      </c>
      <c r="H225">
        <f t="shared" ca="1" si="183"/>
        <v>100.19102669287588</v>
      </c>
      <c r="I225">
        <f t="shared" ca="1" si="183"/>
        <v>105.63187683984478</v>
      </c>
      <c r="J225">
        <f t="shared" ref="J225:P225" ca="1" si="204">I225*EXP(($C$6-0.5*$C$7^2)*$C$12+$C$7*SQRT($C$12)*NORMINV(RAND(),0,1))</f>
        <v>105.39970415389317</v>
      </c>
      <c r="K225">
        <f t="shared" ca="1" si="204"/>
        <v>110.84437599403681</v>
      </c>
      <c r="L225">
        <f t="shared" ca="1" si="204"/>
        <v>123.01573553412564</v>
      </c>
      <c r="M225">
        <f t="shared" ca="1" si="204"/>
        <v>129.39287298744998</v>
      </c>
      <c r="N225">
        <f t="shared" ca="1" si="204"/>
        <v>123.74625878143154</v>
      </c>
      <c r="O225">
        <f t="shared" ca="1" si="204"/>
        <v>123.11697742405737</v>
      </c>
      <c r="P225">
        <f t="shared" ca="1" si="204"/>
        <v>124.11950942156386</v>
      </c>
      <c r="Q225">
        <f t="shared" ca="1" si="184"/>
        <v>129.39287298744998</v>
      </c>
      <c r="R225">
        <f t="shared" ca="1" si="185"/>
        <v>0</v>
      </c>
      <c r="S225">
        <f t="shared" ca="1" si="186"/>
        <v>0</v>
      </c>
    </row>
    <row r="226" spans="5:19" x14ac:dyDescent="0.75">
      <c r="E226">
        <v>221</v>
      </c>
      <c r="F226">
        <f t="shared" si="182"/>
        <v>100</v>
      </c>
      <c r="G226">
        <f t="shared" ca="1" si="183"/>
        <v>97.595380960498574</v>
      </c>
      <c r="H226">
        <f t="shared" ca="1" si="183"/>
        <v>101.68730809005658</v>
      </c>
      <c r="I226">
        <f t="shared" ca="1" si="183"/>
        <v>106.58177060942451</v>
      </c>
      <c r="J226">
        <f t="shared" ref="J226:P226" ca="1" si="205">I226*EXP(($C$6-0.5*$C$7^2)*$C$12+$C$7*SQRT($C$12)*NORMINV(RAND(),0,1))</f>
        <v>97.810902674934695</v>
      </c>
      <c r="K226">
        <f t="shared" ca="1" si="205"/>
        <v>104.70727522934914</v>
      </c>
      <c r="L226">
        <f t="shared" ca="1" si="205"/>
        <v>105.70292507013437</v>
      </c>
      <c r="M226">
        <f t="shared" ca="1" si="205"/>
        <v>103.1354690842234</v>
      </c>
      <c r="N226">
        <f t="shared" ca="1" si="205"/>
        <v>108.22372810694841</v>
      </c>
      <c r="O226">
        <f t="shared" ca="1" si="205"/>
        <v>104.37773207484321</v>
      </c>
      <c r="P226">
        <f t="shared" ca="1" si="205"/>
        <v>108.28335820656967</v>
      </c>
      <c r="Q226">
        <f t="shared" ca="1" si="184"/>
        <v>108.28335820656967</v>
      </c>
      <c r="R226">
        <f t="shared" ca="1" si="185"/>
        <v>6.2833582065696731</v>
      </c>
      <c r="S226">
        <f t="shared" ca="1" si="186"/>
        <v>6.1282215396919701</v>
      </c>
    </row>
    <row r="227" spans="5:19" x14ac:dyDescent="0.75">
      <c r="E227">
        <v>222</v>
      </c>
      <c r="F227">
        <f t="shared" si="182"/>
        <v>100</v>
      </c>
      <c r="G227">
        <f t="shared" ca="1" si="183"/>
        <v>96.175642217127162</v>
      </c>
      <c r="H227">
        <f t="shared" ca="1" si="183"/>
        <v>97.975830335031446</v>
      </c>
      <c r="I227">
        <f t="shared" ca="1" si="183"/>
        <v>99.970634388934286</v>
      </c>
      <c r="J227">
        <f t="shared" ref="J227:P227" ca="1" si="206">I227*EXP(($C$6-0.5*$C$7^2)*$C$12+$C$7*SQRT($C$12)*NORMINV(RAND(),0,1))</f>
        <v>99.271591119174374</v>
      </c>
      <c r="K227">
        <f t="shared" ca="1" si="206"/>
        <v>97.890327238638704</v>
      </c>
      <c r="L227">
        <f t="shared" ca="1" si="206"/>
        <v>100.46850753289721</v>
      </c>
      <c r="M227">
        <f t="shared" ca="1" si="206"/>
        <v>102.67609609783044</v>
      </c>
      <c r="N227">
        <f t="shared" ca="1" si="206"/>
        <v>100.47683281332888</v>
      </c>
      <c r="O227">
        <f t="shared" ca="1" si="206"/>
        <v>107.71735583818335</v>
      </c>
      <c r="P227">
        <f t="shared" ca="1" si="206"/>
        <v>111.01272365796984</v>
      </c>
      <c r="Q227">
        <f t="shared" ca="1" si="184"/>
        <v>111.01272365796984</v>
      </c>
      <c r="R227">
        <f t="shared" ca="1" si="185"/>
        <v>0</v>
      </c>
      <c r="S227">
        <f t="shared" ca="1" si="186"/>
        <v>0</v>
      </c>
    </row>
    <row r="228" spans="5:19" x14ac:dyDescent="0.75">
      <c r="E228">
        <v>223</v>
      </c>
      <c r="F228">
        <f t="shared" si="182"/>
        <v>100</v>
      </c>
      <c r="G228">
        <f t="shared" ca="1" si="183"/>
        <v>103.56611898947099</v>
      </c>
      <c r="H228">
        <f t="shared" ca="1" si="183"/>
        <v>104.28608639952839</v>
      </c>
      <c r="I228">
        <f t="shared" ca="1" si="183"/>
        <v>103.31130554610519</v>
      </c>
      <c r="J228">
        <f t="shared" ref="J228:P228" ca="1" si="207">I228*EXP(($C$6-0.5*$C$7^2)*$C$12+$C$7*SQRT($C$12)*NORMINV(RAND(),0,1))</f>
        <v>104.42997932241836</v>
      </c>
      <c r="K228">
        <f t="shared" ca="1" si="207"/>
        <v>106.74499151021972</v>
      </c>
      <c r="L228">
        <f t="shared" ca="1" si="207"/>
        <v>107.76224772927272</v>
      </c>
      <c r="M228">
        <f t="shared" ca="1" si="207"/>
        <v>104.34164785693864</v>
      </c>
      <c r="N228">
        <f t="shared" ca="1" si="207"/>
        <v>101.79080928457719</v>
      </c>
      <c r="O228">
        <f t="shared" ca="1" si="207"/>
        <v>93.3309929564237</v>
      </c>
      <c r="P228">
        <f t="shared" ca="1" si="207"/>
        <v>87.780448231405259</v>
      </c>
      <c r="Q228">
        <f t="shared" ca="1" si="184"/>
        <v>107.76224772927272</v>
      </c>
      <c r="R228">
        <f t="shared" ca="1" si="185"/>
        <v>0</v>
      </c>
      <c r="S228">
        <f t="shared" ca="1" si="186"/>
        <v>0</v>
      </c>
    </row>
    <row r="229" spans="5:19" x14ac:dyDescent="0.75">
      <c r="E229">
        <v>224</v>
      </c>
      <c r="F229">
        <f t="shared" si="182"/>
        <v>100</v>
      </c>
      <c r="G229">
        <f t="shared" ca="1" si="183"/>
        <v>104.11547098180114</v>
      </c>
      <c r="H229">
        <f t="shared" ca="1" si="183"/>
        <v>106.33400090450969</v>
      </c>
      <c r="I229">
        <f t="shared" ca="1" si="183"/>
        <v>95.715428802183439</v>
      </c>
      <c r="J229">
        <f t="shared" ref="J229:P229" ca="1" si="208">I229*EXP(($C$6-0.5*$C$7^2)*$C$12+$C$7*SQRT($C$12)*NORMINV(RAND(),0,1))</f>
        <v>95.84891525085051</v>
      </c>
      <c r="K229">
        <f t="shared" ca="1" si="208"/>
        <v>93.181890624366218</v>
      </c>
      <c r="L229">
        <f t="shared" ca="1" si="208"/>
        <v>89.179708526123335</v>
      </c>
      <c r="M229">
        <f t="shared" ca="1" si="208"/>
        <v>92.553750604418966</v>
      </c>
      <c r="N229">
        <f t="shared" ca="1" si="208"/>
        <v>95.823973502299907</v>
      </c>
      <c r="O229">
        <f t="shared" ca="1" si="208"/>
        <v>99.44199528310925</v>
      </c>
      <c r="P229">
        <f t="shared" ca="1" si="208"/>
        <v>93.305372140864421</v>
      </c>
      <c r="Q229">
        <f t="shared" ca="1" si="184"/>
        <v>106.33400090450969</v>
      </c>
      <c r="R229">
        <f t="shared" ca="1" si="185"/>
        <v>0</v>
      </c>
      <c r="S229">
        <f t="shared" ca="1" si="186"/>
        <v>0</v>
      </c>
    </row>
    <row r="230" spans="5:19" x14ac:dyDescent="0.75">
      <c r="E230">
        <v>225</v>
      </c>
      <c r="F230">
        <f t="shared" si="182"/>
        <v>100</v>
      </c>
      <c r="G230">
        <f t="shared" ca="1" si="183"/>
        <v>102.18579558745866</v>
      </c>
      <c r="H230">
        <f t="shared" ca="1" si="183"/>
        <v>93.197088454659138</v>
      </c>
      <c r="I230">
        <f t="shared" ca="1" si="183"/>
        <v>89.230967268951076</v>
      </c>
      <c r="J230">
        <f t="shared" ref="J230:P230" ca="1" si="209">I230*EXP(($C$6-0.5*$C$7^2)*$C$12+$C$7*SQRT($C$12)*NORMINV(RAND(),0,1))</f>
        <v>96.636932031231581</v>
      </c>
      <c r="K230">
        <f t="shared" ca="1" si="209"/>
        <v>97.171219507573369</v>
      </c>
      <c r="L230">
        <f t="shared" ca="1" si="209"/>
        <v>94.661226665876328</v>
      </c>
      <c r="M230">
        <f t="shared" ca="1" si="209"/>
        <v>97.49144806109247</v>
      </c>
      <c r="N230">
        <f t="shared" ca="1" si="209"/>
        <v>94.299788620691785</v>
      </c>
      <c r="O230">
        <f t="shared" ca="1" si="209"/>
        <v>98.441984346148004</v>
      </c>
      <c r="P230">
        <f t="shared" ca="1" si="209"/>
        <v>95.682289058519515</v>
      </c>
      <c r="Q230">
        <f t="shared" ca="1" si="184"/>
        <v>102.18579558745866</v>
      </c>
      <c r="R230">
        <f t="shared" ca="1" si="185"/>
        <v>0</v>
      </c>
      <c r="S230">
        <f t="shared" ca="1" si="186"/>
        <v>0</v>
      </c>
    </row>
    <row r="231" spans="5:19" x14ac:dyDescent="0.75">
      <c r="E231">
        <v>226</v>
      </c>
      <c r="F231">
        <f t="shared" si="182"/>
        <v>100</v>
      </c>
      <c r="G231">
        <f t="shared" ca="1" si="183"/>
        <v>98.878900637957784</v>
      </c>
      <c r="H231">
        <f t="shared" ca="1" si="183"/>
        <v>100.31925923855653</v>
      </c>
      <c r="I231">
        <f t="shared" ca="1" si="183"/>
        <v>92.053009907414818</v>
      </c>
      <c r="J231">
        <f t="shared" ref="J231:P231" ca="1" si="210">I231*EXP(($C$6-0.5*$C$7^2)*$C$12+$C$7*SQRT($C$12)*NORMINV(RAND(),0,1))</f>
        <v>91.112399417150371</v>
      </c>
      <c r="K231">
        <f t="shared" ca="1" si="210"/>
        <v>90.405573094272015</v>
      </c>
      <c r="L231">
        <f t="shared" ca="1" si="210"/>
        <v>84.956247529298579</v>
      </c>
      <c r="M231">
        <f t="shared" ca="1" si="210"/>
        <v>85.866069570841802</v>
      </c>
      <c r="N231">
        <f t="shared" ca="1" si="210"/>
        <v>87.764552884127852</v>
      </c>
      <c r="O231">
        <f t="shared" ca="1" si="210"/>
        <v>90.606107317704996</v>
      </c>
      <c r="P231">
        <f t="shared" ca="1" si="210"/>
        <v>87.672435367626804</v>
      </c>
      <c r="Q231">
        <f t="shared" ca="1" si="184"/>
        <v>100.31925923855653</v>
      </c>
      <c r="R231">
        <f t="shared" ca="1" si="185"/>
        <v>0</v>
      </c>
      <c r="S231">
        <f t="shared" ca="1" si="186"/>
        <v>0</v>
      </c>
    </row>
    <row r="232" spans="5:19" x14ac:dyDescent="0.75">
      <c r="E232">
        <v>227</v>
      </c>
      <c r="F232">
        <f t="shared" si="182"/>
        <v>100</v>
      </c>
      <c r="G232">
        <f t="shared" ca="1" si="183"/>
        <v>108.42701955504069</v>
      </c>
      <c r="H232">
        <f t="shared" ca="1" si="183"/>
        <v>107.29806299213136</v>
      </c>
      <c r="I232">
        <f t="shared" ca="1" si="183"/>
        <v>109.40679270125827</v>
      </c>
      <c r="J232">
        <f t="shared" ref="J232:P232" ca="1" si="211">I232*EXP(($C$6-0.5*$C$7^2)*$C$12+$C$7*SQRT($C$12)*NORMINV(RAND(),0,1))</f>
        <v>108.56331278476094</v>
      </c>
      <c r="K232">
        <f t="shared" ca="1" si="211"/>
        <v>110.40136124472374</v>
      </c>
      <c r="L232">
        <f t="shared" ca="1" si="211"/>
        <v>103.03740402428248</v>
      </c>
      <c r="M232">
        <f t="shared" ca="1" si="211"/>
        <v>98.636188459674756</v>
      </c>
      <c r="N232">
        <f t="shared" ca="1" si="211"/>
        <v>95.291695768372378</v>
      </c>
      <c r="O232">
        <f t="shared" ca="1" si="211"/>
        <v>97.570680886533395</v>
      </c>
      <c r="P232">
        <f t="shared" ca="1" si="211"/>
        <v>98.614838958850342</v>
      </c>
      <c r="Q232">
        <f t="shared" ca="1" si="184"/>
        <v>110.40136124472374</v>
      </c>
      <c r="R232">
        <f t="shared" ca="1" si="185"/>
        <v>0</v>
      </c>
      <c r="S232">
        <f t="shared" ca="1" si="186"/>
        <v>0</v>
      </c>
    </row>
    <row r="233" spans="5:19" x14ac:dyDescent="0.75">
      <c r="E233">
        <v>228</v>
      </c>
      <c r="F233">
        <f t="shared" si="182"/>
        <v>100</v>
      </c>
      <c r="G233">
        <f t="shared" ca="1" si="183"/>
        <v>107.39013997183061</v>
      </c>
      <c r="H233">
        <f t="shared" ca="1" si="183"/>
        <v>107.67822083299819</v>
      </c>
      <c r="I233">
        <f t="shared" ca="1" si="183"/>
        <v>108.5497901484445</v>
      </c>
      <c r="J233">
        <f t="shared" ref="J233:P233" ca="1" si="212">I233*EXP(($C$6-0.5*$C$7^2)*$C$12+$C$7*SQRT($C$12)*NORMINV(RAND(),0,1))</f>
        <v>108.97116273139804</v>
      </c>
      <c r="K233">
        <f t="shared" ca="1" si="212"/>
        <v>115.27006477303648</v>
      </c>
      <c r="L233">
        <f t="shared" ca="1" si="212"/>
        <v>113.60396374647384</v>
      </c>
      <c r="M233">
        <f t="shared" ca="1" si="212"/>
        <v>111.6585586940101</v>
      </c>
      <c r="N233">
        <f t="shared" ca="1" si="212"/>
        <v>121.65495387173056</v>
      </c>
      <c r="O233">
        <f t="shared" ca="1" si="212"/>
        <v>128.93179315270208</v>
      </c>
      <c r="P233">
        <f t="shared" ca="1" si="212"/>
        <v>134.08442760270555</v>
      </c>
      <c r="Q233">
        <f t="shared" ca="1" si="184"/>
        <v>134.08442760270555</v>
      </c>
      <c r="R233">
        <f t="shared" ca="1" si="185"/>
        <v>0</v>
      </c>
      <c r="S233">
        <f t="shared" ca="1" si="186"/>
        <v>0</v>
      </c>
    </row>
    <row r="234" spans="5:19" x14ac:dyDescent="0.75">
      <c r="E234">
        <v>229</v>
      </c>
      <c r="F234">
        <f t="shared" si="182"/>
        <v>100</v>
      </c>
      <c r="G234">
        <f t="shared" ca="1" si="183"/>
        <v>102.20682537505978</v>
      </c>
      <c r="H234">
        <f t="shared" ca="1" si="183"/>
        <v>102.8102174225547</v>
      </c>
      <c r="I234">
        <f t="shared" ca="1" si="183"/>
        <v>92.600488096942627</v>
      </c>
      <c r="J234">
        <f t="shared" ref="J234:P234" ca="1" si="213">I234*EXP(($C$6-0.5*$C$7^2)*$C$12+$C$7*SQRT($C$12)*NORMINV(RAND(),0,1))</f>
        <v>94.184827112771927</v>
      </c>
      <c r="K234">
        <f t="shared" ca="1" si="213"/>
        <v>94.432010149222549</v>
      </c>
      <c r="L234">
        <f t="shared" ca="1" si="213"/>
        <v>91.495422700537873</v>
      </c>
      <c r="M234">
        <f t="shared" ca="1" si="213"/>
        <v>92.026846932425087</v>
      </c>
      <c r="N234">
        <f t="shared" ca="1" si="213"/>
        <v>92.812044674165946</v>
      </c>
      <c r="O234">
        <f t="shared" ca="1" si="213"/>
        <v>95.147349426026395</v>
      </c>
      <c r="P234">
        <f t="shared" ca="1" si="213"/>
        <v>96.241145196596548</v>
      </c>
      <c r="Q234">
        <f t="shared" ca="1" si="184"/>
        <v>102.8102174225547</v>
      </c>
      <c r="R234">
        <f t="shared" ca="1" si="185"/>
        <v>0</v>
      </c>
      <c r="S234">
        <f t="shared" ca="1" si="186"/>
        <v>0</v>
      </c>
    </row>
    <row r="235" spans="5:19" x14ac:dyDescent="0.75">
      <c r="E235">
        <v>230</v>
      </c>
      <c r="F235">
        <f t="shared" si="182"/>
        <v>100</v>
      </c>
      <c r="G235">
        <f t="shared" ca="1" si="183"/>
        <v>98.896652066750747</v>
      </c>
      <c r="H235">
        <f t="shared" ca="1" si="183"/>
        <v>96.77232987133506</v>
      </c>
      <c r="I235">
        <f t="shared" ca="1" si="183"/>
        <v>98.200174582655919</v>
      </c>
      <c r="J235">
        <f t="shared" ref="J235:P235" ca="1" si="214">I235*EXP(($C$6-0.5*$C$7^2)*$C$12+$C$7*SQRT($C$12)*NORMINV(RAND(),0,1))</f>
        <v>101.80193206987268</v>
      </c>
      <c r="K235">
        <f t="shared" ca="1" si="214"/>
        <v>109.95159191793265</v>
      </c>
      <c r="L235">
        <f t="shared" ca="1" si="214"/>
        <v>101.77773830872064</v>
      </c>
      <c r="M235">
        <f t="shared" ca="1" si="214"/>
        <v>94.783103399010386</v>
      </c>
      <c r="N235">
        <f t="shared" ca="1" si="214"/>
        <v>93.77182026110853</v>
      </c>
      <c r="O235">
        <f t="shared" ca="1" si="214"/>
        <v>93.232135663906547</v>
      </c>
      <c r="P235">
        <f t="shared" ca="1" si="214"/>
        <v>98.17244723257393</v>
      </c>
      <c r="Q235">
        <f t="shared" ca="1" si="184"/>
        <v>109.95159191793265</v>
      </c>
      <c r="R235">
        <f t="shared" ca="1" si="185"/>
        <v>0</v>
      </c>
      <c r="S235">
        <f t="shared" ca="1" si="186"/>
        <v>0</v>
      </c>
    </row>
    <row r="236" spans="5:19" x14ac:dyDescent="0.75">
      <c r="E236">
        <v>231</v>
      </c>
      <c r="F236">
        <f t="shared" si="182"/>
        <v>100</v>
      </c>
      <c r="G236">
        <f t="shared" ca="1" si="183"/>
        <v>97.164824014240921</v>
      </c>
      <c r="H236">
        <f t="shared" ca="1" si="183"/>
        <v>100.738658475751</v>
      </c>
      <c r="I236">
        <f t="shared" ca="1" si="183"/>
        <v>104.50733422314056</v>
      </c>
      <c r="J236">
        <f t="shared" ref="J236:P236" ca="1" si="215">I236*EXP(($C$6-0.5*$C$7^2)*$C$12+$C$7*SQRT($C$12)*NORMINV(RAND(),0,1))</f>
        <v>105.71355224083322</v>
      </c>
      <c r="K236">
        <f t="shared" ca="1" si="215"/>
        <v>100.83426225858675</v>
      </c>
      <c r="L236">
        <f t="shared" ca="1" si="215"/>
        <v>100.42418639173769</v>
      </c>
      <c r="M236">
        <f t="shared" ca="1" si="215"/>
        <v>104.3571184012393</v>
      </c>
      <c r="N236">
        <f t="shared" ca="1" si="215"/>
        <v>104.42256344581391</v>
      </c>
      <c r="O236">
        <f t="shared" ca="1" si="215"/>
        <v>102.19782209693689</v>
      </c>
      <c r="P236">
        <f t="shared" ca="1" si="215"/>
        <v>101.2434813193703</v>
      </c>
      <c r="Q236">
        <f t="shared" ca="1" si="184"/>
        <v>105.71355224083322</v>
      </c>
      <c r="R236">
        <f t="shared" ca="1" si="185"/>
        <v>0</v>
      </c>
      <c r="S236">
        <f t="shared" ca="1" si="186"/>
        <v>0</v>
      </c>
    </row>
    <row r="237" spans="5:19" x14ac:dyDescent="0.75">
      <c r="E237">
        <v>232</v>
      </c>
      <c r="F237">
        <f t="shared" si="182"/>
        <v>100</v>
      </c>
      <c r="G237">
        <f t="shared" ca="1" si="183"/>
        <v>96.95550596389316</v>
      </c>
      <c r="H237">
        <f t="shared" ca="1" si="183"/>
        <v>100.20931068708855</v>
      </c>
      <c r="I237">
        <f t="shared" ca="1" si="183"/>
        <v>94.191964929345772</v>
      </c>
      <c r="J237">
        <f t="shared" ref="J237:P237" ca="1" si="216">I237*EXP(($C$6-0.5*$C$7^2)*$C$12+$C$7*SQRT($C$12)*NORMINV(RAND(),0,1))</f>
        <v>95.52627547866112</v>
      </c>
      <c r="K237">
        <f t="shared" ca="1" si="216"/>
        <v>93.527813167013804</v>
      </c>
      <c r="L237">
        <f t="shared" ca="1" si="216"/>
        <v>92.506383864910163</v>
      </c>
      <c r="M237">
        <f t="shared" ca="1" si="216"/>
        <v>96.750590102328786</v>
      </c>
      <c r="N237">
        <f t="shared" ca="1" si="216"/>
        <v>99.152025434019365</v>
      </c>
      <c r="O237">
        <f t="shared" ca="1" si="216"/>
        <v>93.324699664167369</v>
      </c>
      <c r="P237">
        <f t="shared" ca="1" si="216"/>
        <v>94.741054634884748</v>
      </c>
      <c r="Q237">
        <f t="shared" ca="1" si="184"/>
        <v>100.20931068708855</v>
      </c>
      <c r="R237">
        <f t="shared" ca="1" si="185"/>
        <v>0</v>
      </c>
      <c r="S237">
        <f t="shared" ca="1" si="186"/>
        <v>0</v>
      </c>
    </row>
    <row r="238" spans="5:19" x14ac:dyDescent="0.75">
      <c r="E238">
        <v>233</v>
      </c>
      <c r="F238">
        <f t="shared" si="182"/>
        <v>100</v>
      </c>
      <c r="G238">
        <f t="shared" ca="1" si="183"/>
        <v>99.189436878323065</v>
      </c>
      <c r="H238">
        <f t="shared" ca="1" si="183"/>
        <v>99.366685042661558</v>
      </c>
      <c r="I238">
        <f t="shared" ca="1" si="183"/>
        <v>101.79190237594938</v>
      </c>
      <c r="J238">
        <f t="shared" ref="J238:P238" ca="1" si="217">I238*EXP(($C$6-0.5*$C$7^2)*$C$12+$C$7*SQRT($C$12)*NORMINV(RAND(),0,1))</f>
        <v>99.659070293436386</v>
      </c>
      <c r="K238">
        <f t="shared" ca="1" si="217"/>
        <v>97.836435355021706</v>
      </c>
      <c r="L238">
        <f t="shared" ca="1" si="217"/>
        <v>93.917008338103955</v>
      </c>
      <c r="M238">
        <f t="shared" ca="1" si="217"/>
        <v>90.735099665800547</v>
      </c>
      <c r="N238">
        <f t="shared" ca="1" si="217"/>
        <v>91.149602461376176</v>
      </c>
      <c r="O238">
        <f t="shared" ca="1" si="217"/>
        <v>96.416789643406474</v>
      </c>
      <c r="P238">
        <f t="shared" ca="1" si="217"/>
        <v>96.341617671146494</v>
      </c>
      <c r="Q238">
        <f t="shared" ca="1" si="184"/>
        <v>101.79190237594938</v>
      </c>
      <c r="R238">
        <f t="shared" ca="1" si="185"/>
        <v>0</v>
      </c>
      <c r="S238">
        <f t="shared" ca="1" si="186"/>
        <v>0</v>
      </c>
    </row>
    <row r="239" spans="5:19" x14ac:dyDescent="0.75">
      <c r="E239">
        <v>234</v>
      </c>
      <c r="F239">
        <f t="shared" si="182"/>
        <v>100</v>
      </c>
      <c r="G239">
        <f t="shared" ca="1" si="183"/>
        <v>105.86559630401018</v>
      </c>
      <c r="H239">
        <f t="shared" ca="1" si="183"/>
        <v>105.97608389021944</v>
      </c>
      <c r="I239">
        <f t="shared" ca="1" si="183"/>
        <v>102.3975387161495</v>
      </c>
      <c r="J239">
        <f t="shared" ref="J239:P239" ca="1" si="218">I239*EXP(($C$6-0.5*$C$7^2)*$C$12+$C$7*SQRT($C$12)*NORMINV(RAND(),0,1))</f>
        <v>93.139264467361869</v>
      </c>
      <c r="K239">
        <f t="shared" ca="1" si="218"/>
        <v>94.169657774543552</v>
      </c>
      <c r="L239">
        <f t="shared" ca="1" si="218"/>
        <v>97.556885808870817</v>
      </c>
      <c r="M239">
        <f t="shared" ca="1" si="218"/>
        <v>96.567530204456659</v>
      </c>
      <c r="N239">
        <f t="shared" ca="1" si="218"/>
        <v>99.544245750780448</v>
      </c>
      <c r="O239">
        <f t="shared" ca="1" si="218"/>
        <v>94.714145341350886</v>
      </c>
      <c r="P239">
        <f t="shared" ca="1" si="218"/>
        <v>103.23872866088196</v>
      </c>
      <c r="Q239">
        <f t="shared" ca="1" si="184"/>
        <v>105.97608389021944</v>
      </c>
      <c r="R239">
        <f t="shared" ca="1" si="185"/>
        <v>1.2387286608819608</v>
      </c>
      <c r="S239">
        <f t="shared" ca="1" si="186"/>
        <v>1.2081443412717594</v>
      </c>
    </row>
    <row r="240" spans="5:19" x14ac:dyDescent="0.75">
      <c r="E240">
        <v>235</v>
      </c>
      <c r="F240">
        <f t="shared" si="182"/>
        <v>100</v>
      </c>
      <c r="G240">
        <f t="shared" ca="1" si="183"/>
        <v>92.562639548064453</v>
      </c>
      <c r="H240">
        <f t="shared" ca="1" si="183"/>
        <v>100.47352805271554</v>
      </c>
      <c r="I240">
        <f t="shared" ca="1" si="183"/>
        <v>106.09653018583539</v>
      </c>
      <c r="J240">
        <f t="shared" ref="J240:P240" ca="1" si="219">I240*EXP(($C$6-0.5*$C$7^2)*$C$12+$C$7*SQRT($C$12)*NORMINV(RAND(),0,1))</f>
        <v>100.12167752880804</v>
      </c>
      <c r="K240">
        <f t="shared" ca="1" si="219"/>
        <v>95.188734392150621</v>
      </c>
      <c r="L240">
        <f t="shared" ca="1" si="219"/>
        <v>96.181174624878025</v>
      </c>
      <c r="M240">
        <f t="shared" ca="1" si="219"/>
        <v>103.3539608369927</v>
      </c>
      <c r="N240">
        <f t="shared" ca="1" si="219"/>
        <v>98.850266750169894</v>
      </c>
      <c r="O240">
        <f t="shared" ca="1" si="219"/>
        <v>102.89173203017305</v>
      </c>
      <c r="P240">
        <f t="shared" ca="1" si="219"/>
        <v>96.371046264071808</v>
      </c>
      <c r="Q240">
        <f t="shared" ca="1" si="184"/>
        <v>106.09653018583539</v>
      </c>
      <c r="R240">
        <f t="shared" ca="1" si="185"/>
        <v>0</v>
      </c>
      <c r="S240">
        <f t="shared" ca="1" si="186"/>
        <v>0</v>
      </c>
    </row>
    <row r="241" spans="5:19" x14ac:dyDescent="0.75">
      <c r="E241">
        <v>236</v>
      </c>
      <c r="F241">
        <f t="shared" si="182"/>
        <v>100</v>
      </c>
      <c r="G241">
        <f t="shared" ca="1" si="183"/>
        <v>94.666795920603747</v>
      </c>
      <c r="H241">
        <f t="shared" ca="1" si="183"/>
        <v>94.715443985408243</v>
      </c>
      <c r="I241">
        <f t="shared" ca="1" si="183"/>
        <v>96.403350087351683</v>
      </c>
      <c r="J241">
        <f t="shared" ref="J241:P241" ca="1" si="220">I241*EXP(($C$6-0.5*$C$7^2)*$C$12+$C$7*SQRT($C$12)*NORMINV(RAND(),0,1))</f>
        <v>93.626236486510066</v>
      </c>
      <c r="K241">
        <f t="shared" ca="1" si="220"/>
        <v>96.085901175723919</v>
      </c>
      <c r="L241">
        <f t="shared" ca="1" si="220"/>
        <v>109.44024965567641</v>
      </c>
      <c r="M241">
        <f t="shared" ca="1" si="220"/>
        <v>107.97622795715405</v>
      </c>
      <c r="N241">
        <f t="shared" ca="1" si="220"/>
        <v>110.90613378685643</v>
      </c>
      <c r="O241">
        <f t="shared" ca="1" si="220"/>
        <v>113.92975577201348</v>
      </c>
      <c r="P241">
        <f t="shared" ca="1" si="220"/>
        <v>103.92379455960932</v>
      </c>
      <c r="Q241">
        <f t="shared" ca="1" si="184"/>
        <v>113.92975577201348</v>
      </c>
      <c r="R241">
        <f t="shared" ca="1" si="185"/>
        <v>0</v>
      </c>
      <c r="S241">
        <f t="shared" ca="1" si="186"/>
        <v>0</v>
      </c>
    </row>
    <row r="242" spans="5:19" x14ac:dyDescent="0.75">
      <c r="E242">
        <v>237</v>
      </c>
      <c r="F242">
        <f t="shared" si="182"/>
        <v>100</v>
      </c>
      <c r="G242">
        <f t="shared" ca="1" si="183"/>
        <v>93.885016806211013</v>
      </c>
      <c r="H242">
        <f t="shared" ca="1" si="183"/>
        <v>89.965535265246288</v>
      </c>
      <c r="I242">
        <f t="shared" ca="1" si="183"/>
        <v>91.517442864783391</v>
      </c>
      <c r="J242">
        <f t="shared" ref="J242:P242" ca="1" si="221">I242*EXP(($C$6-0.5*$C$7^2)*$C$12+$C$7*SQRT($C$12)*NORMINV(RAND(),0,1))</f>
        <v>89.06964817491739</v>
      </c>
      <c r="K242">
        <f t="shared" ca="1" si="221"/>
        <v>86.877514035112043</v>
      </c>
      <c r="L242">
        <f t="shared" ca="1" si="221"/>
        <v>86.142610970477108</v>
      </c>
      <c r="M242">
        <f t="shared" ca="1" si="221"/>
        <v>86.377913762844997</v>
      </c>
      <c r="N242">
        <f t="shared" ca="1" si="221"/>
        <v>89.370901304642899</v>
      </c>
      <c r="O242">
        <f t="shared" ca="1" si="221"/>
        <v>87.781456995683342</v>
      </c>
      <c r="P242">
        <f t="shared" ca="1" si="221"/>
        <v>88.494981747554462</v>
      </c>
      <c r="Q242">
        <f t="shared" ca="1" si="184"/>
        <v>93.885016806211013</v>
      </c>
      <c r="R242">
        <f t="shared" ca="1" si="185"/>
        <v>0</v>
      </c>
      <c r="S242">
        <f t="shared" ca="1" si="186"/>
        <v>0</v>
      </c>
    </row>
    <row r="243" spans="5:19" x14ac:dyDescent="0.75">
      <c r="E243">
        <v>238</v>
      </c>
      <c r="F243">
        <f t="shared" si="182"/>
        <v>100</v>
      </c>
      <c r="G243">
        <f t="shared" ca="1" si="183"/>
        <v>103.32121971118787</v>
      </c>
      <c r="H243">
        <f t="shared" ca="1" si="183"/>
        <v>105.22042921715561</v>
      </c>
      <c r="I243">
        <f t="shared" ca="1" si="183"/>
        <v>101.57947337300185</v>
      </c>
      <c r="J243">
        <f t="shared" ref="J243:P243" ca="1" si="222">I243*EXP(($C$6-0.5*$C$7^2)*$C$12+$C$7*SQRT($C$12)*NORMINV(RAND(),0,1))</f>
        <v>104.39534612975166</v>
      </c>
      <c r="K243">
        <f t="shared" ca="1" si="222"/>
        <v>113.12242626523616</v>
      </c>
      <c r="L243">
        <f t="shared" ca="1" si="222"/>
        <v>113.83850569396861</v>
      </c>
      <c r="M243">
        <f t="shared" ca="1" si="222"/>
        <v>117.63489467638331</v>
      </c>
      <c r="N243">
        <f t="shared" ca="1" si="222"/>
        <v>115.7482061948913</v>
      </c>
      <c r="O243">
        <f t="shared" ca="1" si="222"/>
        <v>112.01240856499737</v>
      </c>
      <c r="P243">
        <f t="shared" ca="1" si="222"/>
        <v>110.28425337480434</v>
      </c>
      <c r="Q243">
        <f t="shared" ca="1" si="184"/>
        <v>117.63489467638331</v>
      </c>
      <c r="R243">
        <f t="shared" ca="1" si="185"/>
        <v>0</v>
      </c>
      <c r="S243">
        <f t="shared" ca="1" si="186"/>
        <v>0</v>
      </c>
    </row>
    <row r="244" spans="5:19" x14ac:dyDescent="0.75">
      <c r="E244">
        <v>239</v>
      </c>
      <c r="F244">
        <f t="shared" si="182"/>
        <v>100</v>
      </c>
      <c r="G244">
        <f t="shared" ca="1" si="183"/>
        <v>97.116744732007803</v>
      </c>
      <c r="H244">
        <f t="shared" ca="1" si="183"/>
        <v>97.394163443958831</v>
      </c>
      <c r="I244">
        <f t="shared" ca="1" si="183"/>
        <v>90.481880721870453</v>
      </c>
      <c r="J244">
        <f t="shared" ref="J244:P244" ca="1" si="223">I244*EXP(($C$6-0.5*$C$7^2)*$C$12+$C$7*SQRT($C$12)*NORMINV(RAND(),0,1))</f>
        <v>99.392771522932534</v>
      </c>
      <c r="K244">
        <f t="shared" ca="1" si="223"/>
        <v>98.691295704658785</v>
      </c>
      <c r="L244">
        <f t="shared" ca="1" si="223"/>
        <v>99.403581253761516</v>
      </c>
      <c r="M244">
        <f t="shared" ca="1" si="223"/>
        <v>93.81950500627687</v>
      </c>
      <c r="N244">
        <f t="shared" ca="1" si="223"/>
        <v>95.326265669747201</v>
      </c>
      <c r="O244">
        <f t="shared" ca="1" si="223"/>
        <v>97.868631615229901</v>
      </c>
      <c r="P244">
        <f t="shared" ca="1" si="223"/>
        <v>102.97498504024396</v>
      </c>
      <c r="Q244">
        <f t="shared" ca="1" si="184"/>
        <v>102.97498504024396</v>
      </c>
      <c r="R244">
        <f t="shared" ca="1" si="185"/>
        <v>0.97498504024396482</v>
      </c>
      <c r="S244">
        <f t="shared" ca="1" si="186"/>
        <v>0.95091257382928163</v>
      </c>
    </row>
    <row r="245" spans="5:19" x14ac:dyDescent="0.75">
      <c r="E245">
        <v>240</v>
      </c>
      <c r="F245">
        <f t="shared" si="182"/>
        <v>100</v>
      </c>
      <c r="G245">
        <f t="shared" ca="1" si="183"/>
        <v>94.717834736351818</v>
      </c>
      <c r="H245">
        <f t="shared" ca="1" si="183"/>
        <v>110.09554332745184</v>
      </c>
      <c r="I245">
        <f t="shared" ca="1" si="183"/>
        <v>112.37764127882662</v>
      </c>
      <c r="J245">
        <f t="shared" ref="J245:P245" ca="1" si="224">I245*EXP(($C$6-0.5*$C$7^2)*$C$12+$C$7*SQRT($C$12)*NORMINV(RAND(),0,1))</f>
        <v>115.16819762652615</v>
      </c>
      <c r="K245">
        <f t="shared" ca="1" si="224"/>
        <v>113.61810016437467</v>
      </c>
      <c r="L245">
        <f t="shared" ca="1" si="224"/>
        <v>111.52437983340066</v>
      </c>
      <c r="M245">
        <f t="shared" ca="1" si="224"/>
        <v>106.01582826784917</v>
      </c>
      <c r="N245">
        <f t="shared" ca="1" si="224"/>
        <v>104.07365443510929</v>
      </c>
      <c r="O245">
        <f t="shared" ca="1" si="224"/>
        <v>108.97473731244509</v>
      </c>
      <c r="P245">
        <f t="shared" ca="1" si="224"/>
        <v>112.83426733739407</v>
      </c>
      <c r="Q245">
        <f t="shared" ca="1" si="184"/>
        <v>115.16819762652615</v>
      </c>
      <c r="R245">
        <f t="shared" ca="1" si="185"/>
        <v>0</v>
      </c>
      <c r="S245">
        <f t="shared" ca="1" si="186"/>
        <v>0</v>
      </c>
    </row>
    <row r="246" spans="5:19" x14ac:dyDescent="0.75">
      <c r="E246">
        <v>241</v>
      </c>
      <c r="F246">
        <f t="shared" si="182"/>
        <v>100</v>
      </c>
      <c r="G246">
        <f t="shared" ca="1" si="183"/>
        <v>98.848510833594162</v>
      </c>
      <c r="H246">
        <f t="shared" ca="1" si="183"/>
        <v>95.239665593706547</v>
      </c>
      <c r="I246">
        <f t="shared" ca="1" si="183"/>
        <v>100.16306128585465</v>
      </c>
      <c r="J246">
        <f t="shared" ref="J246:P246" ca="1" si="225">I246*EXP(($C$6-0.5*$C$7^2)*$C$12+$C$7*SQRT($C$12)*NORMINV(RAND(),0,1))</f>
        <v>104.37768541465451</v>
      </c>
      <c r="K246">
        <f t="shared" ca="1" si="225"/>
        <v>115.01241638747875</v>
      </c>
      <c r="L246">
        <f t="shared" ca="1" si="225"/>
        <v>110.88879121385908</v>
      </c>
      <c r="M246">
        <f t="shared" ca="1" si="225"/>
        <v>109.26455083762411</v>
      </c>
      <c r="N246">
        <f t="shared" ca="1" si="225"/>
        <v>100.24266724219598</v>
      </c>
      <c r="O246">
        <f t="shared" ca="1" si="225"/>
        <v>95.028293855656159</v>
      </c>
      <c r="P246">
        <f t="shared" ca="1" si="225"/>
        <v>96.142912997498613</v>
      </c>
      <c r="Q246">
        <f t="shared" ca="1" si="184"/>
        <v>115.01241638747875</v>
      </c>
      <c r="R246">
        <f t="shared" ca="1" si="185"/>
        <v>0</v>
      </c>
      <c r="S246">
        <f t="shared" ca="1" si="186"/>
        <v>0</v>
      </c>
    </row>
    <row r="247" spans="5:19" x14ac:dyDescent="0.75">
      <c r="E247">
        <v>242</v>
      </c>
      <c r="F247">
        <f t="shared" si="182"/>
        <v>100</v>
      </c>
      <c r="G247">
        <f t="shared" ca="1" si="183"/>
        <v>106.55948248431307</v>
      </c>
      <c r="H247">
        <f t="shared" ca="1" si="183"/>
        <v>102.56266987859583</v>
      </c>
      <c r="I247">
        <f t="shared" ca="1" si="183"/>
        <v>99.711327164379554</v>
      </c>
      <c r="J247">
        <f t="shared" ref="J247:P247" ca="1" si="226">I247*EXP(($C$6-0.5*$C$7^2)*$C$12+$C$7*SQRT($C$12)*NORMINV(RAND(),0,1))</f>
        <v>98.296383362725038</v>
      </c>
      <c r="K247">
        <f t="shared" ca="1" si="226"/>
        <v>103.90687950207956</v>
      </c>
      <c r="L247">
        <f t="shared" ca="1" si="226"/>
        <v>99.330029595827739</v>
      </c>
      <c r="M247">
        <f t="shared" ca="1" si="226"/>
        <v>97.461305963860752</v>
      </c>
      <c r="N247">
        <f t="shared" ca="1" si="226"/>
        <v>100.72608235183436</v>
      </c>
      <c r="O247">
        <f t="shared" ca="1" si="226"/>
        <v>96.01266505503348</v>
      </c>
      <c r="P247">
        <f t="shared" ca="1" si="226"/>
        <v>93.953724384076523</v>
      </c>
      <c r="Q247">
        <f t="shared" ca="1" si="184"/>
        <v>106.55948248431307</v>
      </c>
      <c r="R247">
        <f t="shared" ca="1" si="185"/>
        <v>0</v>
      </c>
      <c r="S247">
        <f t="shared" ca="1" si="186"/>
        <v>0</v>
      </c>
    </row>
    <row r="248" spans="5:19" x14ac:dyDescent="0.75">
      <c r="E248">
        <v>243</v>
      </c>
      <c r="F248">
        <f t="shared" si="182"/>
        <v>100</v>
      </c>
      <c r="G248">
        <f t="shared" ca="1" si="183"/>
        <v>108.09289959546714</v>
      </c>
      <c r="H248">
        <f t="shared" ca="1" si="183"/>
        <v>112.31347012616153</v>
      </c>
      <c r="I248">
        <f t="shared" ca="1" si="183"/>
        <v>110.11989284907662</v>
      </c>
      <c r="J248">
        <f t="shared" ref="J248:P248" ca="1" si="227">I248*EXP(($C$6-0.5*$C$7^2)*$C$12+$C$7*SQRT($C$12)*NORMINV(RAND(),0,1))</f>
        <v>112.47699620754099</v>
      </c>
      <c r="K248">
        <f t="shared" ca="1" si="227"/>
        <v>111.13091199930976</v>
      </c>
      <c r="L248">
        <f t="shared" ca="1" si="227"/>
        <v>109.19032041754429</v>
      </c>
      <c r="M248">
        <f t="shared" ca="1" si="227"/>
        <v>101.49057276361782</v>
      </c>
      <c r="N248">
        <f t="shared" ca="1" si="227"/>
        <v>100.97926866290524</v>
      </c>
      <c r="O248">
        <f t="shared" ca="1" si="227"/>
        <v>104.03951060266098</v>
      </c>
      <c r="P248">
        <f t="shared" ca="1" si="227"/>
        <v>102.33394809747564</v>
      </c>
      <c r="Q248">
        <f t="shared" ca="1" si="184"/>
        <v>112.47699620754099</v>
      </c>
      <c r="R248">
        <f t="shared" ca="1" si="185"/>
        <v>0</v>
      </c>
      <c r="S248">
        <f t="shared" ca="1" si="186"/>
        <v>0</v>
      </c>
    </row>
    <row r="249" spans="5:19" x14ac:dyDescent="0.75">
      <c r="E249">
        <v>244</v>
      </c>
      <c r="F249">
        <f t="shared" si="182"/>
        <v>100</v>
      </c>
      <c r="G249">
        <f t="shared" ca="1" si="183"/>
        <v>98.822080362291658</v>
      </c>
      <c r="H249">
        <f t="shared" ca="1" si="183"/>
        <v>92.717169227411873</v>
      </c>
      <c r="I249">
        <f t="shared" ca="1" si="183"/>
        <v>91.185058310231241</v>
      </c>
      <c r="J249">
        <f t="shared" ref="J249:P249" ca="1" si="228">I249*EXP(($C$6-0.5*$C$7^2)*$C$12+$C$7*SQRT($C$12)*NORMINV(RAND(),0,1))</f>
        <v>97.203261447085609</v>
      </c>
      <c r="K249">
        <f t="shared" ca="1" si="228"/>
        <v>100.68435358523622</v>
      </c>
      <c r="L249">
        <f t="shared" ca="1" si="228"/>
        <v>102.88564582700887</v>
      </c>
      <c r="M249">
        <f t="shared" ca="1" si="228"/>
        <v>108.0435675384922</v>
      </c>
      <c r="N249">
        <f t="shared" ca="1" si="228"/>
        <v>102.47476919363585</v>
      </c>
      <c r="O249">
        <f t="shared" ca="1" si="228"/>
        <v>107.59190516138069</v>
      </c>
      <c r="P249">
        <f t="shared" ca="1" si="228"/>
        <v>113.04534670239501</v>
      </c>
      <c r="Q249">
        <f t="shared" ca="1" si="184"/>
        <v>113.04534670239501</v>
      </c>
      <c r="R249">
        <f t="shared" ca="1" si="185"/>
        <v>0</v>
      </c>
      <c r="S249">
        <f t="shared" ca="1" si="186"/>
        <v>0</v>
      </c>
    </row>
    <row r="250" spans="5:19" x14ac:dyDescent="0.75">
      <c r="E250">
        <v>245</v>
      </c>
      <c r="F250">
        <f t="shared" si="182"/>
        <v>100</v>
      </c>
      <c r="G250">
        <f t="shared" ca="1" si="183"/>
        <v>91.719033669034744</v>
      </c>
      <c r="H250">
        <f t="shared" ca="1" si="183"/>
        <v>89.044494418887666</v>
      </c>
      <c r="I250">
        <f t="shared" ca="1" si="183"/>
        <v>94.661156284403944</v>
      </c>
      <c r="J250">
        <f t="shared" ref="J250:P250" ca="1" si="229">I250*EXP(($C$6-0.5*$C$7^2)*$C$12+$C$7*SQRT($C$12)*NORMINV(RAND(),0,1))</f>
        <v>99.618885377306952</v>
      </c>
      <c r="K250">
        <f t="shared" ca="1" si="229"/>
        <v>109.85480206962249</v>
      </c>
      <c r="L250">
        <f t="shared" ca="1" si="229"/>
        <v>113.4603938694366</v>
      </c>
      <c r="M250">
        <f t="shared" ca="1" si="229"/>
        <v>115.75186567158471</v>
      </c>
      <c r="N250">
        <f t="shared" ca="1" si="229"/>
        <v>116.91698081750606</v>
      </c>
      <c r="O250">
        <f t="shared" ca="1" si="229"/>
        <v>120.51128971650559</v>
      </c>
      <c r="P250">
        <f t="shared" ca="1" si="229"/>
        <v>114.96534433647768</v>
      </c>
      <c r="Q250">
        <f t="shared" ca="1" si="184"/>
        <v>120.51128971650559</v>
      </c>
      <c r="R250">
        <f t="shared" ca="1" si="185"/>
        <v>0</v>
      </c>
      <c r="S250">
        <f t="shared" ca="1" si="186"/>
        <v>0</v>
      </c>
    </row>
    <row r="251" spans="5:19" x14ac:dyDescent="0.75">
      <c r="E251">
        <v>246</v>
      </c>
      <c r="F251">
        <f t="shared" si="182"/>
        <v>100</v>
      </c>
      <c r="G251">
        <f t="shared" ca="1" si="183"/>
        <v>104.83423501778604</v>
      </c>
      <c r="H251">
        <f t="shared" ca="1" si="183"/>
        <v>109.59996589288795</v>
      </c>
      <c r="I251">
        <f t="shared" ca="1" si="183"/>
        <v>109.55703763761068</v>
      </c>
      <c r="J251">
        <f t="shared" ref="J251:P251" ca="1" si="230">I251*EXP(($C$6-0.5*$C$7^2)*$C$12+$C$7*SQRT($C$12)*NORMINV(RAND(),0,1))</f>
        <v>110.51038372591941</v>
      </c>
      <c r="K251">
        <f t="shared" ca="1" si="230"/>
        <v>113.0988383722347</v>
      </c>
      <c r="L251">
        <f t="shared" ca="1" si="230"/>
        <v>110.90207337954745</v>
      </c>
      <c r="M251">
        <f t="shared" ca="1" si="230"/>
        <v>114.64743523820185</v>
      </c>
      <c r="N251">
        <f t="shared" ca="1" si="230"/>
        <v>109.94508723523809</v>
      </c>
      <c r="O251">
        <f t="shared" ca="1" si="230"/>
        <v>108.22448641037469</v>
      </c>
      <c r="P251">
        <f t="shared" ca="1" si="230"/>
        <v>110.01556207109907</v>
      </c>
      <c r="Q251">
        <f t="shared" ca="1" si="184"/>
        <v>114.64743523820185</v>
      </c>
      <c r="R251">
        <f t="shared" ca="1" si="185"/>
        <v>0</v>
      </c>
      <c r="S251">
        <f t="shared" ca="1" si="186"/>
        <v>0</v>
      </c>
    </row>
    <row r="252" spans="5:19" x14ac:dyDescent="0.75">
      <c r="E252">
        <v>247</v>
      </c>
      <c r="F252">
        <f t="shared" si="182"/>
        <v>100</v>
      </c>
      <c r="G252">
        <f t="shared" ca="1" si="183"/>
        <v>99.347368032090515</v>
      </c>
      <c r="H252">
        <f t="shared" ca="1" si="183"/>
        <v>84.805254794307558</v>
      </c>
      <c r="I252">
        <f t="shared" ca="1" si="183"/>
        <v>82.454437293775356</v>
      </c>
      <c r="J252">
        <f t="shared" ref="J252:P252" ca="1" si="231">I252*EXP(($C$6-0.5*$C$7^2)*$C$12+$C$7*SQRT($C$12)*NORMINV(RAND(),0,1))</f>
        <v>78.947123917031519</v>
      </c>
      <c r="K252">
        <f t="shared" ca="1" si="231"/>
        <v>85.075978413277809</v>
      </c>
      <c r="L252">
        <f t="shared" ca="1" si="231"/>
        <v>82.419301960839817</v>
      </c>
      <c r="M252">
        <f t="shared" ca="1" si="231"/>
        <v>88.493399997661669</v>
      </c>
      <c r="N252">
        <f t="shared" ca="1" si="231"/>
        <v>96.755299042332069</v>
      </c>
      <c r="O252">
        <f t="shared" ca="1" si="231"/>
        <v>94.657980143582805</v>
      </c>
      <c r="P252">
        <f t="shared" ca="1" si="231"/>
        <v>91.373966928459666</v>
      </c>
      <c r="Q252">
        <f t="shared" ca="1" si="184"/>
        <v>99.347368032090515</v>
      </c>
      <c r="R252">
        <f t="shared" ca="1" si="185"/>
        <v>0</v>
      </c>
      <c r="S252">
        <f t="shared" ca="1" si="186"/>
        <v>0</v>
      </c>
    </row>
    <row r="253" spans="5:19" x14ac:dyDescent="0.75">
      <c r="E253">
        <v>248</v>
      </c>
      <c r="F253">
        <f t="shared" si="182"/>
        <v>100</v>
      </c>
      <c r="G253">
        <f t="shared" ca="1" si="183"/>
        <v>103.59499315973244</v>
      </c>
      <c r="H253">
        <f t="shared" ca="1" si="183"/>
        <v>97.025493603940745</v>
      </c>
      <c r="I253">
        <f t="shared" ca="1" si="183"/>
        <v>93.591695161954874</v>
      </c>
      <c r="J253">
        <f t="shared" ref="J253:P253" ca="1" si="232">I253*EXP(($C$6-0.5*$C$7^2)*$C$12+$C$7*SQRT($C$12)*NORMINV(RAND(),0,1))</f>
        <v>97.474068736375202</v>
      </c>
      <c r="K253">
        <f t="shared" ca="1" si="232"/>
        <v>88.602894303405989</v>
      </c>
      <c r="L253">
        <f t="shared" ca="1" si="232"/>
        <v>90.44018345784238</v>
      </c>
      <c r="M253">
        <f t="shared" ca="1" si="232"/>
        <v>86.684823455126434</v>
      </c>
      <c r="N253">
        <f t="shared" ca="1" si="232"/>
        <v>89.98536498065495</v>
      </c>
      <c r="O253">
        <f t="shared" ca="1" si="232"/>
        <v>91.367546168952401</v>
      </c>
      <c r="P253">
        <f t="shared" ca="1" si="232"/>
        <v>90.179246848950029</v>
      </c>
      <c r="Q253">
        <f t="shared" ca="1" si="184"/>
        <v>103.59499315973244</v>
      </c>
      <c r="R253">
        <f t="shared" ca="1" si="185"/>
        <v>0</v>
      </c>
      <c r="S253">
        <f t="shared" ca="1" si="186"/>
        <v>0</v>
      </c>
    </row>
    <row r="254" spans="5:19" x14ac:dyDescent="0.75">
      <c r="E254">
        <v>249</v>
      </c>
      <c r="F254">
        <f t="shared" si="182"/>
        <v>100</v>
      </c>
      <c r="G254">
        <f t="shared" ca="1" si="183"/>
        <v>105.92203922879494</v>
      </c>
      <c r="H254">
        <f t="shared" ca="1" si="183"/>
        <v>103.83902690869829</v>
      </c>
      <c r="I254">
        <f t="shared" ca="1" si="183"/>
        <v>105.66173784924666</v>
      </c>
      <c r="J254">
        <f t="shared" ref="J254:P254" ca="1" si="233">I254*EXP(($C$6-0.5*$C$7^2)*$C$12+$C$7*SQRT($C$12)*NORMINV(RAND(),0,1))</f>
        <v>102.96533813076729</v>
      </c>
      <c r="K254">
        <f t="shared" ca="1" si="233"/>
        <v>100.78816021647563</v>
      </c>
      <c r="L254">
        <f t="shared" ca="1" si="233"/>
        <v>108.43046973752783</v>
      </c>
      <c r="M254">
        <f t="shared" ca="1" si="233"/>
        <v>101.57133301251939</v>
      </c>
      <c r="N254">
        <f t="shared" ca="1" si="233"/>
        <v>113.68140034147997</v>
      </c>
      <c r="O254">
        <f t="shared" ca="1" si="233"/>
        <v>120.07596732906946</v>
      </c>
      <c r="P254">
        <f t="shared" ca="1" si="233"/>
        <v>118.21146678253331</v>
      </c>
      <c r="Q254">
        <f t="shared" ca="1" si="184"/>
        <v>120.07596732906946</v>
      </c>
      <c r="R254">
        <f t="shared" ca="1" si="185"/>
        <v>0</v>
      </c>
      <c r="S254">
        <f t="shared" ca="1" si="186"/>
        <v>0</v>
      </c>
    </row>
    <row r="255" spans="5:19" x14ac:dyDescent="0.75">
      <c r="E255">
        <v>250</v>
      </c>
      <c r="F255">
        <f t="shared" si="182"/>
        <v>100</v>
      </c>
      <c r="G255">
        <f t="shared" ca="1" si="183"/>
        <v>102.91041826360903</v>
      </c>
      <c r="H255">
        <f t="shared" ca="1" si="183"/>
        <v>98.744060423622656</v>
      </c>
      <c r="I255">
        <f t="shared" ca="1" si="183"/>
        <v>93.725727531156167</v>
      </c>
      <c r="J255">
        <f t="shared" ref="J255:P255" ca="1" si="234">I255*EXP(($C$6-0.5*$C$7^2)*$C$12+$C$7*SQRT($C$12)*NORMINV(RAND(),0,1))</f>
        <v>94.033862174883723</v>
      </c>
      <c r="K255">
        <f t="shared" ca="1" si="234"/>
        <v>90.891087428056096</v>
      </c>
      <c r="L255">
        <f t="shared" ca="1" si="234"/>
        <v>87.98419934722601</v>
      </c>
      <c r="M255">
        <f t="shared" ca="1" si="234"/>
        <v>87.995283949808396</v>
      </c>
      <c r="N255">
        <f t="shared" ca="1" si="234"/>
        <v>90.126691506836664</v>
      </c>
      <c r="O255">
        <f t="shared" ca="1" si="234"/>
        <v>92.11175081733974</v>
      </c>
      <c r="P255">
        <f t="shared" ca="1" si="234"/>
        <v>89.779466558048298</v>
      </c>
      <c r="Q255">
        <f t="shared" ca="1" si="184"/>
        <v>102.91041826360903</v>
      </c>
      <c r="R255">
        <f t="shared" ca="1" si="185"/>
        <v>0</v>
      </c>
      <c r="S255">
        <f t="shared" ca="1" si="186"/>
        <v>0</v>
      </c>
    </row>
    <row r="256" spans="5:19" x14ac:dyDescent="0.75">
      <c r="E256">
        <v>251</v>
      </c>
      <c r="F256">
        <f t="shared" si="182"/>
        <v>100</v>
      </c>
      <c r="G256">
        <f t="shared" ca="1" si="183"/>
        <v>91.041976595195479</v>
      </c>
      <c r="H256">
        <f t="shared" ca="1" si="183"/>
        <v>93.269334097360286</v>
      </c>
      <c r="I256">
        <f t="shared" ca="1" si="183"/>
        <v>96.501004223922308</v>
      </c>
      <c r="J256">
        <f t="shared" ref="J256:P256" ca="1" si="235">I256*EXP(($C$6-0.5*$C$7^2)*$C$12+$C$7*SQRT($C$12)*NORMINV(RAND(),0,1))</f>
        <v>100.93585889355512</v>
      </c>
      <c r="K256">
        <f t="shared" ca="1" si="235"/>
        <v>105.09312148484213</v>
      </c>
      <c r="L256">
        <f t="shared" ca="1" si="235"/>
        <v>109.08064198138821</v>
      </c>
      <c r="M256">
        <f t="shared" ca="1" si="235"/>
        <v>102.85406003252449</v>
      </c>
      <c r="N256">
        <f t="shared" ca="1" si="235"/>
        <v>107.20983258995962</v>
      </c>
      <c r="O256">
        <f t="shared" ca="1" si="235"/>
        <v>108.18957766301959</v>
      </c>
      <c r="P256">
        <f t="shared" ca="1" si="235"/>
        <v>105.09708714464747</v>
      </c>
      <c r="Q256">
        <f t="shared" ca="1" si="184"/>
        <v>109.08064198138821</v>
      </c>
      <c r="R256">
        <f t="shared" ca="1" si="185"/>
        <v>3.0970871446474746</v>
      </c>
      <c r="S256">
        <f t="shared" ca="1" si="186"/>
        <v>3.0206197905902084</v>
      </c>
    </row>
    <row r="257" spans="5:19" x14ac:dyDescent="0.75">
      <c r="E257">
        <v>252</v>
      </c>
      <c r="F257">
        <f t="shared" si="182"/>
        <v>100</v>
      </c>
      <c r="G257">
        <f t="shared" ca="1" si="183"/>
        <v>104.46654420096341</v>
      </c>
      <c r="H257">
        <f t="shared" ca="1" si="183"/>
        <v>111.85475976893528</v>
      </c>
      <c r="I257">
        <f t="shared" ca="1" si="183"/>
        <v>112.50775337049484</v>
      </c>
      <c r="J257">
        <f t="shared" ref="J257:P257" ca="1" si="236">I257*EXP(($C$6-0.5*$C$7^2)*$C$12+$C$7*SQRT($C$12)*NORMINV(RAND(),0,1))</f>
        <v>111.5110832506498</v>
      </c>
      <c r="K257">
        <f t="shared" ca="1" si="236"/>
        <v>107.95127395355881</v>
      </c>
      <c r="L257">
        <f t="shared" ca="1" si="236"/>
        <v>111.78410386106079</v>
      </c>
      <c r="M257">
        <f t="shared" ca="1" si="236"/>
        <v>111.50578803276403</v>
      </c>
      <c r="N257">
        <f t="shared" ca="1" si="236"/>
        <v>106.70850320736976</v>
      </c>
      <c r="O257">
        <f t="shared" ca="1" si="236"/>
        <v>107.91187454438219</v>
      </c>
      <c r="P257">
        <f t="shared" ca="1" si="236"/>
        <v>115.44179434655027</v>
      </c>
      <c r="Q257">
        <f t="shared" ca="1" si="184"/>
        <v>115.44179434655027</v>
      </c>
      <c r="R257">
        <f t="shared" ca="1" si="185"/>
        <v>0</v>
      </c>
      <c r="S257">
        <f t="shared" ca="1" si="186"/>
        <v>0</v>
      </c>
    </row>
    <row r="258" spans="5:19" x14ac:dyDescent="0.75">
      <c r="E258">
        <v>253</v>
      </c>
      <c r="F258">
        <f t="shared" si="182"/>
        <v>100</v>
      </c>
      <c r="G258">
        <f t="shared" ca="1" si="183"/>
        <v>104.94382378931672</v>
      </c>
      <c r="H258">
        <f t="shared" ca="1" si="183"/>
        <v>105.94836941176615</v>
      </c>
      <c r="I258">
        <f t="shared" ca="1" si="183"/>
        <v>106.59906386082345</v>
      </c>
      <c r="J258">
        <f t="shared" ref="J258:P258" ca="1" si="237">I258*EXP(($C$6-0.5*$C$7^2)*$C$12+$C$7*SQRT($C$12)*NORMINV(RAND(),0,1))</f>
        <v>106.82982997215963</v>
      </c>
      <c r="K258">
        <f t="shared" ca="1" si="237"/>
        <v>106.06662482378552</v>
      </c>
      <c r="L258">
        <f t="shared" ca="1" si="237"/>
        <v>111.20228381861951</v>
      </c>
      <c r="M258">
        <f t="shared" ca="1" si="237"/>
        <v>110.30972209157076</v>
      </c>
      <c r="N258">
        <f t="shared" ca="1" si="237"/>
        <v>104.08111285578192</v>
      </c>
      <c r="O258">
        <f t="shared" ca="1" si="237"/>
        <v>101.78797217122745</v>
      </c>
      <c r="P258">
        <f t="shared" ca="1" si="237"/>
        <v>105.22833150452792</v>
      </c>
      <c r="Q258">
        <f t="shared" ca="1" si="184"/>
        <v>111.20228381861951</v>
      </c>
      <c r="R258">
        <f t="shared" ca="1" si="185"/>
        <v>0</v>
      </c>
      <c r="S258">
        <f t="shared" ca="1" si="186"/>
        <v>0</v>
      </c>
    </row>
    <row r="259" spans="5:19" x14ac:dyDescent="0.75">
      <c r="E259">
        <v>254</v>
      </c>
      <c r="F259">
        <f t="shared" si="182"/>
        <v>100</v>
      </c>
      <c r="G259">
        <f t="shared" ca="1" si="183"/>
        <v>99.172171001259329</v>
      </c>
      <c r="H259">
        <f t="shared" ca="1" si="183"/>
        <v>102.89780225450504</v>
      </c>
      <c r="I259">
        <f t="shared" ca="1" si="183"/>
        <v>97.193460174316385</v>
      </c>
      <c r="J259">
        <f t="shared" ref="J259:P259" ca="1" si="238">I259*EXP(($C$6-0.5*$C$7^2)*$C$12+$C$7*SQRT($C$12)*NORMINV(RAND(),0,1))</f>
        <v>104.00572868493718</v>
      </c>
      <c r="K259">
        <f t="shared" ca="1" si="238"/>
        <v>104.82897014974381</v>
      </c>
      <c r="L259">
        <f t="shared" ca="1" si="238"/>
        <v>104.01844537788146</v>
      </c>
      <c r="M259">
        <f t="shared" ca="1" si="238"/>
        <v>107.71626074927546</v>
      </c>
      <c r="N259">
        <f t="shared" ca="1" si="238"/>
        <v>106.07945249208612</v>
      </c>
      <c r="O259">
        <f t="shared" ca="1" si="238"/>
        <v>104.9628345385936</v>
      </c>
      <c r="P259">
        <f t="shared" ca="1" si="238"/>
        <v>109.06995363736139</v>
      </c>
      <c r="Q259">
        <f t="shared" ca="1" si="184"/>
        <v>109.06995363736139</v>
      </c>
      <c r="R259">
        <f t="shared" ca="1" si="185"/>
        <v>7.0699536373613938</v>
      </c>
      <c r="S259">
        <f t="shared" ca="1" si="186"/>
        <v>6.895395860099331</v>
      </c>
    </row>
    <row r="260" spans="5:19" x14ac:dyDescent="0.75">
      <c r="E260">
        <v>255</v>
      </c>
      <c r="F260">
        <f t="shared" si="182"/>
        <v>100</v>
      </c>
      <c r="G260">
        <f t="shared" ca="1" si="183"/>
        <v>108.64882872779154</v>
      </c>
      <c r="H260">
        <f t="shared" ca="1" si="183"/>
        <v>112.7938166295954</v>
      </c>
      <c r="I260">
        <f t="shared" ca="1" si="183"/>
        <v>117.81991727410838</v>
      </c>
      <c r="J260">
        <f t="shared" ref="J260:P260" ca="1" si="239">I260*EXP(($C$6-0.5*$C$7^2)*$C$12+$C$7*SQRT($C$12)*NORMINV(RAND(),0,1))</f>
        <v>126.16023742701852</v>
      </c>
      <c r="K260">
        <f t="shared" ca="1" si="239"/>
        <v>123.86568970114295</v>
      </c>
      <c r="L260">
        <f t="shared" ca="1" si="239"/>
        <v>114.76531818052209</v>
      </c>
      <c r="M260">
        <f t="shared" ca="1" si="239"/>
        <v>112.91671642650178</v>
      </c>
      <c r="N260">
        <f t="shared" ca="1" si="239"/>
        <v>116.36303631138973</v>
      </c>
      <c r="O260">
        <f t="shared" ca="1" si="239"/>
        <v>116.08062590820562</v>
      </c>
      <c r="P260">
        <f t="shared" ca="1" si="239"/>
        <v>120.18564170211934</v>
      </c>
      <c r="Q260">
        <f t="shared" ca="1" si="184"/>
        <v>126.16023742701852</v>
      </c>
      <c r="R260">
        <f t="shared" ca="1" si="185"/>
        <v>0</v>
      </c>
      <c r="S260">
        <f t="shared" ca="1" si="186"/>
        <v>0</v>
      </c>
    </row>
    <row r="261" spans="5:19" x14ac:dyDescent="0.75">
      <c r="E261">
        <v>256</v>
      </c>
      <c r="F261">
        <f t="shared" si="182"/>
        <v>100</v>
      </c>
      <c r="G261">
        <f t="shared" ca="1" si="183"/>
        <v>99.977462720122219</v>
      </c>
      <c r="H261">
        <f t="shared" ca="1" si="183"/>
        <v>107.1354970593716</v>
      </c>
      <c r="I261">
        <f t="shared" ca="1" si="183"/>
        <v>103.99632794545069</v>
      </c>
      <c r="J261">
        <f t="shared" ref="J261:P261" ca="1" si="240">I261*EXP(($C$6-0.5*$C$7^2)*$C$12+$C$7*SQRT($C$12)*NORMINV(RAND(),0,1))</f>
        <v>105.06665351554336</v>
      </c>
      <c r="K261">
        <f t="shared" ca="1" si="240"/>
        <v>112.13180556329662</v>
      </c>
      <c r="L261">
        <f t="shared" ca="1" si="240"/>
        <v>117.71486383151863</v>
      </c>
      <c r="M261">
        <f t="shared" ca="1" si="240"/>
        <v>106.91906130771123</v>
      </c>
      <c r="N261">
        <f t="shared" ca="1" si="240"/>
        <v>111.10077231039919</v>
      </c>
      <c r="O261">
        <f t="shared" ca="1" si="240"/>
        <v>109.08379816677817</v>
      </c>
      <c r="P261">
        <f t="shared" ca="1" si="240"/>
        <v>114.27225765696683</v>
      </c>
      <c r="Q261">
        <f t="shared" ca="1" si="184"/>
        <v>117.71486383151863</v>
      </c>
      <c r="R261">
        <f t="shared" ca="1" si="185"/>
        <v>0</v>
      </c>
      <c r="S261">
        <f t="shared" ca="1" si="186"/>
        <v>0</v>
      </c>
    </row>
    <row r="262" spans="5:19" x14ac:dyDescent="0.75">
      <c r="E262">
        <v>257</v>
      </c>
      <c r="F262">
        <f t="shared" si="182"/>
        <v>100</v>
      </c>
      <c r="G262">
        <f t="shared" ca="1" si="183"/>
        <v>109.19178371965015</v>
      </c>
      <c r="H262">
        <f t="shared" ca="1" si="183"/>
        <v>106.60675778023156</v>
      </c>
      <c r="I262">
        <f t="shared" ca="1" si="183"/>
        <v>114.71890050555874</v>
      </c>
      <c r="J262">
        <f t="shared" ref="J262:P262" ca="1" si="241">I262*EXP(($C$6-0.5*$C$7^2)*$C$12+$C$7*SQRT($C$12)*NORMINV(RAND(),0,1))</f>
        <v>111.02862193536613</v>
      </c>
      <c r="K262">
        <f t="shared" ca="1" si="241"/>
        <v>111.49736242967904</v>
      </c>
      <c r="L262">
        <f t="shared" ca="1" si="241"/>
        <v>109.78621703892398</v>
      </c>
      <c r="M262">
        <f t="shared" ca="1" si="241"/>
        <v>113.66018465207235</v>
      </c>
      <c r="N262">
        <f t="shared" ca="1" si="241"/>
        <v>115.17969357738519</v>
      </c>
      <c r="O262">
        <f t="shared" ca="1" si="241"/>
        <v>109.54237438752422</v>
      </c>
      <c r="P262">
        <f t="shared" ca="1" si="241"/>
        <v>101.49822343360314</v>
      </c>
      <c r="Q262">
        <f t="shared" ca="1" si="184"/>
        <v>115.17969357738519</v>
      </c>
      <c r="R262">
        <f t="shared" ca="1" si="185"/>
        <v>0</v>
      </c>
      <c r="S262">
        <f t="shared" ca="1" si="186"/>
        <v>0</v>
      </c>
    </row>
    <row r="263" spans="5:19" x14ac:dyDescent="0.75">
      <c r="E263">
        <v>258</v>
      </c>
      <c r="F263">
        <f t="shared" ref="F263:F326" si="242">$C$5</f>
        <v>100</v>
      </c>
      <c r="G263">
        <f t="shared" ref="G263:P326" ca="1" si="243">F263*EXP(($C$6-0.5*$C$7^2)*$C$12+$C$7*SQRT($C$12)*NORMINV(RAND(),0,1))</f>
        <v>97.719292536851015</v>
      </c>
      <c r="H263">
        <f t="shared" ca="1" si="243"/>
        <v>94.574288389693763</v>
      </c>
      <c r="I263">
        <f t="shared" ca="1" si="243"/>
        <v>105.19386444025864</v>
      </c>
      <c r="J263">
        <f t="shared" ca="1" si="243"/>
        <v>103.71645728580077</v>
      </c>
      <c r="K263">
        <f t="shared" ca="1" si="243"/>
        <v>107.67100480218677</v>
      </c>
      <c r="L263">
        <f t="shared" ca="1" si="243"/>
        <v>107.05283175673151</v>
      </c>
      <c r="M263">
        <f t="shared" ca="1" si="243"/>
        <v>107.28008850876246</v>
      </c>
      <c r="N263">
        <f t="shared" ca="1" si="243"/>
        <v>105.57618160733227</v>
      </c>
      <c r="O263">
        <f t="shared" ca="1" si="243"/>
        <v>104.75623454493466</v>
      </c>
      <c r="P263">
        <f t="shared" ca="1" si="243"/>
        <v>100.78646673098989</v>
      </c>
      <c r="Q263">
        <f t="shared" ref="Q263:Q326" ca="1" si="244">MAX(G263:P263)</f>
        <v>107.67100480218677</v>
      </c>
      <c r="R263">
        <f t="shared" ref="R263:R326" ca="1" si="245">IF(Q263&gt;=$C$13,0, MAX(P263-$C$9,0))</f>
        <v>0</v>
      </c>
      <c r="S263">
        <f t="shared" ref="S263:S326" ca="1" si="246">EXP(-$C$6*$C$8)*R263</f>
        <v>0</v>
      </c>
    </row>
    <row r="264" spans="5:19" x14ac:dyDescent="0.75">
      <c r="E264">
        <v>259</v>
      </c>
      <c r="F264">
        <f t="shared" si="242"/>
        <v>100</v>
      </c>
      <c r="G264">
        <f t="shared" ca="1" si="243"/>
        <v>104.93314744867234</v>
      </c>
      <c r="H264">
        <f t="shared" ca="1" si="243"/>
        <v>110.67962071431126</v>
      </c>
      <c r="I264">
        <f t="shared" ca="1" si="243"/>
        <v>111.9472936450538</v>
      </c>
      <c r="J264">
        <f t="shared" ca="1" si="243"/>
        <v>106.78765472679716</v>
      </c>
      <c r="K264">
        <f t="shared" ca="1" si="243"/>
        <v>107.24672601507343</v>
      </c>
      <c r="L264">
        <f t="shared" ca="1" si="243"/>
        <v>107.23605490789699</v>
      </c>
      <c r="M264">
        <f t="shared" ca="1" si="243"/>
        <v>114.64188479947913</v>
      </c>
      <c r="N264">
        <f t="shared" ca="1" si="243"/>
        <v>115.9508524625877</v>
      </c>
      <c r="O264">
        <f t="shared" ca="1" si="243"/>
        <v>109.81304409746107</v>
      </c>
      <c r="P264">
        <f t="shared" ca="1" si="243"/>
        <v>109.35065252717015</v>
      </c>
      <c r="Q264">
        <f t="shared" ca="1" si="244"/>
        <v>115.9508524625877</v>
      </c>
      <c r="R264">
        <f t="shared" ca="1" si="245"/>
        <v>0</v>
      </c>
      <c r="S264">
        <f t="shared" ca="1" si="246"/>
        <v>0</v>
      </c>
    </row>
    <row r="265" spans="5:19" x14ac:dyDescent="0.75">
      <c r="E265">
        <v>260</v>
      </c>
      <c r="F265">
        <f t="shared" si="242"/>
        <v>100</v>
      </c>
      <c r="G265">
        <f t="shared" ca="1" si="243"/>
        <v>101.1007051130526</v>
      </c>
      <c r="H265">
        <f t="shared" ca="1" si="243"/>
        <v>109.41018889085274</v>
      </c>
      <c r="I265">
        <f t="shared" ca="1" si="243"/>
        <v>110.22701021407043</v>
      </c>
      <c r="J265">
        <f t="shared" ca="1" si="243"/>
        <v>114.05332841978431</v>
      </c>
      <c r="K265">
        <f t="shared" ca="1" si="243"/>
        <v>103.6127533857365</v>
      </c>
      <c r="L265">
        <f t="shared" ca="1" si="243"/>
        <v>98.669653012732439</v>
      </c>
      <c r="M265">
        <f t="shared" ca="1" si="243"/>
        <v>97.313428097243971</v>
      </c>
      <c r="N265">
        <f t="shared" ca="1" si="243"/>
        <v>92.406805727327395</v>
      </c>
      <c r="O265">
        <f t="shared" ca="1" si="243"/>
        <v>93.713086875156947</v>
      </c>
      <c r="P265">
        <f t="shared" ca="1" si="243"/>
        <v>90.304182112962707</v>
      </c>
      <c r="Q265">
        <f t="shared" ca="1" si="244"/>
        <v>114.05332841978431</v>
      </c>
      <c r="R265">
        <f t="shared" ca="1" si="245"/>
        <v>0</v>
      </c>
      <c r="S265">
        <f t="shared" ca="1" si="246"/>
        <v>0</v>
      </c>
    </row>
    <row r="266" spans="5:19" x14ac:dyDescent="0.75">
      <c r="E266">
        <v>261</v>
      </c>
      <c r="F266">
        <f t="shared" si="242"/>
        <v>100</v>
      </c>
      <c r="G266">
        <f t="shared" ca="1" si="243"/>
        <v>106.86046887086486</v>
      </c>
      <c r="H266">
        <f t="shared" ca="1" si="243"/>
        <v>101.74495013121262</v>
      </c>
      <c r="I266">
        <f t="shared" ca="1" si="243"/>
        <v>104.91070810299024</v>
      </c>
      <c r="J266">
        <f t="shared" ca="1" si="243"/>
        <v>99.442859943294508</v>
      </c>
      <c r="K266">
        <f t="shared" ca="1" si="243"/>
        <v>96.310059467399014</v>
      </c>
      <c r="L266">
        <f t="shared" ca="1" si="243"/>
        <v>95.7968125817264</v>
      </c>
      <c r="M266">
        <f t="shared" ca="1" si="243"/>
        <v>97.005166285114129</v>
      </c>
      <c r="N266">
        <f t="shared" ca="1" si="243"/>
        <v>95.445202951274652</v>
      </c>
      <c r="O266">
        <f t="shared" ca="1" si="243"/>
        <v>97.486618964058124</v>
      </c>
      <c r="P266">
        <f t="shared" ca="1" si="243"/>
        <v>95.366261405861607</v>
      </c>
      <c r="Q266">
        <f t="shared" ca="1" si="244"/>
        <v>106.86046887086486</v>
      </c>
      <c r="R266">
        <f t="shared" ca="1" si="245"/>
        <v>0</v>
      </c>
      <c r="S266">
        <f t="shared" ca="1" si="246"/>
        <v>0</v>
      </c>
    </row>
    <row r="267" spans="5:19" x14ac:dyDescent="0.75">
      <c r="E267">
        <v>262</v>
      </c>
      <c r="F267">
        <f t="shared" si="242"/>
        <v>100</v>
      </c>
      <c r="G267">
        <f t="shared" ca="1" si="243"/>
        <v>106.05975872648843</v>
      </c>
      <c r="H267">
        <f t="shared" ca="1" si="243"/>
        <v>96.392594353308027</v>
      </c>
      <c r="I267">
        <f t="shared" ca="1" si="243"/>
        <v>94.186823820937576</v>
      </c>
      <c r="J267">
        <f t="shared" ca="1" si="243"/>
        <v>96.724164898055818</v>
      </c>
      <c r="K267">
        <f t="shared" ca="1" si="243"/>
        <v>97.923695270112674</v>
      </c>
      <c r="L267">
        <f t="shared" ca="1" si="243"/>
        <v>104.71266495038338</v>
      </c>
      <c r="M267">
        <f t="shared" ca="1" si="243"/>
        <v>109.78839573395196</v>
      </c>
      <c r="N267">
        <f t="shared" ca="1" si="243"/>
        <v>109.79687306988642</v>
      </c>
      <c r="O267">
        <f t="shared" ca="1" si="243"/>
        <v>115.97992818898037</v>
      </c>
      <c r="P267">
        <f t="shared" ca="1" si="243"/>
        <v>120.33285527828274</v>
      </c>
      <c r="Q267">
        <f t="shared" ca="1" si="244"/>
        <v>120.33285527828274</v>
      </c>
      <c r="R267">
        <f t="shared" ca="1" si="245"/>
        <v>0</v>
      </c>
      <c r="S267">
        <f t="shared" ca="1" si="246"/>
        <v>0</v>
      </c>
    </row>
    <row r="268" spans="5:19" x14ac:dyDescent="0.75">
      <c r="E268">
        <v>263</v>
      </c>
      <c r="F268">
        <f t="shared" si="242"/>
        <v>100</v>
      </c>
      <c r="G268">
        <f t="shared" ca="1" si="243"/>
        <v>105.60000740392795</v>
      </c>
      <c r="H268">
        <f t="shared" ca="1" si="243"/>
        <v>104.29348443306205</v>
      </c>
      <c r="I268">
        <f t="shared" ca="1" si="243"/>
        <v>104.18262361235665</v>
      </c>
      <c r="J268">
        <f t="shared" ca="1" si="243"/>
        <v>106.51672116723809</v>
      </c>
      <c r="K268">
        <f t="shared" ca="1" si="243"/>
        <v>107.02931328243749</v>
      </c>
      <c r="L268">
        <f t="shared" ca="1" si="243"/>
        <v>101.32286236765675</v>
      </c>
      <c r="M268">
        <f t="shared" ca="1" si="243"/>
        <v>102.36141828147495</v>
      </c>
      <c r="N268">
        <f t="shared" ca="1" si="243"/>
        <v>94.58018350843497</v>
      </c>
      <c r="O268">
        <f t="shared" ca="1" si="243"/>
        <v>100.27682551243649</v>
      </c>
      <c r="P268">
        <f t="shared" ca="1" si="243"/>
        <v>102.84380239861684</v>
      </c>
      <c r="Q268">
        <f t="shared" ca="1" si="244"/>
        <v>107.02931328243749</v>
      </c>
      <c r="R268">
        <f t="shared" ca="1" si="245"/>
        <v>0.84380239861684458</v>
      </c>
      <c r="S268">
        <f t="shared" ca="1" si="246"/>
        <v>0.82296884316429075</v>
      </c>
    </row>
    <row r="269" spans="5:19" x14ac:dyDescent="0.75">
      <c r="E269">
        <v>264</v>
      </c>
      <c r="F269">
        <f t="shared" si="242"/>
        <v>100</v>
      </c>
      <c r="G269">
        <f t="shared" ca="1" si="243"/>
        <v>99.583811231024256</v>
      </c>
      <c r="H269">
        <f t="shared" ca="1" si="243"/>
        <v>95.818390943957041</v>
      </c>
      <c r="I269">
        <f t="shared" ca="1" si="243"/>
        <v>98.3105194516164</v>
      </c>
      <c r="J269">
        <f t="shared" ca="1" si="243"/>
        <v>103.06484843711226</v>
      </c>
      <c r="K269">
        <f t="shared" ca="1" si="243"/>
        <v>105.06962870633532</v>
      </c>
      <c r="L269">
        <f t="shared" ca="1" si="243"/>
        <v>107.49510166372214</v>
      </c>
      <c r="M269">
        <f t="shared" ca="1" si="243"/>
        <v>105.4993127062847</v>
      </c>
      <c r="N269">
        <f t="shared" ca="1" si="243"/>
        <v>108.62654987456209</v>
      </c>
      <c r="O269">
        <f t="shared" ca="1" si="243"/>
        <v>116.33955306896448</v>
      </c>
      <c r="P269">
        <f t="shared" ca="1" si="243"/>
        <v>114.36467424618269</v>
      </c>
      <c r="Q269">
        <f t="shared" ca="1" si="244"/>
        <v>116.33955306896448</v>
      </c>
      <c r="R269">
        <f t="shared" ca="1" si="245"/>
        <v>0</v>
      </c>
      <c r="S269">
        <f t="shared" ca="1" si="246"/>
        <v>0</v>
      </c>
    </row>
    <row r="270" spans="5:19" x14ac:dyDescent="0.75">
      <c r="E270">
        <v>265</v>
      </c>
      <c r="F270">
        <f t="shared" si="242"/>
        <v>100</v>
      </c>
      <c r="G270">
        <f t="shared" ca="1" si="243"/>
        <v>102.29083496506183</v>
      </c>
      <c r="H270">
        <f t="shared" ca="1" si="243"/>
        <v>96.237510541428477</v>
      </c>
      <c r="I270">
        <f t="shared" ca="1" si="243"/>
        <v>94.119673866625035</v>
      </c>
      <c r="J270">
        <f t="shared" ca="1" si="243"/>
        <v>87.844443969708962</v>
      </c>
      <c r="K270">
        <f t="shared" ca="1" si="243"/>
        <v>84.268569007064002</v>
      </c>
      <c r="L270">
        <f t="shared" ca="1" si="243"/>
        <v>88.607499784623656</v>
      </c>
      <c r="M270">
        <f t="shared" ca="1" si="243"/>
        <v>97.093223576145505</v>
      </c>
      <c r="N270">
        <f t="shared" ca="1" si="243"/>
        <v>101.26992199189378</v>
      </c>
      <c r="O270">
        <f t="shared" ca="1" si="243"/>
        <v>101.31559445265164</v>
      </c>
      <c r="P270">
        <f t="shared" ca="1" si="243"/>
        <v>98.006812355969501</v>
      </c>
      <c r="Q270">
        <f t="shared" ca="1" si="244"/>
        <v>102.29083496506183</v>
      </c>
      <c r="R270">
        <f t="shared" ca="1" si="245"/>
        <v>0</v>
      </c>
      <c r="S270">
        <f t="shared" ca="1" si="246"/>
        <v>0</v>
      </c>
    </row>
    <row r="271" spans="5:19" x14ac:dyDescent="0.75">
      <c r="E271">
        <v>266</v>
      </c>
      <c r="F271">
        <f t="shared" si="242"/>
        <v>100</v>
      </c>
      <c r="G271">
        <f t="shared" ca="1" si="243"/>
        <v>99.707357553201575</v>
      </c>
      <c r="H271">
        <f t="shared" ca="1" si="243"/>
        <v>104.20139659869064</v>
      </c>
      <c r="I271">
        <f t="shared" ca="1" si="243"/>
        <v>101.79354213792958</v>
      </c>
      <c r="J271">
        <f t="shared" ca="1" si="243"/>
        <v>95.301523069686624</v>
      </c>
      <c r="K271">
        <f t="shared" ca="1" si="243"/>
        <v>101.86155971492529</v>
      </c>
      <c r="L271">
        <f t="shared" ca="1" si="243"/>
        <v>105.72436699488811</v>
      </c>
      <c r="M271">
        <f t="shared" ca="1" si="243"/>
        <v>113.23178647124712</v>
      </c>
      <c r="N271">
        <f t="shared" ca="1" si="243"/>
        <v>105.58688507563275</v>
      </c>
      <c r="O271">
        <f t="shared" ca="1" si="243"/>
        <v>108.8878549065564</v>
      </c>
      <c r="P271">
        <f t="shared" ca="1" si="243"/>
        <v>102.85459789368842</v>
      </c>
      <c r="Q271">
        <f t="shared" ca="1" si="244"/>
        <v>113.23178647124712</v>
      </c>
      <c r="R271">
        <f t="shared" ca="1" si="245"/>
        <v>0</v>
      </c>
      <c r="S271">
        <f t="shared" ca="1" si="246"/>
        <v>0</v>
      </c>
    </row>
    <row r="272" spans="5:19" x14ac:dyDescent="0.75">
      <c r="E272">
        <v>267</v>
      </c>
      <c r="F272">
        <f t="shared" si="242"/>
        <v>100</v>
      </c>
      <c r="G272">
        <f t="shared" ca="1" si="243"/>
        <v>106.13064921707043</v>
      </c>
      <c r="H272">
        <f t="shared" ca="1" si="243"/>
        <v>110.08301265631516</v>
      </c>
      <c r="I272">
        <f t="shared" ca="1" si="243"/>
        <v>105.958713292555</v>
      </c>
      <c r="J272">
        <f t="shared" ref="J272:P272" ca="1" si="247">I272*EXP(($C$6-0.5*$C$7^2)*$C$12+$C$7*SQRT($C$12)*NORMINV(RAND(),0,1))</f>
        <v>103.0532477963346</v>
      </c>
      <c r="K272">
        <f t="shared" ca="1" si="247"/>
        <v>99.211283928108415</v>
      </c>
      <c r="L272">
        <f t="shared" ca="1" si="247"/>
        <v>96.080868130555572</v>
      </c>
      <c r="M272">
        <f t="shared" ca="1" si="247"/>
        <v>107.51590700255915</v>
      </c>
      <c r="N272">
        <f t="shared" ca="1" si="247"/>
        <v>112.87961759746501</v>
      </c>
      <c r="O272">
        <f t="shared" ca="1" si="247"/>
        <v>117.52451050917941</v>
      </c>
      <c r="P272">
        <f t="shared" ca="1" si="247"/>
        <v>121.27447544287365</v>
      </c>
      <c r="Q272">
        <f t="shared" ca="1" si="244"/>
        <v>121.27447544287365</v>
      </c>
      <c r="R272">
        <f t="shared" ca="1" si="245"/>
        <v>0</v>
      </c>
      <c r="S272">
        <f t="shared" ca="1" si="246"/>
        <v>0</v>
      </c>
    </row>
    <row r="273" spans="5:19" x14ac:dyDescent="0.75">
      <c r="E273">
        <v>268</v>
      </c>
      <c r="F273">
        <f t="shared" si="242"/>
        <v>100</v>
      </c>
      <c r="G273">
        <f t="shared" ca="1" si="243"/>
        <v>100.90482547363149</v>
      </c>
      <c r="H273">
        <f t="shared" ca="1" si="243"/>
        <v>98.677944344384173</v>
      </c>
      <c r="I273">
        <f t="shared" ca="1" si="243"/>
        <v>93.929742554249799</v>
      </c>
      <c r="J273">
        <f t="shared" ref="J273:P273" ca="1" si="248">I273*EXP(($C$6-0.5*$C$7^2)*$C$12+$C$7*SQRT($C$12)*NORMINV(RAND(),0,1))</f>
        <v>90.883662051668452</v>
      </c>
      <c r="K273">
        <f t="shared" ca="1" si="248"/>
        <v>94.499874812474715</v>
      </c>
      <c r="L273">
        <f t="shared" ca="1" si="248"/>
        <v>89.4486104125222</v>
      </c>
      <c r="M273">
        <f t="shared" ca="1" si="248"/>
        <v>87.152872892316253</v>
      </c>
      <c r="N273">
        <f t="shared" ca="1" si="248"/>
        <v>89.046258171319408</v>
      </c>
      <c r="O273">
        <f t="shared" ca="1" si="248"/>
        <v>87.141827390548102</v>
      </c>
      <c r="P273">
        <f t="shared" ca="1" si="248"/>
        <v>89.931812845549956</v>
      </c>
      <c r="Q273">
        <f t="shared" ca="1" si="244"/>
        <v>100.90482547363149</v>
      </c>
      <c r="R273">
        <f t="shared" ca="1" si="245"/>
        <v>0</v>
      </c>
      <c r="S273">
        <f t="shared" ca="1" si="246"/>
        <v>0</v>
      </c>
    </row>
    <row r="274" spans="5:19" x14ac:dyDescent="0.75">
      <c r="E274">
        <v>269</v>
      </c>
      <c r="F274">
        <f t="shared" si="242"/>
        <v>100</v>
      </c>
      <c r="G274">
        <f t="shared" ca="1" si="243"/>
        <v>100.20339003582038</v>
      </c>
      <c r="H274">
        <f t="shared" ca="1" si="243"/>
        <v>97.170188130355953</v>
      </c>
      <c r="I274">
        <f t="shared" ca="1" si="243"/>
        <v>96.138443468483047</v>
      </c>
      <c r="J274">
        <f t="shared" ref="J274:P274" ca="1" si="249">I274*EXP(($C$6-0.5*$C$7^2)*$C$12+$C$7*SQRT($C$12)*NORMINV(RAND(),0,1))</f>
        <v>101.3709571723417</v>
      </c>
      <c r="K274">
        <f t="shared" ca="1" si="249"/>
        <v>94.800392294532045</v>
      </c>
      <c r="L274">
        <f t="shared" ca="1" si="249"/>
        <v>97.2601483561658</v>
      </c>
      <c r="M274">
        <f t="shared" ca="1" si="249"/>
        <v>93.912126376364768</v>
      </c>
      <c r="N274">
        <f t="shared" ca="1" si="249"/>
        <v>94.838512828361516</v>
      </c>
      <c r="O274">
        <f t="shared" ca="1" si="249"/>
        <v>91.153789517280529</v>
      </c>
      <c r="P274">
        <f t="shared" ca="1" si="249"/>
        <v>89.202582040763815</v>
      </c>
      <c r="Q274">
        <f t="shared" ca="1" si="244"/>
        <v>101.3709571723417</v>
      </c>
      <c r="R274">
        <f t="shared" ca="1" si="245"/>
        <v>0</v>
      </c>
      <c r="S274">
        <f t="shared" ca="1" si="246"/>
        <v>0</v>
      </c>
    </row>
    <row r="275" spans="5:19" x14ac:dyDescent="0.75">
      <c r="E275">
        <v>270</v>
      </c>
      <c r="F275">
        <f t="shared" si="242"/>
        <v>100</v>
      </c>
      <c r="G275">
        <f t="shared" ca="1" si="243"/>
        <v>103.14519819979596</v>
      </c>
      <c r="H275">
        <f t="shared" ca="1" si="243"/>
        <v>102.75341932269666</v>
      </c>
      <c r="I275">
        <f t="shared" ca="1" si="243"/>
        <v>103.2194478810096</v>
      </c>
      <c r="J275">
        <f t="shared" ref="J275:P275" ca="1" si="250">I275*EXP(($C$6-0.5*$C$7^2)*$C$12+$C$7*SQRT($C$12)*NORMINV(RAND(),0,1))</f>
        <v>102.4781992415234</v>
      </c>
      <c r="K275">
        <f t="shared" ca="1" si="250"/>
        <v>95.856311387019019</v>
      </c>
      <c r="L275">
        <f t="shared" ca="1" si="250"/>
        <v>89.197032110090134</v>
      </c>
      <c r="M275">
        <f t="shared" ca="1" si="250"/>
        <v>94.937877028527197</v>
      </c>
      <c r="N275">
        <f t="shared" ca="1" si="250"/>
        <v>93.684818492543684</v>
      </c>
      <c r="O275">
        <f t="shared" ca="1" si="250"/>
        <v>96.201779908795814</v>
      </c>
      <c r="P275">
        <f t="shared" ca="1" si="250"/>
        <v>98.317717808067016</v>
      </c>
      <c r="Q275">
        <f t="shared" ca="1" si="244"/>
        <v>103.2194478810096</v>
      </c>
      <c r="R275">
        <f t="shared" ca="1" si="245"/>
        <v>0</v>
      </c>
      <c r="S275">
        <f t="shared" ca="1" si="246"/>
        <v>0</v>
      </c>
    </row>
    <row r="276" spans="5:19" x14ac:dyDescent="0.75">
      <c r="E276">
        <v>271</v>
      </c>
      <c r="F276">
        <f t="shared" si="242"/>
        <v>100</v>
      </c>
      <c r="G276">
        <f t="shared" ca="1" si="243"/>
        <v>101.86684606938172</v>
      </c>
      <c r="H276">
        <f t="shared" ca="1" si="243"/>
        <v>99.379518261856035</v>
      </c>
      <c r="I276">
        <f t="shared" ca="1" si="243"/>
        <v>97.43126702243049</v>
      </c>
      <c r="J276">
        <f t="shared" ref="J276:P276" ca="1" si="251">I276*EXP(($C$6-0.5*$C$7^2)*$C$12+$C$7*SQRT($C$12)*NORMINV(RAND(),0,1))</f>
        <v>99.435191496734063</v>
      </c>
      <c r="K276">
        <f t="shared" ca="1" si="251"/>
        <v>100.03947191728402</v>
      </c>
      <c r="L276">
        <f t="shared" ca="1" si="251"/>
        <v>100.90604312224623</v>
      </c>
      <c r="M276">
        <f t="shared" ca="1" si="251"/>
        <v>104.5939131995348</v>
      </c>
      <c r="N276">
        <f t="shared" ca="1" si="251"/>
        <v>97.097409834422322</v>
      </c>
      <c r="O276">
        <f t="shared" ca="1" si="251"/>
        <v>93.354583929001393</v>
      </c>
      <c r="P276">
        <f t="shared" ca="1" si="251"/>
        <v>96.951555756407444</v>
      </c>
      <c r="Q276">
        <f t="shared" ca="1" si="244"/>
        <v>104.5939131995348</v>
      </c>
      <c r="R276">
        <f t="shared" ca="1" si="245"/>
        <v>0</v>
      </c>
      <c r="S276">
        <f t="shared" ca="1" si="246"/>
        <v>0</v>
      </c>
    </row>
    <row r="277" spans="5:19" x14ac:dyDescent="0.75">
      <c r="E277">
        <v>272</v>
      </c>
      <c r="F277">
        <f t="shared" si="242"/>
        <v>100</v>
      </c>
      <c r="G277">
        <f t="shared" ca="1" si="243"/>
        <v>109.09370366696103</v>
      </c>
      <c r="H277">
        <f t="shared" ca="1" si="243"/>
        <v>119.67806777940025</v>
      </c>
      <c r="I277">
        <f t="shared" ca="1" si="243"/>
        <v>121.84305450281509</v>
      </c>
      <c r="J277">
        <f t="shared" ref="J277:P277" ca="1" si="252">I277*EXP(($C$6-0.5*$C$7^2)*$C$12+$C$7*SQRT($C$12)*NORMINV(RAND(),0,1))</f>
        <v>124.63921568830253</v>
      </c>
      <c r="K277">
        <f t="shared" ca="1" si="252"/>
        <v>126.6439589222489</v>
      </c>
      <c r="L277">
        <f t="shared" ca="1" si="252"/>
        <v>121.23538477111069</v>
      </c>
      <c r="M277">
        <f t="shared" ca="1" si="252"/>
        <v>123.30186635517751</v>
      </c>
      <c r="N277">
        <f t="shared" ca="1" si="252"/>
        <v>123.16731163740099</v>
      </c>
      <c r="O277">
        <f t="shared" ca="1" si="252"/>
        <v>115.28542148486453</v>
      </c>
      <c r="P277">
        <f t="shared" ca="1" si="252"/>
        <v>111.64685230252471</v>
      </c>
      <c r="Q277">
        <f t="shared" ca="1" si="244"/>
        <v>126.6439589222489</v>
      </c>
      <c r="R277">
        <f t="shared" ca="1" si="245"/>
        <v>0</v>
      </c>
      <c r="S277">
        <f t="shared" ca="1" si="246"/>
        <v>0</v>
      </c>
    </row>
    <row r="278" spans="5:19" x14ac:dyDescent="0.75">
      <c r="E278">
        <v>273</v>
      </c>
      <c r="F278">
        <f t="shared" si="242"/>
        <v>100</v>
      </c>
      <c r="G278">
        <f t="shared" ca="1" si="243"/>
        <v>100.92517061419906</v>
      </c>
      <c r="H278">
        <f t="shared" ca="1" si="243"/>
        <v>100.27815744013793</v>
      </c>
      <c r="I278">
        <f t="shared" ca="1" si="243"/>
        <v>101.748584336693</v>
      </c>
      <c r="J278">
        <f t="shared" ref="J278:P278" ca="1" si="253">I278*EXP(($C$6-0.5*$C$7^2)*$C$12+$C$7*SQRT($C$12)*NORMINV(RAND(),0,1))</f>
        <v>98.377277788628675</v>
      </c>
      <c r="K278">
        <f t="shared" ca="1" si="253"/>
        <v>93.982916878979793</v>
      </c>
      <c r="L278">
        <f t="shared" ca="1" si="253"/>
        <v>89.568678208271123</v>
      </c>
      <c r="M278">
        <f t="shared" ca="1" si="253"/>
        <v>87.656111896292117</v>
      </c>
      <c r="N278">
        <f t="shared" ca="1" si="253"/>
        <v>87.571775231652225</v>
      </c>
      <c r="O278">
        <f t="shared" ca="1" si="253"/>
        <v>88.3398009802941</v>
      </c>
      <c r="P278">
        <f t="shared" ca="1" si="253"/>
        <v>88.36978205312802</v>
      </c>
      <c r="Q278">
        <f t="shared" ca="1" si="244"/>
        <v>101.748584336693</v>
      </c>
      <c r="R278">
        <f t="shared" ca="1" si="245"/>
        <v>0</v>
      </c>
      <c r="S278">
        <f t="shared" ca="1" si="246"/>
        <v>0</v>
      </c>
    </row>
    <row r="279" spans="5:19" x14ac:dyDescent="0.75">
      <c r="E279">
        <v>274</v>
      </c>
      <c r="F279">
        <f t="shared" si="242"/>
        <v>100</v>
      </c>
      <c r="G279">
        <f t="shared" ca="1" si="243"/>
        <v>97.36955222906083</v>
      </c>
      <c r="H279">
        <f t="shared" ca="1" si="243"/>
        <v>98.400596301961684</v>
      </c>
      <c r="I279">
        <f t="shared" ca="1" si="243"/>
        <v>107.61840841602276</v>
      </c>
      <c r="J279">
        <f t="shared" ref="J279:P279" ca="1" si="254">I279*EXP(($C$6-0.5*$C$7^2)*$C$12+$C$7*SQRT($C$12)*NORMINV(RAND(),0,1))</f>
        <v>106.62979995984318</v>
      </c>
      <c r="K279">
        <f t="shared" ca="1" si="254"/>
        <v>106.18272202542897</v>
      </c>
      <c r="L279">
        <f t="shared" ca="1" si="254"/>
        <v>112.36096689239359</v>
      </c>
      <c r="M279">
        <f t="shared" ca="1" si="254"/>
        <v>112.77574028932537</v>
      </c>
      <c r="N279">
        <f t="shared" ca="1" si="254"/>
        <v>117.22015114398442</v>
      </c>
      <c r="O279">
        <f t="shared" ca="1" si="254"/>
        <v>119.14020935534516</v>
      </c>
      <c r="P279">
        <f t="shared" ca="1" si="254"/>
        <v>123.27894221487571</v>
      </c>
      <c r="Q279">
        <f t="shared" ca="1" si="244"/>
        <v>123.27894221487571</v>
      </c>
      <c r="R279">
        <f t="shared" ca="1" si="245"/>
        <v>0</v>
      </c>
      <c r="S279">
        <f t="shared" ca="1" si="246"/>
        <v>0</v>
      </c>
    </row>
    <row r="280" spans="5:19" x14ac:dyDescent="0.75">
      <c r="E280">
        <v>275</v>
      </c>
      <c r="F280">
        <f t="shared" si="242"/>
        <v>100</v>
      </c>
      <c r="G280">
        <f t="shared" ca="1" si="243"/>
        <v>99.256126384192882</v>
      </c>
      <c r="H280">
        <f t="shared" ca="1" si="243"/>
        <v>96.503554355053353</v>
      </c>
      <c r="I280">
        <f t="shared" ca="1" si="243"/>
        <v>100.2719887866501</v>
      </c>
      <c r="J280">
        <f t="shared" ref="J280:P280" ca="1" si="255">I280*EXP(($C$6-0.5*$C$7^2)*$C$12+$C$7*SQRT($C$12)*NORMINV(RAND(),0,1))</f>
        <v>98.782021257180588</v>
      </c>
      <c r="K280">
        <f t="shared" ca="1" si="255"/>
        <v>95.654433573992577</v>
      </c>
      <c r="L280">
        <f t="shared" ca="1" si="255"/>
        <v>93.019545471671691</v>
      </c>
      <c r="M280">
        <f t="shared" ca="1" si="255"/>
        <v>87.408159958229717</v>
      </c>
      <c r="N280">
        <f t="shared" ca="1" si="255"/>
        <v>90.047316398293233</v>
      </c>
      <c r="O280">
        <f t="shared" ca="1" si="255"/>
        <v>85.720432387529669</v>
      </c>
      <c r="P280">
        <f t="shared" ca="1" si="255"/>
        <v>92.140505828123111</v>
      </c>
      <c r="Q280">
        <f t="shared" ca="1" si="244"/>
        <v>100.2719887866501</v>
      </c>
      <c r="R280">
        <f t="shared" ca="1" si="245"/>
        <v>0</v>
      </c>
      <c r="S280">
        <f t="shared" ca="1" si="246"/>
        <v>0</v>
      </c>
    </row>
    <row r="281" spans="5:19" x14ac:dyDescent="0.75">
      <c r="E281">
        <v>276</v>
      </c>
      <c r="F281">
        <f t="shared" si="242"/>
        <v>100</v>
      </c>
      <c r="G281">
        <f t="shared" ca="1" si="243"/>
        <v>96.137771874959924</v>
      </c>
      <c r="H281">
        <f t="shared" ca="1" si="243"/>
        <v>93.688213078369401</v>
      </c>
      <c r="I281">
        <f t="shared" ca="1" si="243"/>
        <v>97.587105164444168</v>
      </c>
      <c r="J281">
        <f t="shared" ref="J281:P281" ca="1" si="256">I281*EXP(($C$6-0.5*$C$7^2)*$C$12+$C$7*SQRT($C$12)*NORMINV(RAND(),0,1))</f>
        <v>97.041837835787689</v>
      </c>
      <c r="K281">
        <f t="shared" ca="1" si="256"/>
        <v>95.904872860571075</v>
      </c>
      <c r="L281">
        <f t="shared" ca="1" si="256"/>
        <v>87.866942303591799</v>
      </c>
      <c r="M281">
        <f t="shared" ca="1" si="256"/>
        <v>92.427505988687884</v>
      </c>
      <c r="N281">
        <f t="shared" ca="1" si="256"/>
        <v>89.492867576251797</v>
      </c>
      <c r="O281">
        <f t="shared" ca="1" si="256"/>
        <v>92.799229058514143</v>
      </c>
      <c r="P281">
        <f t="shared" ca="1" si="256"/>
        <v>98.186956677870953</v>
      </c>
      <c r="Q281">
        <f t="shared" ca="1" si="244"/>
        <v>98.186956677870953</v>
      </c>
      <c r="R281">
        <f t="shared" ca="1" si="245"/>
        <v>0</v>
      </c>
      <c r="S281">
        <f t="shared" ca="1" si="246"/>
        <v>0</v>
      </c>
    </row>
    <row r="282" spans="5:19" x14ac:dyDescent="0.75">
      <c r="E282">
        <v>277</v>
      </c>
      <c r="F282">
        <f t="shared" si="242"/>
        <v>100</v>
      </c>
      <c r="G282">
        <f t="shared" ca="1" si="243"/>
        <v>103.54024787350424</v>
      </c>
      <c r="H282">
        <f t="shared" ca="1" si="243"/>
        <v>101.25122298796836</v>
      </c>
      <c r="I282">
        <f t="shared" ca="1" si="243"/>
        <v>106.6444395125296</v>
      </c>
      <c r="J282">
        <f t="shared" ref="J282:P282" ca="1" si="257">I282*EXP(($C$6-0.5*$C$7^2)*$C$12+$C$7*SQRT($C$12)*NORMINV(RAND(),0,1))</f>
        <v>99.466692617198831</v>
      </c>
      <c r="K282">
        <f t="shared" ca="1" si="257"/>
        <v>96.634290894427224</v>
      </c>
      <c r="L282">
        <f t="shared" ca="1" si="257"/>
        <v>90.723455771504874</v>
      </c>
      <c r="M282">
        <f t="shared" ca="1" si="257"/>
        <v>97.55617603108476</v>
      </c>
      <c r="N282">
        <f t="shared" ca="1" si="257"/>
        <v>97.479376438483541</v>
      </c>
      <c r="O282">
        <f t="shared" ca="1" si="257"/>
        <v>94.860592107660977</v>
      </c>
      <c r="P282">
        <f t="shared" ca="1" si="257"/>
        <v>106.86974413194406</v>
      </c>
      <c r="Q282">
        <f t="shared" ca="1" si="244"/>
        <v>106.86974413194406</v>
      </c>
      <c r="R282">
        <f t="shared" ca="1" si="245"/>
        <v>4.86974413194406</v>
      </c>
      <c r="S282">
        <f t="shared" ca="1" si="246"/>
        <v>4.7495097209268504</v>
      </c>
    </row>
    <row r="283" spans="5:19" x14ac:dyDescent="0.75">
      <c r="E283">
        <v>278</v>
      </c>
      <c r="F283">
        <f t="shared" si="242"/>
        <v>100</v>
      </c>
      <c r="G283">
        <f t="shared" ca="1" si="243"/>
        <v>101.13602941861468</v>
      </c>
      <c r="H283">
        <f t="shared" ca="1" si="243"/>
        <v>101.6041742342064</v>
      </c>
      <c r="I283">
        <f t="shared" ca="1" si="243"/>
        <v>98.473203501187541</v>
      </c>
      <c r="J283">
        <f t="shared" ref="J283:P283" ca="1" si="258">I283*EXP(($C$6-0.5*$C$7^2)*$C$12+$C$7*SQRT($C$12)*NORMINV(RAND(),0,1))</f>
        <v>105.0881603248944</v>
      </c>
      <c r="K283">
        <f t="shared" ca="1" si="258"/>
        <v>98.686601679527698</v>
      </c>
      <c r="L283">
        <f t="shared" ca="1" si="258"/>
        <v>95.369493222027046</v>
      </c>
      <c r="M283">
        <f t="shared" ca="1" si="258"/>
        <v>91.233476431748272</v>
      </c>
      <c r="N283">
        <f t="shared" ca="1" si="258"/>
        <v>86.602840725640505</v>
      </c>
      <c r="O283">
        <f t="shared" ca="1" si="258"/>
        <v>83.860434855382351</v>
      </c>
      <c r="P283">
        <f t="shared" ca="1" si="258"/>
        <v>83.085280440011232</v>
      </c>
      <c r="Q283">
        <f t="shared" ca="1" si="244"/>
        <v>105.0881603248944</v>
      </c>
      <c r="R283">
        <f t="shared" ca="1" si="245"/>
        <v>0</v>
      </c>
      <c r="S283">
        <f t="shared" ca="1" si="246"/>
        <v>0</v>
      </c>
    </row>
    <row r="284" spans="5:19" x14ac:dyDescent="0.75">
      <c r="E284">
        <v>279</v>
      </c>
      <c r="F284">
        <f t="shared" si="242"/>
        <v>100</v>
      </c>
      <c r="G284">
        <f t="shared" ca="1" si="243"/>
        <v>104.01908433674285</v>
      </c>
      <c r="H284">
        <f t="shared" ca="1" si="243"/>
        <v>107.92688351291044</v>
      </c>
      <c r="I284">
        <f t="shared" ca="1" si="243"/>
        <v>117.59885765539711</v>
      </c>
      <c r="J284">
        <f t="shared" ref="J284:P284" ca="1" si="259">I284*EXP(($C$6-0.5*$C$7^2)*$C$12+$C$7*SQRT($C$12)*NORMINV(RAND(),0,1))</f>
        <v>113.23076205094489</v>
      </c>
      <c r="K284">
        <f t="shared" ca="1" si="259"/>
        <v>103.30815678002098</v>
      </c>
      <c r="L284">
        <f t="shared" ca="1" si="259"/>
        <v>98.97348218446713</v>
      </c>
      <c r="M284">
        <f t="shared" ca="1" si="259"/>
        <v>104.59488269951662</v>
      </c>
      <c r="N284">
        <f t="shared" ca="1" si="259"/>
        <v>103.97654780117232</v>
      </c>
      <c r="O284">
        <f t="shared" ca="1" si="259"/>
        <v>104.71807750690327</v>
      </c>
      <c r="P284">
        <f t="shared" ca="1" si="259"/>
        <v>106.14914057145056</v>
      </c>
      <c r="Q284">
        <f t="shared" ca="1" si="244"/>
        <v>117.59885765539711</v>
      </c>
      <c r="R284">
        <f t="shared" ca="1" si="245"/>
        <v>0</v>
      </c>
      <c r="S284">
        <f t="shared" ca="1" si="246"/>
        <v>0</v>
      </c>
    </row>
    <row r="285" spans="5:19" x14ac:dyDescent="0.75">
      <c r="E285">
        <v>280</v>
      </c>
      <c r="F285">
        <f t="shared" si="242"/>
        <v>100</v>
      </c>
      <c r="G285">
        <f t="shared" ca="1" si="243"/>
        <v>101.01243955678581</v>
      </c>
      <c r="H285">
        <f t="shared" ca="1" si="243"/>
        <v>99.307376838694594</v>
      </c>
      <c r="I285">
        <f t="shared" ca="1" si="243"/>
        <v>96.031609766171101</v>
      </c>
      <c r="J285">
        <f t="shared" ref="J285:P285" ca="1" si="260">I285*EXP(($C$6-0.5*$C$7^2)*$C$12+$C$7*SQRT($C$12)*NORMINV(RAND(),0,1))</f>
        <v>98.93030206695444</v>
      </c>
      <c r="K285">
        <f t="shared" ca="1" si="260"/>
        <v>103.32935265272282</v>
      </c>
      <c r="L285">
        <f t="shared" ca="1" si="260"/>
        <v>96.860511842784959</v>
      </c>
      <c r="M285">
        <f t="shared" ca="1" si="260"/>
        <v>93.96514920561107</v>
      </c>
      <c r="N285">
        <f t="shared" ca="1" si="260"/>
        <v>95.41882190211696</v>
      </c>
      <c r="O285">
        <f t="shared" ca="1" si="260"/>
        <v>92.849889807749506</v>
      </c>
      <c r="P285">
        <f t="shared" ca="1" si="260"/>
        <v>94.866826211235619</v>
      </c>
      <c r="Q285">
        <f t="shared" ca="1" si="244"/>
        <v>103.32935265272282</v>
      </c>
      <c r="R285">
        <f t="shared" ca="1" si="245"/>
        <v>0</v>
      </c>
      <c r="S285">
        <f t="shared" ca="1" si="246"/>
        <v>0</v>
      </c>
    </row>
    <row r="286" spans="5:19" x14ac:dyDescent="0.75">
      <c r="E286">
        <v>281</v>
      </c>
      <c r="F286">
        <f t="shared" si="242"/>
        <v>100</v>
      </c>
      <c r="G286">
        <f t="shared" ca="1" si="243"/>
        <v>100.65675302970969</v>
      </c>
      <c r="H286">
        <f t="shared" ca="1" si="243"/>
        <v>99.307170710607735</v>
      </c>
      <c r="I286">
        <f t="shared" ca="1" si="243"/>
        <v>102.20307345997801</v>
      </c>
      <c r="J286">
        <f t="shared" ref="J286:P286" ca="1" si="261">I286*EXP(($C$6-0.5*$C$7^2)*$C$12+$C$7*SQRT($C$12)*NORMINV(RAND(),0,1))</f>
        <v>105.10690150594198</v>
      </c>
      <c r="K286">
        <f t="shared" ca="1" si="261"/>
        <v>106.9550974038431</v>
      </c>
      <c r="L286">
        <f t="shared" ca="1" si="261"/>
        <v>115.57917583082191</v>
      </c>
      <c r="M286">
        <f t="shared" ca="1" si="261"/>
        <v>116.36461340947562</v>
      </c>
      <c r="N286">
        <f t="shared" ca="1" si="261"/>
        <v>110.92977301442482</v>
      </c>
      <c r="O286">
        <f t="shared" ca="1" si="261"/>
        <v>109.10862389542845</v>
      </c>
      <c r="P286">
        <f t="shared" ca="1" si="261"/>
        <v>107.60255246268207</v>
      </c>
      <c r="Q286">
        <f t="shared" ca="1" si="244"/>
        <v>116.36461340947562</v>
      </c>
      <c r="R286">
        <f t="shared" ca="1" si="245"/>
        <v>0</v>
      </c>
      <c r="S286">
        <f t="shared" ca="1" si="246"/>
        <v>0</v>
      </c>
    </row>
    <row r="287" spans="5:19" x14ac:dyDescent="0.75">
      <c r="E287">
        <v>282</v>
      </c>
      <c r="F287">
        <f t="shared" si="242"/>
        <v>100</v>
      </c>
      <c r="G287">
        <f t="shared" ca="1" si="243"/>
        <v>104.69934028700561</v>
      </c>
      <c r="H287">
        <f t="shared" ca="1" si="243"/>
        <v>112.47275291864284</v>
      </c>
      <c r="I287">
        <f t="shared" ca="1" si="243"/>
        <v>112.77078756596315</v>
      </c>
      <c r="J287">
        <f t="shared" ref="J287:P287" ca="1" si="262">I287*EXP(($C$6-0.5*$C$7^2)*$C$12+$C$7*SQRT($C$12)*NORMINV(RAND(),0,1))</f>
        <v>120.31688423770554</v>
      </c>
      <c r="K287">
        <f t="shared" ca="1" si="262"/>
        <v>121.54484711941228</v>
      </c>
      <c r="L287">
        <f t="shared" ca="1" si="262"/>
        <v>129.89465990207111</v>
      </c>
      <c r="M287">
        <f t="shared" ca="1" si="262"/>
        <v>133.12802487505331</v>
      </c>
      <c r="N287">
        <f t="shared" ca="1" si="262"/>
        <v>127.53931199748524</v>
      </c>
      <c r="O287">
        <f t="shared" ca="1" si="262"/>
        <v>124.4125280540916</v>
      </c>
      <c r="P287">
        <f t="shared" ca="1" si="262"/>
        <v>123.04489521859439</v>
      </c>
      <c r="Q287">
        <f t="shared" ca="1" si="244"/>
        <v>133.12802487505331</v>
      </c>
      <c r="R287">
        <f t="shared" ca="1" si="245"/>
        <v>0</v>
      </c>
      <c r="S287">
        <f t="shared" ca="1" si="246"/>
        <v>0</v>
      </c>
    </row>
    <row r="288" spans="5:19" x14ac:dyDescent="0.75">
      <c r="E288">
        <v>283</v>
      </c>
      <c r="F288">
        <f t="shared" si="242"/>
        <v>100</v>
      </c>
      <c r="G288">
        <f t="shared" ca="1" si="243"/>
        <v>95.995287530773567</v>
      </c>
      <c r="H288">
        <f t="shared" ca="1" si="243"/>
        <v>96.794082113964237</v>
      </c>
      <c r="I288">
        <f t="shared" ca="1" si="243"/>
        <v>102.52098298228682</v>
      </c>
      <c r="J288">
        <f t="shared" ref="J288:P288" ca="1" si="263">I288*EXP(($C$6-0.5*$C$7^2)*$C$12+$C$7*SQRT($C$12)*NORMINV(RAND(),0,1))</f>
        <v>106.27222991350158</v>
      </c>
      <c r="K288">
        <f t="shared" ca="1" si="263"/>
        <v>101.97006285638652</v>
      </c>
      <c r="L288">
        <f t="shared" ca="1" si="263"/>
        <v>102.29990302335426</v>
      </c>
      <c r="M288">
        <f t="shared" ca="1" si="263"/>
        <v>96.959397592135716</v>
      </c>
      <c r="N288">
        <f t="shared" ca="1" si="263"/>
        <v>101.43371070720875</v>
      </c>
      <c r="O288">
        <f t="shared" ca="1" si="263"/>
        <v>98.373265261359521</v>
      </c>
      <c r="P288">
        <f t="shared" ca="1" si="263"/>
        <v>101.7644769980845</v>
      </c>
      <c r="Q288">
        <f t="shared" ca="1" si="244"/>
        <v>106.27222991350158</v>
      </c>
      <c r="R288">
        <f t="shared" ca="1" si="245"/>
        <v>0</v>
      </c>
      <c r="S288">
        <f t="shared" ca="1" si="246"/>
        <v>0</v>
      </c>
    </row>
    <row r="289" spans="5:19" x14ac:dyDescent="0.75">
      <c r="E289">
        <v>284</v>
      </c>
      <c r="F289">
        <f t="shared" si="242"/>
        <v>100</v>
      </c>
      <c r="G289">
        <f t="shared" ca="1" si="243"/>
        <v>102.38620112735779</v>
      </c>
      <c r="H289">
        <f t="shared" ca="1" si="243"/>
        <v>101.04299145233273</v>
      </c>
      <c r="I289">
        <f t="shared" ca="1" si="243"/>
        <v>103.5009760997002</v>
      </c>
      <c r="J289">
        <f t="shared" ref="J289:P289" ca="1" si="264">I289*EXP(($C$6-0.5*$C$7^2)*$C$12+$C$7*SQRT($C$12)*NORMINV(RAND(),0,1))</f>
        <v>105.56829985756519</v>
      </c>
      <c r="K289">
        <f t="shared" ca="1" si="264"/>
        <v>111.11302381695361</v>
      </c>
      <c r="L289">
        <f t="shared" ca="1" si="264"/>
        <v>110.45805643338284</v>
      </c>
      <c r="M289">
        <f t="shared" ca="1" si="264"/>
        <v>110.98083583448584</v>
      </c>
      <c r="N289">
        <f t="shared" ca="1" si="264"/>
        <v>118.82388987362148</v>
      </c>
      <c r="O289">
        <f t="shared" ca="1" si="264"/>
        <v>126.89162120683372</v>
      </c>
      <c r="P289">
        <f t="shared" ca="1" si="264"/>
        <v>127.79780212296025</v>
      </c>
      <c r="Q289">
        <f t="shared" ca="1" si="244"/>
        <v>127.79780212296025</v>
      </c>
      <c r="R289">
        <f t="shared" ca="1" si="245"/>
        <v>0</v>
      </c>
      <c r="S289">
        <f t="shared" ca="1" si="246"/>
        <v>0</v>
      </c>
    </row>
    <row r="290" spans="5:19" x14ac:dyDescent="0.75">
      <c r="E290">
        <v>285</v>
      </c>
      <c r="F290">
        <f t="shared" si="242"/>
        <v>100</v>
      </c>
      <c r="G290">
        <f t="shared" ca="1" si="243"/>
        <v>99.604442269126665</v>
      </c>
      <c r="H290">
        <f t="shared" ca="1" si="243"/>
        <v>93.974700357871484</v>
      </c>
      <c r="I290">
        <f t="shared" ca="1" si="243"/>
        <v>93.567132462533593</v>
      </c>
      <c r="J290">
        <f t="shared" ref="J290:P290" ca="1" si="265">I290*EXP(($C$6-0.5*$C$7^2)*$C$12+$C$7*SQRT($C$12)*NORMINV(RAND(),0,1))</f>
        <v>98.846673283185339</v>
      </c>
      <c r="K290">
        <f t="shared" ca="1" si="265"/>
        <v>105.30718290711241</v>
      </c>
      <c r="L290">
        <f t="shared" ca="1" si="265"/>
        <v>104.65749931651827</v>
      </c>
      <c r="M290">
        <f t="shared" ca="1" si="265"/>
        <v>111.6910201713242</v>
      </c>
      <c r="N290">
        <f t="shared" ca="1" si="265"/>
        <v>114.02848824841514</v>
      </c>
      <c r="O290">
        <f t="shared" ca="1" si="265"/>
        <v>118.14715335864604</v>
      </c>
      <c r="P290">
        <f t="shared" ca="1" si="265"/>
        <v>116.93269642065948</v>
      </c>
      <c r="Q290">
        <f t="shared" ca="1" si="244"/>
        <v>118.14715335864604</v>
      </c>
      <c r="R290">
        <f t="shared" ca="1" si="245"/>
        <v>0</v>
      </c>
      <c r="S290">
        <f t="shared" ca="1" si="246"/>
        <v>0</v>
      </c>
    </row>
    <row r="291" spans="5:19" x14ac:dyDescent="0.75">
      <c r="E291">
        <v>286</v>
      </c>
      <c r="F291">
        <f t="shared" si="242"/>
        <v>100</v>
      </c>
      <c r="G291">
        <f t="shared" ca="1" si="243"/>
        <v>89.84541690406445</v>
      </c>
      <c r="H291">
        <f t="shared" ca="1" si="243"/>
        <v>84.728103037559109</v>
      </c>
      <c r="I291">
        <f t="shared" ca="1" si="243"/>
        <v>88.955099257387317</v>
      </c>
      <c r="J291">
        <f t="shared" ref="J291:P291" ca="1" si="266">I291*EXP(($C$6-0.5*$C$7^2)*$C$12+$C$7*SQRT($C$12)*NORMINV(RAND(),0,1))</f>
        <v>89.68761658232971</v>
      </c>
      <c r="K291">
        <f t="shared" ca="1" si="266"/>
        <v>97.700972423216371</v>
      </c>
      <c r="L291">
        <f t="shared" ca="1" si="266"/>
        <v>103.89995684476746</v>
      </c>
      <c r="M291">
        <f t="shared" ca="1" si="266"/>
        <v>103.48338788176366</v>
      </c>
      <c r="N291">
        <f t="shared" ca="1" si="266"/>
        <v>100.44088512345665</v>
      </c>
      <c r="O291">
        <f t="shared" ca="1" si="266"/>
        <v>94.790513190950605</v>
      </c>
      <c r="P291">
        <f t="shared" ca="1" si="266"/>
        <v>100.84018532199393</v>
      </c>
      <c r="Q291">
        <f t="shared" ca="1" si="244"/>
        <v>103.89995684476746</v>
      </c>
      <c r="R291">
        <f t="shared" ca="1" si="245"/>
        <v>0</v>
      </c>
      <c r="S291">
        <f t="shared" ca="1" si="246"/>
        <v>0</v>
      </c>
    </row>
    <row r="292" spans="5:19" x14ac:dyDescent="0.75">
      <c r="E292">
        <v>287</v>
      </c>
      <c r="F292">
        <f t="shared" si="242"/>
        <v>100</v>
      </c>
      <c r="G292">
        <f t="shared" ca="1" si="243"/>
        <v>98.732898854328283</v>
      </c>
      <c r="H292">
        <f t="shared" ca="1" si="243"/>
        <v>98.902857331263476</v>
      </c>
      <c r="I292">
        <f t="shared" ca="1" si="243"/>
        <v>97.920834462332365</v>
      </c>
      <c r="J292">
        <f t="shared" ref="J292:P292" ca="1" si="267">I292*EXP(($C$6-0.5*$C$7^2)*$C$12+$C$7*SQRT($C$12)*NORMINV(RAND(),0,1))</f>
        <v>92.102860594935251</v>
      </c>
      <c r="K292">
        <f t="shared" ca="1" si="267"/>
        <v>89.097748609542293</v>
      </c>
      <c r="L292">
        <f t="shared" ca="1" si="267"/>
        <v>89.27019485907104</v>
      </c>
      <c r="M292">
        <f t="shared" ca="1" si="267"/>
        <v>82.128287818372499</v>
      </c>
      <c r="N292">
        <f t="shared" ca="1" si="267"/>
        <v>85.47018424534528</v>
      </c>
      <c r="O292">
        <f t="shared" ca="1" si="267"/>
        <v>91.378510698671988</v>
      </c>
      <c r="P292">
        <f t="shared" ca="1" si="267"/>
        <v>92.905298852142877</v>
      </c>
      <c r="Q292">
        <f t="shared" ca="1" si="244"/>
        <v>98.902857331263476</v>
      </c>
      <c r="R292">
        <f t="shared" ca="1" si="245"/>
        <v>0</v>
      </c>
      <c r="S292">
        <f t="shared" ca="1" si="246"/>
        <v>0</v>
      </c>
    </row>
    <row r="293" spans="5:19" x14ac:dyDescent="0.75">
      <c r="E293">
        <v>288</v>
      </c>
      <c r="F293">
        <f t="shared" si="242"/>
        <v>100</v>
      </c>
      <c r="G293">
        <f t="shared" ca="1" si="243"/>
        <v>101.6128447170294</v>
      </c>
      <c r="H293">
        <f t="shared" ca="1" si="243"/>
        <v>106.95108567212557</v>
      </c>
      <c r="I293">
        <f t="shared" ca="1" si="243"/>
        <v>93.535480805872055</v>
      </c>
      <c r="J293">
        <f t="shared" ref="J293:P293" ca="1" si="268">I293*EXP(($C$6-0.5*$C$7^2)*$C$12+$C$7*SQRT($C$12)*NORMINV(RAND(),0,1))</f>
        <v>93.089395881676211</v>
      </c>
      <c r="K293">
        <f t="shared" ca="1" si="268"/>
        <v>90.696321102130227</v>
      </c>
      <c r="L293">
        <f t="shared" ca="1" si="268"/>
        <v>93.328811398651126</v>
      </c>
      <c r="M293">
        <f t="shared" ca="1" si="268"/>
        <v>87.872902738070408</v>
      </c>
      <c r="N293">
        <f t="shared" ca="1" si="268"/>
        <v>91.993280689205776</v>
      </c>
      <c r="O293">
        <f t="shared" ca="1" si="268"/>
        <v>94.862777165296052</v>
      </c>
      <c r="P293">
        <f t="shared" ca="1" si="268"/>
        <v>101.50373133829062</v>
      </c>
      <c r="Q293">
        <f t="shared" ca="1" si="244"/>
        <v>106.95108567212557</v>
      </c>
      <c r="R293">
        <f t="shared" ca="1" si="245"/>
        <v>0</v>
      </c>
      <c r="S293">
        <f t="shared" ca="1" si="246"/>
        <v>0</v>
      </c>
    </row>
    <row r="294" spans="5:19" x14ac:dyDescent="0.75">
      <c r="E294">
        <v>289</v>
      </c>
      <c r="F294">
        <f t="shared" si="242"/>
        <v>100</v>
      </c>
      <c r="G294">
        <f t="shared" ca="1" si="243"/>
        <v>102.47240975593274</v>
      </c>
      <c r="H294">
        <f t="shared" ca="1" si="243"/>
        <v>101.67862070582581</v>
      </c>
      <c r="I294">
        <f t="shared" ca="1" si="243"/>
        <v>102.54368500194319</v>
      </c>
      <c r="J294">
        <f t="shared" ref="J294:P294" ca="1" si="269">I294*EXP(($C$6-0.5*$C$7^2)*$C$12+$C$7*SQRT($C$12)*NORMINV(RAND(),0,1))</f>
        <v>111.99831516082183</v>
      </c>
      <c r="K294">
        <f t="shared" ca="1" si="269"/>
        <v>108.75888430357311</v>
      </c>
      <c r="L294">
        <f t="shared" ca="1" si="269"/>
        <v>106.75335913718106</v>
      </c>
      <c r="M294">
        <f t="shared" ca="1" si="269"/>
        <v>106.27705830210915</v>
      </c>
      <c r="N294">
        <f t="shared" ca="1" si="269"/>
        <v>104.69199407898468</v>
      </c>
      <c r="O294">
        <f t="shared" ca="1" si="269"/>
        <v>106.7670921863641</v>
      </c>
      <c r="P294">
        <f t="shared" ca="1" si="269"/>
        <v>102.35155425768414</v>
      </c>
      <c r="Q294">
        <f t="shared" ca="1" si="244"/>
        <v>111.99831516082183</v>
      </c>
      <c r="R294">
        <f t="shared" ca="1" si="245"/>
        <v>0</v>
      </c>
      <c r="S294">
        <f t="shared" ca="1" si="246"/>
        <v>0</v>
      </c>
    </row>
    <row r="295" spans="5:19" x14ac:dyDescent="0.75">
      <c r="E295">
        <v>290</v>
      </c>
      <c r="F295">
        <f t="shared" si="242"/>
        <v>100</v>
      </c>
      <c r="G295">
        <f t="shared" ca="1" si="243"/>
        <v>96.812938890114879</v>
      </c>
      <c r="H295">
        <f t="shared" ca="1" si="243"/>
        <v>93.612805410716675</v>
      </c>
      <c r="I295">
        <f t="shared" ca="1" si="243"/>
        <v>94.402302125414451</v>
      </c>
      <c r="J295">
        <f t="shared" ref="J295:P295" ca="1" si="270">I295*EXP(($C$6-0.5*$C$7^2)*$C$12+$C$7*SQRT($C$12)*NORMINV(RAND(),0,1))</f>
        <v>93.188144506607387</v>
      </c>
      <c r="K295">
        <f t="shared" ca="1" si="270"/>
        <v>93.902167489906262</v>
      </c>
      <c r="L295">
        <f t="shared" ca="1" si="270"/>
        <v>101.10443837877949</v>
      </c>
      <c r="M295">
        <f t="shared" ca="1" si="270"/>
        <v>96.203741590575788</v>
      </c>
      <c r="N295">
        <f t="shared" ca="1" si="270"/>
        <v>101.07643786579241</v>
      </c>
      <c r="O295">
        <f t="shared" ca="1" si="270"/>
        <v>101.72444758589852</v>
      </c>
      <c r="P295">
        <f t="shared" ca="1" si="270"/>
        <v>102.1082075931448</v>
      </c>
      <c r="Q295">
        <f t="shared" ca="1" si="244"/>
        <v>102.1082075931448</v>
      </c>
      <c r="R295">
        <f t="shared" ca="1" si="245"/>
        <v>0.10820759314479744</v>
      </c>
      <c r="S295">
        <f t="shared" ca="1" si="246"/>
        <v>0.10553593815084999</v>
      </c>
    </row>
    <row r="296" spans="5:19" x14ac:dyDescent="0.75">
      <c r="E296">
        <v>291</v>
      </c>
      <c r="F296">
        <f t="shared" si="242"/>
        <v>100</v>
      </c>
      <c r="G296">
        <f t="shared" ca="1" si="243"/>
        <v>97.014810233623905</v>
      </c>
      <c r="H296">
        <f t="shared" ca="1" si="243"/>
        <v>102.07252089314852</v>
      </c>
      <c r="I296">
        <f t="shared" ca="1" si="243"/>
        <v>107.4442390636421</v>
      </c>
      <c r="J296">
        <f t="shared" ref="J296:P296" ca="1" si="271">I296*EXP(($C$6-0.5*$C$7^2)*$C$12+$C$7*SQRT($C$12)*NORMINV(RAND(),0,1))</f>
        <v>111.88433761667764</v>
      </c>
      <c r="K296">
        <f t="shared" ca="1" si="271"/>
        <v>109.24003021698323</v>
      </c>
      <c r="L296">
        <f t="shared" ca="1" si="271"/>
        <v>112.71555511448071</v>
      </c>
      <c r="M296">
        <f t="shared" ca="1" si="271"/>
        <v>107.02871637263024</v>
      </c>
      <c r="N296">
        <f t="shared" ca="1" si="271"/>
        <v>104.57760123329517</v>
      </c>
      <c r="O296">
        <f t="shared" ca="1" si="271"/>
        <v>114.5035535468741</v>
      </c>
      <c r="P296">
        <f t="shared" ca="1" si="271"/>
        <v>114.38242014096723</v>
      </c>
      <c r="Q296">
        <f t="shared" ca="1" si="244"/>
        <v>114.5035535468741</v>
      </c>
      <c r="R296">
        <f t="shared" ca="1" si="245"/>
        <v>0</v>
      </c>
      <c r="S296">
        <f t="shared" ca="1" si="246"/>
        <v>0</v>
      </c>
    </row>
    <row r="297" spans="5:19" x14ac:dyDescent="0.75">
      <c r="E297">
        <v>292</v>
      </c>
      <c r="F297">
        <f t="shared" si="242"/>
        <v>100</v>
      </c>
      <c r="G297">
        <f t="shared" ca="1" si="243"/>
        <v>93.019752634806281</v>
      </c>
      <c r="H297">
        <f t="shared" ca="1" si="243"/>
        <v>88.263498960047997</v>
      </c>
      <c r="I297">
        <f t="shared" ca="1" si="243"/>
        <v>87.068786873222734</v>
      </c>
      <c r="J297">
        <f t="shared" ref="J297:P297" ca="1" si="272">I297*EXP(($C$6-0.5*$C$7^2)*$C$12+$C$7*SQRT($C$12)*NORMINV(RAND(),0,1))</f>
        <v>88.978861998856857</v>
      </c>
      <c r="K297">
        <f t="shared" ca="1" si="272"/>
        <v>92.858264443077616</v>
      </c>
      <c r="L297">
        <f t="shared" ca="1" si="272"/>
        <v>89.797807654469054</v>
      </c>
      <c r="M297">
        <f t="shared" ca="1" si="272"/>
        <v>89.864292693991445</v>
      </c>
      <c r="N297">
        <f t="shared" ca="1" si="272"/>
        <v>97.086363235531564</v>
      </c>
      <c r="O297">
        <f t="shared" ca="1" si="272"/>
        <v>99.751212220448366</v>
      </c>
      <c r="P297">
        <f t="shared" ca="1" si="272"/>
        <v>96.640631156782376</v>
      </c>
      <c r="Q297">
        <f t="shared" ca="1" si="244"/>
        <v>99.751212220448366</v>
      </c>
      <c r="R297">
        <f t="shared" ca="1" si="245"/>
        <v>0</v>
      </c>
      <c r="S297">
        <f t="shared" ca="1" si="246"/>
        <v>0</v>
      </c>
    </row>
    <row r="298" spans="5:19" x14ac:dyDescent="0.75">
      <c r="E298">
        <v>293</v>
      </c>
      <c r="F298">
        <f t="shared" si="242"/>
        <v>100</v>
      </c>
      <c r="G298">
        <f t="shared" ca="1" si="243"/>
        <v>99.273912879681802</v>
      </c>
      <c r="H298">
        <f t="shared" ca="1" si="243"/>
        <v>102.02781189675211</v>
      </c>
      <c r="I298">
        <f t="shared" ca="1" si="243"/>
        <v>95.123177073218116</v>
      </c>
      <c r="J298">
        <f t="shared" ref="J298:P298" ca="1" si="273">I298*EXP(($C$6-0.5*$C$7^2)*$C$12+$C$7*SQRT($C$12)*NORMINV(RAND(),0,1))</f>
        <v>102.21619374805879</v>
      </c>
      <c r="K298">
        <f t="shared" ca="1" si="273"/>
        <v>103.73105512002419</v>
      </c>
      <c r="L298">
        <f t="shared" ca="1" si="273"/>
        <v>107.00297293148901</v>
      </c>
      <c r="M298">
        <f t="shared" ca="1" si="273"/>
        <v>105.44788431022242</v>
      </c>
      <c r="N298">
        <f t="shared" ca="1" si="273"/>
        <v>100.0170932626243</v>
      </c>
      <c r="O298">
        <f t="shared" ca="1" si="273"/>
        <v>96.299813450702558</v>
      </c>
      <c r="P298">
        <f t="shared" ca="1" si="273"/>
        <v>96.403283625057114</v>
      </c>
      <c r="Q298">
        <f t="shared" ca="1" si="244"/>
        <v>107.00297293148901</v>
      </c>
      <c r="R298">
        <f t="shared" ca="1" si="245"/>
        <v>0</v>
      </c>
      <c r="S298">
        <f t="shared" ca="1" si="246"/>
        <v>0</v>
      </c>
    </row>
    <row r="299" spans="5:19" x14ac:dyDescent="0.75">
      <c r="E299">
        <v>294</v>
      </c>
      <c r="F299">
        <f t="shared" si="242"/>
        <v>100</v>
      </c>
      <c r="G299">
        <f t="shared" ca="1" si="243"/>
        <v>94.874533736956494</v>
      </c>
      <c r="H299">
        <f t="shared" ca="1" si="243"/>
        <v>96.57091076558396</v>
      </c>
      <c r="I299">
        <f t="shared" ca="1" si="243"/>
        <v>93.467723086835548</v>
      </c>
      <c r="J299">
        <f t="shared" ref="J299:P299" ca="1" si="274">I299*EXP(($C$6-0.5*$C$7^2)*$C$12+$C$7*SQRT($C$12)*NORMINV(RAND(),0,1))</f>
        <v>99.532483354496335</v>
      </c>
      <c r="K299">
        <f t="shared" ca="1" si="274"/>
        <v>100.74689938136015</v>
      </c>
      <c r="L299">
        <f t="shared" ca="1" si="274"/>
        <v>97.442002006522671</v>
      </c>
      <c r="M299">
        <f t="shared" ca="1" si="274"/>
        <v>99.154163639934353</v>
      </c>
      <c r="N299">
        <f t="shared" ca="1" si="274"/>
        <v>105.52068178558206</v>
      </c>
      <c r="O299">
        <f t="shared" ca="1" si="274"/>
        <v>108.48378225839977</v>
      </c>
      <c r="P299">
        <f t="shared" ca="1" si="274"/>
        <v>114.18487120324671</v>
      </c>
      <c r="Q299">
        <f t="shared" ca="1" si="244"/>
        <v>114.18487120324671</v>
      </c>
      <c r="R299">
        <f t="shared" ca="1" si="245"/>
        <v>0</v>
      </c>
      <c r="S299">
        <f t="shared" ca="1" si="246"/>
        <v>0</v>
      </c>
    </row>
    <row r="300" spans="5:19" x14ac:dyDescent="0.75">
      <c r="E300">
        <v>295</v>
      </c>
      <c r="F300">
        <f t="shared" si="242"/>
        <v>100</v>
      </c>
      <c r="G300">
        <f t="shared" ca="1" si="243"/>
        <v>97.723555581895852</v>
      </c>
      <c r="H300">
        <f t="shared" ca="1" si="243"/>
        <v>101.90096030136391</v>
      </c>
      <c r="I300">
        <f t="shared" ca="1" si="243"/>
        <v>99.229386850441657</v>
      </c>
      <c r="J300">
        <f t="shared" ref="J300:P300" ca="1" si="275">I300*EXP(($C$6-0.5*$C$7^2)*$C$12+$C$7*SQRT($C$12)*NORMINV(RAND(),0,1))</f>
        <v>98.505319335676589</v>
      </c>
      <c r="K300">
        <f t="shared" ca="1" si="275"/>
        <v>97.761541967356195</v>
      </c>
      <c r="L300">
        <f t="shared" ca="1" si="275"/>
        <v>103.15888796625761</v>
      </c>
      <c r="M300">
        <f t="shared" ca="1" si="275"/>
        <v>99.842740539943634</v>
      </c>
      <c r="N300">
        <f t="shared" ca="1" si="275"/>
        <v>96.823823525533896</v>
      </c>
      <c r="O300">
        <f t="shared" ca="1" si="275"/>
        <v>90.233848269207044</v>
      </c>
      <c r="P300">
        <f t="shared" ca="1" si="275"/>
        <v>87.825979122968533</v>
      </c>
      <c r="Q300">
        <f t="shared" ca="1" si="244"/>
        <v>103.15888796625761</v>
      </c>
      <c r="R300">
        <f t="shared" ca="1" si="245"/>
        <v>0</v>
      </c>
      <c r="S300">
        <f t="shared" ca="1" si="246"/>
        <v>0</v>
      </c>
    </row>
    <row r="301" spans="5:19" x14ac:dyDescent="0.75">
      <c r="E301">
        <v>296</v>
      </c>
      <c r="F301">
        <f t="shared" si="242"/>
        <v>100</v>
      </c>
      <c r="G301">
        <f t="shared" ca="1" si="243"/>
        <v>99.057399876641412</v>
      </c>
      <c r="H301">
        <f t="shared" ca="1" si="243"/>
        <v>97.240351732205127</v>
      </c>
      <c r="I301">
        <f t="shared" ca="1" si="243"/>
        <v>97.976332015839631</v>
      </c>
      <c r="J301">
        <f t="shared" ref="J301:P301" ca="1" si="276">I301*EXP(($C$6-0.5*$C$7^2)*$C$12+$C$7*SQRT($C$12)*NORMINV(RAND(),0,1))</f>
        <v>99.552761405741208</v>
      </c>
      <c r="K301">
        <f t="shared" ca="1" si="276"/>
        <v>96.550561180246717</v>
      </c>
      <c r="L301">
        <f t="shared" ca="1" si="276"/>
        <v>99.892267890670169</v>
      </c>
      <c r="M301">
        <f t="shared" ca="1" si="276"/>
        <v>101.39220249368546</v>
      </c>
      <c r="N301">
        <f t="shared" ca="1" si="276"/>
        <v>97.808272305086035</v>
      </c>
      <c r="O301">
        <f t="shared" ca="1" si="276"/>
        <v>95.002164759621095</v>
      </c>
      <c r="P301">
        <f t="shared" ca="1" si="276"/>
        <v>100.68625786594654</v>
      </c>
      <c r="Q301">
        <f t="shared" ca="1" si="244"/>
        <v>101.39220249368546</v>
      </c>
      <c r="R301">
        <f t="shared" ca="1" si="245"/>
        <v>0</v>
      </c>
      <c r="S301">
        <f t="shared" ca="1" si="246"/>
        <v>0</v>
      </c>
    </row>
    <row r="302" spans="5:19" x14ac:dyDescent="0.75">
      <c r="E302">
        <v>297</v>
      </c>
      <c r="F302">
        <f t="shared" si="242"/>
        <v>100</v>
      </c>
      <c r="G302">
        <f t="shared" ca="1" si="243"/>
        <v>102.58944935733498</v>
      </c>
      <c r="H302">
        <f t="shared" ca="1" si="243"/>
        <v>104.53676622042816</v>
      </c>
      <c r="I302">
        <f t="shared" ca="1" si="243"/>
        <v>101.63640060801052</v>
      </c>
      <c r="J302">
        <f t="shared" ref="J302:P302" ca="1" si="277">I302*EXP(($C$6-0.5*$C$7^2)*$C$12+$C$7*SQRT($C$12)*NORMINV(RAND(),0,1))</f>
        <v>93.864916054492866</v>
      </c>
      <c r="K302">
        <f t="shared" ca="1" si="277"/>
        <v>94.844529065039367</v>
      </c>
      <c r="L302">
        <f t="shared" ca="1" si="277"/>
        <v>98.571225026111321</v>
      </c>
      <c r="M302">
        <f t="shared" ca="1" si="277"/>
        <v>100.96017946106566</v>
      </c>
      <c r="N302">
        <f t="shared" ca="1" si="277"/>
        <v>95.691775371424015</v>
      </c>
      <c r="O302">
        <f t="shared" ca="1" si="277"/>
        <v>96.061997310161772</v>
      </c>
      <c r="P302">
        <f t="shared" ca="1" si="277"/>
        <v>98.042016954857687</v>
      </c>
      <c r="Q302">
        <f t="shared" ca="1" si="244"/>
        <v>104.53676622042816</v>
      </c>
      <c r="R302">
        <f t="shared" ca="1" si="245"/>
        <v>0</v>
      </c>
      <c r="S302">
        <f t="shared" ca="1" si="246"/>
        <v>0</v>
      </c>
    </row>
    <row r="303" spans="5:19" x14ac:dyDescent="0.75">
      <c r="E303">
        <v>298</v>
      </c>
      <c r="F303">
        <f t="shared" si="242"/>
        <v>100</v>
      </c>
      <c r="G303">
        <f t="shared" ca="1" si="243"/>
        <v>95.298939600089454</v>
      </c>
      <c r="H303">
        <f t="shared" ca="1" si="243"/>
        <v>95.531817012861268</v>
      </c>
      <c r="I303">
        <f t="shared" ca="1" si="243"/>
        <v>99.835623408680377</v>
      </c>
      <c r="J303">
        <f t="shared" ref="J303:P303" ca="1" si="278">I303*EXP(($C$6-0.5*$C$7^2)*$C$12+$C$7*SQRT($C$12)*NORMINV(RAND(),0,1))</f>
        <v>92.258070844028367</v>
      </c>
      <c r="K303">
        <f t="shared" ca="1" si="278"/>
        <v>94.081539794771885</v>
      </c>
      <c r="L303">
        <f t="shared" ca="1" si="278"/>
        <v>92.189886655204376</v>
      </c>
      <c r="M303">
        <f t="shared" ca="1" si="278"/>
        <v>87.847971135412067</v>
      </c>
      <c r="N303">
        <f t="shared" ca="1" si="278"/>
        <v>83.845319508329936</v>
      </c>
      <c r="O303">
        <f t="shared" ca="1" si="278"/>
        <v>90.947323643518374</v>
      </c>
      <c r="P303">
        <f t="shared" ca="1" si="278"/>
        <v>94.079107840970451</v>
      </c>
      <c r="Q303">
        <f t="shared" ca="1" si="244"/>
        <v>99.835623408680377</v>
      </c>
      <c r="R303">
        <f t="shared" ca="1" si="245"/>
        <v>0</v>
      </c>
      <c r="S303">
        <f t="shared" ca="1" si="246"/>
        <v>0</v>
      </c>
    </row>
    <row r="304" spans="5:19" x14ac:dyDescent="0.75">
      <c r="E304">
        <v>299</v>
      </c>
      <c r="F304">
        <f t="shared" si="242"/>
        <v>100</v>
      </c>
      <c r="G304">
        <f t="shared" ca="1" si="243"/>
        <v>97.146452854484551</v>
      </c>
      <c r="H304">
        <f t="shared" ca="1" si="243"/>
        <v>103.02247783332014</v>
      </c>
      <c r="I304">
        <f t="shared" ca="1" si="243"/>
        <v>102.30903489647366</v>
      </c>
      <c r="J304">
        <f t="shared" ref="J304:P304" ca="1" si="279">I304*EXP(($C$6-0.5*$C$7^2)*$C$12+$C$7*SQRT($C$12)*NORMINV(RAND(),0,1))</f>
        <v>101.03066455457696</v>
      </c>
      <c r="K304">
        <f t="shared" ca="1" si="279"/>
        <v>102.72823603988893</v>
      </c>
      <c r="L304">
        <f t="shared" ca="1" si="279"/>
        <v>104.19237790019777</v>
      </c>
      <c r="M304">
        <f t="shared" ca="1" si="279"/>
        <v>99.058910011236406</v>
      </c>
      <c r="N304">
        <f t="shared" ca="1" si="279"/>
        <v>94.185472076034159</v>
      </c>
      <c r="O304">
        <f t="shared" ca="1" si="279"/>
        <v>91.740672233281117</v>
      </c>
      <c r="P304">
        <f t="shared" ca="1" si="279"/>
        <v>95.075788706603404</v>
      </c>
      <c r="Q304">
        <f t="shared" ca="1" si="244"/>
        <v>104.19237790019777</v>
      </c>
      <c r="R304">
        <f t="shared" ca="1" si="245"/>
        <v>0</v>
      </c>
      <c r="S304">
        <f t="shared" ca="1" si="246"/>
        <v>0</v>
      </c>
    </row>
    <row r="305" spans="5:19" x14ac:dyDescent="0.75">
      <c r="E305">
        <v>300</v>
      </c>
      <c r="F305">
        <f t="shared" si="242"/>
        <v>100</v>
      </c>
      <c r="G305">
        <f t="shared" ca="1" si="243"/>
        <v>101.50486011178543</v>
      </c>
      <c r="H305">
        <f t="shared" ca="1" si="243"/>
        <v>107.36583849193367</v>
      </c>
      <c r="I305">
        <f t="shared" ca="1" si="243"/>
        <v>112.54420117420804</v>
      </c>
      <c r="J305">
        <f t="shared" ref="J305:P305" ca="1" si="280">I305*EXP(($C$6-0.5*$C$7^2)*$C$12+$C$7*SQRT($C$12)*NORMINV(RAND(),0,1))</f>
        <v>114.64412827141929</v>
      </c>
      <c r="K305">
        <f t="shared" ca="1" si="280"/>
        <v>117.32125954957482</v>
      </c>
      <c r="L305">
        <f t="shared" ca="1" si="280"/>
        <v>112.32730801136805</v>
      </c>
      <c r="M305">
        <f t="shared" ca="1" si="280"/>
        <v>112.5455560754293</v>
      </c>
      <c r="N305">
        <f t="shared" ca="1" si="280"/>
        <v>117.87622109048239</v>
      </c>
      <c r="O305">
        <f t="shared" ca="1" si="280"/>
        <v>123.49633576708814</v>
      </c>
      <c r="P305">
        <f t="shared" ca="1" si="280"/>
        <v>124.78214964528183</v>
      </c>
      <c r="Q305">
        <f t="shared" ca="1" si="244"/>
        <v>124.78214964528183</v>
      </c>
      <c r="R305">
        <f t="shared" ca="1" si="245"/>
        <v>0</v>
      </c>
      <c r="S305">
        <f t="shared" ca="1" si="246"/>
        <v>0</v>
      </c>
    </row>
    <row r="306" spans="5:19" x14ac:dyDescent="0.75">
      <c r="E306">
        <v>301</v>
      </c>
      <c r="F306">
        <f t="shared" si="242"/>
        <v>100</v>
      </c>
      <c r="G306">
        <f t="shared" ca="1" si="243"/>
        <v>98.551317453078511</v>
      </c>
      <c r="H306">
        <f t="shared" ca="1" si="243"/>
        <v>104.94204270853882</v>
      </c>
      <c r="I306">
        <f t="shared" ca="1" si="243"/>
        <v>107.7102509198921</v>
      </c>
      <c r="J306">
        <f t="shared" ref="J306:P306" ca="1" si="281">I306*EXP(($C$6-0.5*$C$7^2)*$C$12+$C$7*SQRT($C$12)*NORMINV(RAND(),0,1))</f>
        <v>106.38459512222043</v>
      </c>
      <c r="K306">
        <f t="shared" ca="1" si="281"/>
        <v>108.70032060389525</v>
      </c>
      <c r="L306">
        <f t="shared" ca="1" si="281"/>
        <v>114.04222090472499</v>
      </c>
      <c r="M306">
        <f t="shared" ca="1" si="281"/>
        <v>114.71799579774526</v>
      </c>
      <c r="N306">
        <f t="shared" ca="1" si="281"/>
        <v>125.04711858727038</v>
      </c>
      <c r="O306">
        <f t="shared" ca="1" si="281"/>
        <v>122.80073733315729</v>
      </c>
      <c r="P306">
        <f t="shared" ca="1" si="281"/>
        <v>120.69968761464207</v>
      </c>
      <c r="Q306">
        <f t="shared" ca="1" si="244"/>
        <v>125.04711858727038</v>
      </c>
      <c r="R306">
        <f t="shared" ca="1" si="245"/>
        <v>0</v>
      </c>
      <c r="S306">
        <f t="shared" ca="1" si="246"/>
        <v>0</v>
      </c>
    </row>
    <row r="307" spans="5:19" x14ac:dyDescent="0.75">
      <c r="E307">
        <v>302</v>
      </c>
      <c r="F307">
        <f t="shared" si="242"/>
        <v>100</v>
      </c>
      <c r="G307">
        <f t="shared" ca="1" si="243"/>
        <v>105.76684501056974</v>
      </c>
      <c r="H307">
        <f t="shared" ca="1" si="243"/>
        <v>108.49315618748658</v>
      </c>
      <c r="I307">
        <f t="shared" ca="1" si="243"/>
        <v>111.54682916946152</v>
      </c>
      <c r="J307">
        <f t="shared" ref="J307:P307" ca="1" si="282">I307*EXP(($C$6-0.5*$C$7^2)*$C$12+$C$7*SQRT($C$12)*NORMINV(RAND(),0,1))</f>
        <v>108.45978974037617</v>
      </c>
      <c r="K307">
        <f t="shared" ca="1" si="282"/>
        <v>110.7959699111634</v>
      </c>
      <c r="L307">
        <f t="shared" ca="1" si="282"/>
        <v>105.59268308984454</v>
      </c>
      <c r="M307">
        <f t="shared" ca="1" si="282"/>
        <v>109.23070112581517</v>
      </c>
      <c r="N307">
        <f t="shared" ca="1" si="282"/>
        <v>108.38091426771663</v>
      </c>
      <c r="O307">
        <f t="shared" ca="1" si="282"/>
        <v>109.99554884963827</v>
      </c>
      <c r="P307">
        <f t="shared" ca="1" si="282"/>
        <v>113.6635720518764</v>
      </c>
      <c r="Q307">
        <f t="shared" ca="1" si="244"/>
        <v>113.6635720518764</v>
      </c>
      <c r="R307">
        <f t="shared" ca="1" si="245"/>
        <v>0</v>
      </c>
      <c r="S307">
        <f t="shared" ca="1" si="246"/>
        <v>0</v>
      </c>
    </row>
    <row r="308" spans="5:19" x14ac:dyDescent="0.75">
      <c r="E308">
        <v>303</v>
      </c>
      <c r="F308">
        <f t="shared" si="242"/>
        <v>100</v>
      </c>
      <c r="G308">
        <f t="shared" ca="1" si="243"/>
        <v>103.71744998797669</v>
      </c>
      <c r="H308">
        <f t="shared" ca="1" si="243"/>
        <v>114.6370070928065</v>
      </c>
      <c r="I308">
        <f t="shared" ca="1" si="243"/>
        <v>118.54912021109658</v>
      </c>
      <c r="J308">
        <f t="shared" ref="J308:P308" ca="1" si="283">I308*EXP(($C$6-0.5*$C$7^2)*$C$12+$C$7*SQRT($C$12)*NORMINV(RAND(),0,1))</f>
        <v>119.97813330314298</v>
      </c>
      <c r="K308">
        <f t="shared" ca="1" si="283"/>
        <v>115.9002966381169</v>
      </c>
      <c r="L308">
        <f t="shared" ca="1" si="283"/>
        <v>109.2223161522308</v>
      </c>
      <c r="M308">
        <f t="shared" ca="1" si="283"/>
        <v>109.47848060378176</v>
      </c>
      <c r="N308">
        <f t="shared" ca="1" si="283"/>
        <v>101.12810269267446</v>
      </c>
      <c r="O308">
        <f t="shared" ca="1" si="283"/>
        <v>102.88910508342546</v>
      </c>
      <c r="P308">
        <f t="shared" ca="1" si="283"/>
        <v>105.87904364797429</v>
      </c>
      <c r="Q308">
        <f t="shared" ca="1" si="244"/>
        <v>119.97813330314298</v>
      </c>
      <c r="R308">
        <f t="shared" ca="1" si="245"/>
        <v>0</v>
      </c>
      <c r="S308">
        <f t="shared" ca="1" si="246"/>
        <v>0</v>
      </c>
    </row>
    <row r="309" spans="5:19" x14ac:dyDescent="0.75">
      <c r="E309">
        <v>304</v>
      </c>
      <c r="F309">
        <f t="shared" si="242"/>
        <v>100</v>
      </c>
      <c r="G309">
        <f t="shared" ca="1" si="243"/>
        <v>95.080561257248149</v>
      </c>
      <c r="H309">
        <f t="shared" ca="1" si="243"/>
        <v>97.683940355345001</v>
      </c>
      <c r="I309">
        <f t="shared" ca="1" si="243"/>
        <v>100.84262426255677</v>
      </c>
      <c r="J309">
        <f t="shared" ref="J309:P309" ca="1" si="284">I309*EXP(($C$6-0.5*$C$7^2)*$C$12+$C$7*SQRT($C$12)*NORMINV(RAND(),0,1))</f>
        <v>106.68040555616965</v>
      </c>
      <c r="K309">
        <f t="shared" ca="1" si="284"/>
        <v>100.18418408603732</v>
      </c>
      <c r="L309">
        <f t="shared" ca="1" si="284"/>
        <v>97.820923456572842</v>
      </c>
      <c r="M309">
        <f t="shared" ca="1" si="284"/>
        <v>94.075685468251336</v>
      </c>
      <c r="N309">
        <f t="shared" ca="1" si="284"/>
        <v>94.238846549960684</v>
      </c>
      <c r="O309">
        <f t="shared" ca="1" si="284"/>
        <v>92.289026850401015</v>
      </c>
      <c r="P309">
        <f t="shared" ca="1" si="284"/>
        <v>102.0570099444375</v>
      </c>
      <c r="Q309">
        <f t="shared" ca="1" si="244"/>
        <v>106.68040555616965</v>
      </c>
      <c r="R309">
        <f t="shared" ca="1" si="245"/>
        <v>5.7009944437496074E-2</v>
      </c>
      <c r="S309">
        <f t="shared" ca="1" si="246"/>
        <v>5.5602363894074427E-2</v>
      </c>
    </row>
    <row r="310" spans="5:19" x14ac:dyDescent="0.75">
      <c r="E310">
        <v>305</v>
      </c>
      <c r="F310">
        <f t="shared" si="242"/>
        <v>100</v>
      </c>
      <c r="G310">
        <f t="shared" ca="1" si="243"/>
        <v>108.48685319517493</v>
      </c>
      <c r="H310">
        <f t="shared" ca="1" si="243"/>
        <v>105.31687672751839</v>
      </c>
      <c r="I310">
        <f t="shared" ca="1" si="243"/>
        <v>104.70845111966243</v>
      </c>
      <c r="J310">
        <f t="shared" ref="J310:P310" ca="1" si="285">I310*EXP(($C$6-0.5*$C$7^2)*$C$12+$C$7*SQRT($C$12)*NORMINV(RAND(),0,1))</f>
        <v>113.5036869200858</v>
      </c>
      <c r="K310">
        <f t="shared" ca="1" si="285"/>
        <v>114.48734696061447</v>
      </c>
      <c r="L310">
        <f t="shared" ca="1" si="285"/>
        <v>114.10658489312482</v>
      </c>
      <c r="M310">
        <f t="shared" ca="1" si="285"/>
        <v>120.79555854608697</v>
      </c>
      <c r="N310">
        <f t="shared" ca="1" si="285"/>
        <v>123.53237374104349</v>
      </c>
      <c r="O310">
        <f t="shared" ca="1" si="285"/>
        <v>121.23372839463755</v>
      </c>
      <c r="P310">
        <f t="shared" ca="1" si="285"/>
        <v>124.76939105919379</v>
      </c>
      <c r="Q310">
        <f t="shared" ca="1" si="244"/>
        <v>124.76939105919379</v>
      </c>
      <c r="R310">
        <f t="shared" ca="1" si="245"/>
        <v>0</v>
      </c>
      <c r="S310">
        <f t="shared" ca="1" si="246"/>
        <v>0</v>
      </c>
    </row>
    <row r="311" spans="5:19" x14ac:dyDescent="0.75">
      <c r="E311">
        <v>306</v>
      </c>
      <c r="F311">
        <f t="shared" si="242"/>
        <v>100</v>
      </c>
      <c r="G311">
        <f t="shared" ca="1" si="243"/>
        <v>94.30344620758963</v>
      </c>
      <c r="H311">
        <f t="shared" ca="1" si="243"/>
        <v>96.283779339725299</v>
      </c>
      <c r="I311">
        <f t="shared" ca="1" si="243"/>
        <v>99.62198528252577</v>
      </c>
      <c r="J311">
        <f t="shared" ref="J311:P311" ca="1" si="286">I311*EXP(($C$6-0.5*$C$7^2)*$C$12+$C$7*SQRT($C$12)*NORMINV(RAND(),0,1))</f>
        <v>100.29556173219069</v>
      </c>
      <c r="K311">
        <f t="shared" ca="1" si="286"/>
        <v>109.5719756732488</v>
      </c>
      <c r="L311">
        <f t="shared" ca="1" si="286"/>
        <v>109.8971797494948</v>
      </c>
      <c r="M311">
        <f t="shared" ca="1" si="286"/>
        <v>111.12350918103949</v>
      </c>
      <c r="N311">
        <f t="shared" ca="1" si="286"/>
        <v>108.73849203132519</v>
      </c>
      <c r="O311">
        <f t="shared" ca="1" si="286"/>
        <v>112.31648525959962</v>
      </c>
      <c r="P311">
        <f t="shared" ca="1" si="286"/>
        <v>110.97540592162909</v>
      </c>
      <c r="Q311">
        <f t="shared" ca="1" si="244"/>
        <v>112.31648525959962</v>
      </c>
      <c r="R311">
        <f t="shared" ca="1" si="245"/>
        <v>0</v>
      </c>
      <c r="S311">
        <f t="shared" ca="1" si="246"/>
        <v>0</v>
      </c>
    </row>
    <row r="312" spans="5:19" x14ac:dyDescent="0.75">
      <c r="E312">
        <v>307</v>
      </c>
      <c r="F312">
        <f t="shared" si="242"/>
        <v>100</v>
      </c>
      <c r="G312">
        <f t="shared" ca="1" si="243"/>
        <v>92.313013951576096</v>
      </c>
      <c r="H312">
        <f t="shared" ca="1" si="243"/>
        <v>94.394658120101425</v>
      </c>
      <c r="I312">
        <f t="shared" ca="1" si="243"/>
        <v>94.276977268014889</v>
      </c>
      <c r="J312">
        <f t="shared" ref="J312:P312" ca="1" si="287">I312*EXP(($C$6-0.5*$C$7^2)*$C$12+$C$7*SQRT($C$12)*NORMINV(RAND(),0,1))</f>
        <v>92.489946070897901</v>
      </c>
      <c r="K312">
        <f t="shared" ca="1" si="287"/>
        <v>88.998045013205768</v>
      </c>
      <c r="L312">
        <f t="shared" ca="1" si="287"/>
        <v>89.36670733389721</v>
      </c>
      <c r="M312">
        <f t="shared" ca="1" si="287"/>
        <v>92.237917295559427</v>
      </c>
      <c r="N312">
        <f t="shared" ca="1" si="287"/>
        <v>85.196466182213385</v>
      </c>
      <c r="O312">
        <f t="shared" ca="1" si="287"/>
        <v>88.565054775016961</v>
      </c>
      <c r="P312">
        <f t="shared" ca="1" si="287"/>
        <v>81.45146190109719</v>
      </c>
      <c r="Q312">
        <f t="shared" ca="1" si="244"/>
        <v>94.394658120101425</v>
      </c>
      <c r="R312">
        <f t="shared" ca="1" si="245"/>
        <v>0</v>
      </c>
      <c r="S312">
        <f t="shared" ca="1" si="246"/>
        <v>0</v>
      </c>
    </row>
    <row r="313" spans="5:19" x14ac:dyDescent="0.75">
      <c r="E313">
        <v>308</v>
      </c>
      <c r="F313">
        <f t="shared" si="242"/>
        <v>100</v>
      </c>
      <c r="G313">
        <f t="shared" ca="1" si="243"/>
        <v>97.821472611455434</v>
      </c>
      <c r="H313">
        <f t="shared" ca="1" si="243"/>
        <v>91.078241161149492</v>
      </c>
      <c r="I313">
        <f t="shared" ca="1" si="243"/>
        <v>91.205558230746647</v>
      </c>
      <c r="J313">
        <f t="shared" ref="J313:P313" ca="1" si="288">I313*EXP(($C$6-0.5*$C$7^2)*$C$12+$C$7*SQRT($C$12)*NORMINV(RAND(),0,1))</f>
        <v>97.693172012630086</v>
      </c>
      <c r="K313">
        <f t="shared" ca="1" si="288"/>
        <v>101.69239746231483</v>
      </c>
      <c r="L313">
        <f t="shared" ca="1" si="288"/>
        <v>92.598917803871387</v>
      </c>
      <c r="M313">
        <f t="shared" ca="1" si="288"/>
        <v>95.487383418027719</v>
      </c>
      <c r="N313">
        <f t="shared" ca="1" si="288"/>
        <v>87.969023189476971</v>
      </c>
      <c r="O313">
        <f t="shared" ca="1" si="288"/>
        <v>93.809164523538357</v>
      </c>
      <c r="P313">
        <f t="shared" ca="1" si="288"/>
        <v>94.329402064516486</v>
      </c>
      <c r="Q313">
        <f t="shared" ca="1" si="244"/>
        <v>101.69239746231483</v>
      </c>
      <c r="R313">
        <f t="shared" ca="1" si="245"/>
        <v>0</v>
      </c>
      <c r="S313">
        <f t="shared" ca="1" si="246"/>
        <v>0</v>
      </c>
    </row>
    <row r="314" spans="5:19" x14ac:dyDescent="0.75">
      <c r="E314">
        <v>309</v>
      </c>
      <c r="F314">
        <f t="shared" si="242"/>
        <v>100</v>
      </c>
      <c r="G314">
        <f t="shared" ca="1" si="243"/>
        <v>101.98315276884209</v>
      </c>
      <c r="H314">
        <f t="shared" ca="1" si="243"/>
        <v>104.57697458097904</v>
      </c>
      <c r="I314">
        <f t="shared" ca="1" si="243"/>
        <v>101.33677905833891</v>
      </c>
      <c r="J314">
        <f t="shared" ref="J314:P314" ca="1" si="289">I314*EXP(($C$6-0.5*$C$7^2)*$C$12+$C$7*SQRT($C$12)*NORMINV(RAND(),0,1))</f>
        <v>95.657661749580981</v>
      </c>
      <c r="K314">
        <f t="shared" ca="1" si="289"/>
        <v>97.620659123256601</v>
      </c>
      <c r="L314">
        <f t="shared" ca="1" si="289"/>
        <v>96.08762896867141</v>
      </c>
      <c r="M314">
        <f t="shared" ca="1" si="289"/>
        <v>93.684789138170274</v>
      </c>
      <c r="N314">
        <f t="shared" ca="1" si="289"/>
        <v>91.306696218475622</v>
      </c>
      <c r="O314">
        <f t="shared" ca="1" si="289"/>
        <v>91.376830732711696</v>
      </c>
      <c r="P314">
        <f t="shared" ca="1" si="289"/>
        <v>93.475067630340121</v>
      </c>
      <c r="Q314">
        <f t="shared" ca="1" si="244"/>
        <v>104.57697458097904</v>
      </c>
      <c r="R314">
        <f t="shared" ca="1" si="245"/>
        <v>0</v>
      </c>
      <c r="S314">
        <f t="shared" ca="1" si="246"/>
        <v>0</v>
      </c>
    </row>
    <row r="315" spans="5:19" x14ac:dyDescent="0.75">
      <c r="E315">
        <v>310</v>
      </c>
      <c r="F315">
        <f t="shared" si="242"/>
        <v>100</v>
      </c>
      <c r="G315">
        <f t="shared" ca="1" si="243"/>
        <v>102.40298206107778</v>
      </c>
      <c r="H315">
        <f t="shared" ca="1" si="243"/>
        <v>94.266480106205478</v>
      </c>
      <c r="I315">
        <f t="shared" ca="1" si="243"/>
        <v>90.763785677251732</v>
      </c>
      <c r="J315">
        <f t="shared" ref="J315:P315" ca="1" si="290">I315*EXP(($C$6-0.5*$C$7^2)*$C$12+$C$7*SQRT($C$12)*NORMINV(RAND(),0,1))</f>
        <v>87.322462759844328</v>
      </c>
      <c r="K315">
        <f t="shared" ca="1" si="290"/>
        <v>91.881927009410191</v>
      </c>
      <c r="L315">
        <f t="shared" ca="1" si="290"/>
        <v>92.562543788020747</v>
      </c>
      <c r="M315">
        <f t="shared" ca="1" si="290"/>
        <v>97.381437328954178</v>
      </c>
      <c r="N315">
        <f t="shared" ca="1" si="290"/>
        <v>97.594910764472218</v>
      </c>
      <c r="O315">
        <f t="shared" ca="1" si="290"/>
        <v>97.903545628684938</v>
      </c>
      <c r="P315">
        <f t="shared" ca="1" si="290"/>
        <v>90.859384392933734</v>
      </c>
      <c r="Q315">
        <f t="shared" ca="1" si="244"/>
        <v>102.40298206107778</v>
      </c>
      <c r="R315">
        <f t="shared" ca="1" si="245"/>
        <v>0</v>
      </c>
      <c r="S315">
        <f t="shared" ca="1" si="246"/>
        <v>0</v>
      </c>
    </row>
    <row r="316" spans="5:19" x14ac:dyDescent="0.75">
      <c r="E316">
        <v>311</v>
      </c>
      <c r="F316">
        <f t="shared" si="242"/>
        <v>100</v>
      </c>
      <c r="G316">
        <f t="shared" ca="1" si="243"/>
        <v>99.425662303143937</v>
      </c>
      <c r="H316">
        <f t="shared" ca="1" si="243"/>
        <v>96.93935550892715</v>
      </c>
      <c r="I316">
        <f t="shared" ca="1" si="243"/>
        <v>97.714251442064068</v>
      </c>
      <c r="J316">
        <f t="shared" ref="J316:P316" ca="1" si="291">I316*EXP(($C$6-0.5*$C$7^2)*$C$12+$C$7*SQRT($C$12)*NORMINV(RAND(),0,1))</f>
        <v>101.32958485137168</v>
      </c>
      <c r="K316">
        <f t="shared" ca="1" si="291"/>
        <v>98.760267775778743</v>
      </c>
      <c r="L316">
        <f t="shared" ca="1" si="291"/>
        <v>93.975566621296437</v>
      </c>
      <c r="M316">
        <f t="shared" ca="1" si="291"/>
        <v>96.929536731062683</v>
      </c>
      <c r="N316">
        <f t="shared" ca="1" si="291"/>
        <v>94.516941599345188</v>
      </c>
      <c r="O316">
        <f t="shared" ca="1" si="291"/>
        <v>92.676082205210264</v>
      </c>
      <c r="P316">
        <f t="shared" ca="1" si="291"/>
        <v>93.518186784119436</v>
      </c>
      <c r="Q316">
        <f t="shared" ca="1" si="244"/>
        <v>101.32958485137168</v>
      </c>
      <c r="R316">
        <f t="shared" ca="1" si="245"/>
        <v>0</v>
      </c>
      <c r="S316">
        <f t="shared" ca="1" si="246"/>
        <v>0</v>
      </c>
    </row>
    <row r="317" spans="5:19" x14ac:dyDescent="0.75">
      <c r="E317">
        <v>312</v>
      </c>
      <c r="F317">
        <f t="shared" si="242"/>
        <v>100</v>
      </c>
      <c r="G317">
        <f t="shared" ca="1" si="243"/>
        <v>90.892707580277872</v>
      </c>
      <c r="H317">
        <f t="shared" ca="1" si="243"/>
        <v>84.254609503396665</v>
      </c>
      <c r="I317">
        <f t="shared" ca="1" si="243"/>
        <v>86.918840393469537</v>
      </c>
      <c r="J317">
        <f t="shared" ref="J317:P317" ca="1" si="292">I317*EXP(($C$6-0.5*$C$7^2)*$C$12+$C$7*SQRT($C$12)*NORMINV(RAND(),0,1))</f>
        <v>85.305842151626678</v>
      </c>
      <c r="K317">
        <f t="shared" ca="1" si="292"/>
        <v>92.048907841941755</v>
      </c>
      <c r="L317">
        <f t="shared" ca="1" si="292"/>
        <v>99.131577490458369</v>
      </c>
      <c r="M317">
        <f t="shared" ca="1" si="292"/>
        <v>108.22580113363901</v>
      </c>
      <c r="N317">
        <f t="shared" ca="1" si="292"/>
        <v>109.92591318179082</v>
      </c>
      <c r="O317">
        <f t="shared" ca="1" si="292"/>
        <v>109.17829000828084</v>
      </c>
      <c r="P317">
        <f t="shared" ca="1" si="292"/>
        <v>101.84696454581986</v>
      </c>
      <c r="Q317">
        <f t="shared" ca="1" si="244"/>
        <v>109.92591318179082</v>
      </c>
      <c r="R317">
        <f t="shared" ca="1" si="245"/>
        <v>0</v>
      </c>
      <c r="S317">
        <f t="shared" ca="1" si="246"/>
        <v>0</v>
      </c>
    </row>
    <row r="318" spans="5:19" x14ac:dyDescent="0.75">
      <c r="E318">
        <v>313</v>
      </c>
      <c r="F318">
        <f t="shared" si="242"/>
        <v>100</v>
      </c>
      <c r="G318">
        <f t="shared" ca="1" si="243"/>
        <v>90.376492895664455</v>
      </c>
      <c r="H318">
        <f t="shared" ca="1" si="243"/>
        <v>96.125937980895685</v>
      </c>
      <c r="I318">
        <f t="shared" ca="1" si="243"/>
        <v>99.371124588503761</v>
      </c>
      <c r="J318">
        <f t="shared" ref="J318:P318" ca="1" si="293">I318*EXP(($C$6-0.5*$C$7^2)*$C$12+$C$7*SQRT($C$12)*NORMINV(RAND(),0,1))</f>
        <v>100.48531481592309</v>
      </c>
      <c r="K318">
        <f t="shared" ca="1" si="293"/>
        <v>95.574495044223468</v>
      </c>
      <c r="L318">
        <f t="shared" ca="1" si="293"/>
        <v>91.312481195700798</v>
      </c>
      <c r="M318">
        <f t="shared" ca="1" si="293"/>
        <v>80.5461657715379</v>
      </c>
      <c r="N318">
        <f t="shared" ca="1" si="293"/>
        <v>83.573629916816259</v>
      </c>
      <c r="O318">
        <f t="shared" ca="1" si="293"/>
        <v>80.237499461623315</v>
      </c>
      <c r="P318">
        <f t="shared" ca="1" si="293"/>
        <v>77.173664172116418</v>
      </c>
      <c r="Q318">
        <f t="shared" ca="1" si="244"/>
        <v>100.48531481592309</v>
      </c>
      <c r="R318">
        <f t="shared" ca="1" si="245"/>
        <v>0</v>
      </c>
      <c r="S318">
        <f t="shared" ca="1" si="246"/>
        <v>0</v>
      </c>
    </row>
    <row r="319" spans="5:19" x14ac:dyDescent="0.75">
      <c r="E319">
        <v>314</v>
      </c>
      <c r="F319">
        <f t="shared" si="242"/>
        <v>100</v>
      </c>
      <c r="G319">
        <f t="shared" ca="1" si="243"/>
        <v>97.317687187535014</v>
      </c>
      <c r="H319">
        <f t="shared" ca="1" si="243"/>
        <v>87.083453361028702</v>
      </c>
      <c r="I319">
        <f t="shared" ca="1" si="243"/>
        <v>86.427208393333913</v>
      </c>
      <c r="J319">
        <f t="shared" ref="J319:P319" ca="1" si="294">I319*EXP(($C$6-0.5*$C$7^2)*$C$12+$C$7*SQRT($C$12)*NORMINV(RAND(),0,1))</f>
        <v>79.684815093364435</v>
      </c>
      <c r="K319">
        <f t="shared" ca="1" si="294"/>
        <v>80.8851937086079</v>
      </c>
      <c r="L319">
        <f t="shared" ca="1" si="294"/>
        <v>76.382797085080199</v>
      </c>
      <c r="M319">
        <f t="shared" ca="1" si="294"/>
        <v>75.703392660323203</v>
      </c>
      <c r="N319">
        <f t="shared" ca="1" si="294"/>
        <v>71.329293144436519</v>
      </c>
      <c r="O319">
        <f t="shared" ca="1" si="294"/>
        <v>66.618913177998948</v>
      </c>
      <c r="P319">
        <f t="shared" ca="1" si="294"/>
        <v>63.975743473029894</v>
      </c>
      <c r="Q319">
        <f t="shared" ca="1" si="244"/>
        <v>97.317687187535014</v>
      </c>
      <c r="R319">
        <f t="shared" ca="1" si="245"/>
        <v>0</v>
      </c>
      <c r="S319">
        <f t="shared" ca="1" si="246"/>
        <v>0</v>
      </c>
    </row>
    <row r="320" spans="5:19" x14ac:dyDescent="0.75">
      <c r="E320">
        <v>315</v>
      </c>
      <c r="F320">
        <f t="shared" si="242"/>
        <v>100</v>
      </c>
      <c r="G320">
        <f t="shared" ca="1" si="243"/>
        <v>96.74237357654161</v>
      </c>
      <c r="H320">
        <f t="shared" ca="1" si="243"/>
        <v>98.857115203222079</v>
      </c>
      <c r="I320">
        <f t="shared" ca="1" si="243"/>
        <v>101.64135666251352</v>
      </c>
      <c r="J320">
        <f t="shared" ref="J320:P320" ca="1" si="295">I320*EXP(($C$6-0.5*$C$7^2)*$C$12+$C$7*SQRT($C$12)*NORMINV(RAND(),0,1))</f>
        <v>111.94114861056093</v>
      </c>
      <c r="K320">
        <f t="shared" ca="1" si="295"/>
        <v>112.32712763928612</v>
      </c>
      <c r="L320">
        <f t="shared" ca="1" si="295"/>
        <v>106.65664545314456</v>
      </c>
      <c r="M320">
        <f t="shared" ca="1" si="295"/>
        <v>107.76450931852298</v>
      </c>
      <c r="N320">
        <f t="shared" ca="1" si="295"/>
        <v>108.52837012403353</v>
      </c>
      <c r="O320">
        <f t="shared" ca="1" si="295"/>
        <v>101.73841996374993</v>
      </c>
      <c r="P320">
        <f t="shared" ca="1" si="295"/>
        <v>104.3565227810497</v>
      </c>
      <c r="Q320">
        <f t="shared" ca="1" si="244"/>
        <v>112.32712763928612</v>
      </c>
      <c r="R320">
        <f t="shared" ca="1" si="245"/>
        <v>0</v>
      </c>
      <c r="S320">
        <f t="shared" ca="1" si="246"/>
        <v>0</v>
      </c>
    </row>
    <row r="321" spans="5:19" x14ac:dyDescent="0.75">
      <c r="E321">
        <v>316</v>
      </c>
      <c r="F321">
        <f t="shared" si="242"/>
        <v>100</v>
      </c>
      <c r="G321">
        <f t="shared" ca="1" si="243"/>
        <v>98.983717956066698</v>
      </c>
      <c r="H321">
        <f t="shared" ca="1" si="243"/>
        <v>100.48478433960118</v>
      </c>
      <c r="I321">
        <f t="shared" ca="1" si="243"/>
        <v>104.43040266258701</v>
      </c>
      <c r="J321">
        <f t="shared" ref="J321:P321" ca="1" si="296">I321*EXP(($C$6-0.5*$C$7^2)*$C$12+$C$7*SQRT($C$12)*NORMINV(RAND(),0,1))</f>
        <v>105.59054872891905</v>
      </c>
      <c r="K321">
        <f t="shared" ca="1" si="296"/>
        <v>106.91183798098291</v>
      </c>
      <c r="L321">
        <f t="shared" ca="1" si="296"/>
        <v>103.91782662133046</v>
      </c>
      <c r="M321">
        <f t="shared" ca="1" si="296"/>
        <v>93.971122968536434</v>
      </c>
      <c r="N321">
        <f t="shared" ca="1" si="296"/>
        <v>90.039547636149919</v>
      </c>
      <c r="O321">
        <f t="shared" ca="1" si="296"/>
        <v>93.01150662570835</v>
      </c>
      <c r="P321">
        <f t="shared" ca="1" si="296"/>
        <v>93.919824686595163</v>
      </c>
      <c r="Q321">
        <f t="shared" ca="1" si="244"/>
        <v>106.91183798098291</v>
      </c>
      <c r="R321">
        <f t="shared" ca="1" si="245"/>
        <v>0</v>
      </c>
      <c r="S321">
        <f t="shared" ca="1" si="246"/>
        <v>0</v>
      </c>
    </row>
    <row r="322" spans="5:19" x14ac:dyDescent="0.75">
      <c r="E322">
        <v>317</v>
      </c>
      <c r="F322">
        <f t="shared" si="242"/>
        <v>100</v>
      </c>
      <c r="G322">
        <f t="shared" ca="1" si="243"/>
        <v>112.46373048370424</v>
      </c>
      <c r="H322">
        <f t="shared" ca="1" si="243"/>
        <v>111.06477803775161</v>
      </c>
      <c r="I322">
        <f t="shared" ca="1" si="243"/>
        <v>103.1172392121406</v>
      </c>
      <c r="J322">
        <f t="shared" ref="J322:P322" ca="1" si="297">I322*EXP(($C$6-0.5*$C$7^2)*$C$12+$C$7*SQRT($C$12)*NORMINV(RAND(),0,1))</f>
        <v>109.56440271188251</v>
      </c>
      <c r="K322">
        <f t="shared" ca="1" si="297"/>
        <v>112.98266245591347</v>
      </c>
      <c r="L322">
        <f t="shared" ca="1" si="297"/>
        <v>116.68696813253123</v>
      </c>
      <c r="M322">
        <f t="shared" ca="1" si="297"/>
        <v>123.53176547478768</v>
      </c>
      <c r="N322">
        <f t="shared" ca="1" si="297"/>
        <v>123.9154933089534</v>
      </c>
      <c r="O322">
        <f t="shared" ca="1" si="297"/>
        <v>124.31433332848611</v>
      </c>
      <c r="P322">
        <f t="shared" ca="1" si="297"/>
        <v>120.77097763345512</v>
      </c>
      <c r="Q322">
        <f t="shared" ca="1" si="244"/>
        <v>124.31433332848611</v>
      </c>
      <c r="R322">
        <f t="shared" ca="1" si="245"/>
        <v>0</v>
      </c>
      <c r="S322">
        <f t="shared" ca="1" si="246"/>
        <v>0</v>
      </c>
    </row>
    <row r="323" spans="5:19" x14ac:dyDescent="0.75">
      <c r="E323">
        <v>318</v>
      </c>
      <c r="F323">
        <f t="shared" si="242"/>
        <v>100</v>
      </c>
      <c r="G323">
        <f t="shared" ca="1" si="243"/>
        <v>96.646281040784984</v>
      </c>
      <c r="H323">
        <f t="shared" ca="1" si="243"/>
        <v>99.044618465962543</v>
      </c>
      <c r="I323">
        <f t="shared" ca="1" si="243"/>
        <v>101.54900447461176</v>
      </c>
      <c r="J323">
        <f t="shared" ref="J323:P323" ca="1" si="298">I323*EXP(($C$6-0.5*$C$7^2)*$C$12+$C$7*SQRT($C$12)*NORMINV(RAND(),0,1))</f>
        <v>105.71212788496827</v>
      </c>
      <c r="K323">
        <f t="shared" ca="1" si="298"/>
        <v>106.63308594062748</v>
      </c>
      <c r="L323">
        <f t="shared" ca="1" si="298"/>
        <v>101.57386287492477</v>
      </c>
      <c r="M323">
        <f t="shared" ca="1" si="298"/>
        <v>92.223431322963691</v>
      </c>
      <c r="N323">
        <f t="shared" ca="1" si="298"/>
        <v>90.573775476911493</v>
      </c>
      <c r="O323">
        <f t="shared" ca="1" si="298"/>
        <v>84.71195534949392</v>
      </c>
      <c r="P323">
        <f t="shared" ca="1" si="298"/>
        <v>92.300199331896835</v>
      </c>
      <c r="Q323">
        <f t="shared" ca="1" si="244"/>
        <v>106.63308594062748</v>
      </c>
      <c r="R323">
        <f t="shared" ca="1" si="245"/>
        <v>0</v>
      </c>
      <c r="S323">
        <f t="shared" ca="1" si="246"/>
        <v>0</v>
      </c>
    </row>
    <row r="324" spans="5:19" x14ac:dyDescent="0.75">
      <c r="E324">
        <v>319</v>
      </c>
      <c r="F324">
        <f t="shared" si="242"/>
        <v>100</v>
      </c>
      <c r="G324">
        <f t="shared" ca="1" si="243"/>
        <v>102.67848666438195</v>
      </c>
      <c r="H324">
        <f t="shared" ca="1" si="243"/>
        <v>106.63244177329123</v>
      </c>
      <c r="I324">
        <f t="shared" ca="1" si="243"/>
        <v>107.08228830554455</v>
      </c>
      <c r="J324">
        <f t="shared" ref="J324:P324" ca="1" si="299">I324*EXP(($C$6-0.5*$C$7^2)*$C$12+$C$7*SQRT($C$12)*NORMINV(RAND(),0,1))</f>
        <v>109.50549750918601</v>
      </c>
      <c r="K324">
        <f t="shared" ca="1" si="299"/>
        <v>105.34744450329411</v>
      </c>
      <c r="L324">
        <f t="shared" ca="1" si="299"/>
        <v>113.05765151992165</v>
      </c>
      <c r="M324">
        <f t="shared" ca="1" si="299"/>
        <v>113.54592941893019</v>
      </c>
      <c r="N324">
        <f t="shared" ca="1" si="299"/>
        <v>105.16270212991863</v>
      </c>
      <c r="O324">
        <f t="shared" ca="1" si="299"/>
        <v>104.11704684007256</v>
      </c>
      <c r="P324">
        <f t="shared" ca="1" si="299"/>
        <v>104.94286377663371</v>
      </c>
      <c r="Q324">
        <f t="shared" ca="1" si="244"/>
        <v>113.54592941893019</v>
      </c>
      <c r="R324">
        <f t="shared" ca="1" si="245"/>
        <v>0</v>
      </c>
      <c r="S324">
        <f t="shared" ca="1" si="246"/>
        <v>0</v>
      </c>
    </row>
    <row r="325" spans="5:19" x14ac:dyDescent="0.75">
      <c r="E325">
        <v>320</v>
      </c>
      <c r="F325">
        <f t="shared" si="242"/>
        <v>100</v>
      </c>
      <c r="G325">
        <f t="shared" ca="1" si="243"/>
        <v>106.10314710727511</v>
      </c>
      <c r="H325">
        <f t="shared" ca="1" si="243"/>
        <v>100.55349973394063</v>
      </c>
      <c r="I325">
        <f t="shared" ca="1" si="243"/>
        <v>100.03994773196571</v>
      </c>
      <c r="J325">
        <f t="shared" ref="J325:P325" ca="1" si="300">I325*EXP(($C$6-0.5*$C$7^2)*$C$12+$C$7*SQRT($C$12)*NORMINV(RAND(),0,1))</f>
        <v>101.81772825214173</v>
      </c>
      <c r="K325">
        <f t="shared" ca="1" si="300"/>
        <v>99.51495523616336</v>
      </c>
      <c r="L325">
        <f t="shared" ca="1" si="300"/>
        <v>96.009154910402188</v>
      </c>
      <c r="M325">
        <f t="shared" ca="1" si="300"/>
        <v>96.046210659088231</v>
      </c>
      <c r="N325">
        <f t="shared" ca="1" si="300"/>
        <v>99.926427824635226</v>
      </c>
      <c r="O325">
        <f t="shared" ca="1" si="300"/>
        <v>106.88686258051597</v>
      </c>
      <c r="P325">
        <f t="shared" ca="1" si="300"/>
        <v>111.5743738957195</v>
      </c>
      <c r="Q325">
        <f t="shared" ca="1" si="244"/>
        <v>111.5743738957195</v>
      </c>
      <c r="R325">
        <f t="shared" ca="1" si="245"/>
        <v>0</v>
      </c>
      <c r="S325">
        <f t="shared" ca="1" si="246"/>
        <v>0</v>
      </c>
    </row>
    <row r="326" spans="5:19" x14ac:dyDescent="0.75">
      <c r="E326">
        <v>321</v>
      </c>
      <c r="F326">
        <f t="shared" si="242"/>
        <v>100</v>
      </c>
      <c r="G326">
        <f t="shared" ca="1" si="243"/>
        <v>101.23645277843798</v>
      </c>
      <c r="H326">
        <f t="shared" ca="1" si="243"/>
        <v>101.89077089983405</v>
      </c>
      <c r="I326">
        <f t="shared" ca="1" si="243"/>
        <v>99.538168176549263</v>
      </c>
      <c r="J326">
        <f t="shared" ref="J326:P326" ca="1" si="301">I326*EXP(($C$6-0.5*$C$7^2)*$C$12+$C$7*SQRT($C$12)*NORMINV(RAND(),0,1))</f>
        <v>101.30348291572935</v>
      </c>
      <c r="K326">
        <f t="shared" ca="1" si="301"/>
        <v>95.354667833443528</v>
      </c>
      <c r="L326">
        <f t="shared" ca="1" si="301"/>
        <v>109.58005531198114</v>
      </c>
      <c r="M326">
        <f t="shared" ca="1" si="301"/>
        <v>115.30536597466896</v>
      </c>
      <c r="N326">
        <f t="shared" ca="1" si="301"/>
        <v>114.07740088097339</v>
      </c>
      <c r="O326">
        <f t="shared" ca="1" si="301"/>
        <v>107.83384532729617</v>
      </c>
      <c r="P326">
        <f t="shared" ca="1" si="301"/>
        <v>100.85754606164949</v>
      </c>
      <c r="Q326">
        <f t="shared" ca="1" si="244"/>
        <v>115.30536597466896</v>
      </c>
      <c r="R326">
        <f t="shared" ca="1" si="245"/>
        <v>0</v>
      </c>
      <c r="S326">
        <f t="shared" ca="1" si="246"/>
        <v>0</v>
      </c>
    </row>
    <row r="327" spans="5:19" x14ac:dyDescent="0.75">
      <c r="E327">
        <v>322</v>
      </c>
      <c r="F327">
        <f t="shared" ref="F327:F390" si="302">$C$5</f>
        <v>100</v>
      </c>
      <c r="G327">
        <f t="shared" ref="G327:P390" ca="1" si="303">F327*EXP(($C$6-0.5*$C$7^2)*$C$12+$C$7*SQRT($C$12)*NORMINV(RAND(),0,1))</f>
        <v>96.513151115674532</v>
      </c>
      <c r="H327">
        <f t="shared" ca="1" si="303"/>
        <v>98.414861397910244</v>
      </c>
      <c r="I327">
        <f t="shared" ca="1" si="303"/>
        <v>105.95709519927475</v>
      </c>
      <c r="J327">
        <f t="shared" ca="1" si="303"/>
        <v>103.25960463140477</v>
      </c>
      <c r="K327">
        <f t="shared" ca="1" si="303"/>
        <v>115.4232839794677</v>
      </c>
      <c r="L327">
        <f t="shared" ca="1" si="303"/>
        <v>118.30534832472195</v>
      </c>
      <c r="M327">
        <f t="shared" ca="1" si="303"/>
        <v>116.56356405091083</v>
      </c>
      <c r="N327">
        <f t="shared" ca="1" si="303"/>
        <v>120.83836618732833</v>
      </c>
      <c r="O327">
        <f t="shared" ca="1" si="303"/>
        <v>122.03445305986999</v>
      </c>
      <c r="P327">
        <f t="shared" ca="1" si="303"/>
        <v>128.35781462315961</v>
      </c>
      <c r="Q327">
        <f t="shared" ref="Q327:Q390" ca="1" si="304">MAX(G327:P327)</f>
        <v>128.35781462315961</v>
      </c>
      <c r="R327">
        <f t="shared" ref="R327:R390" ca="1" si="305">IF(Q327&gt;=$C$13,0, MAX(P327-$C$9,0))</f>
        <v>0</v>
      </c>
      <c r="S327">
        <f t="shared" ref="S327:S390" ca="1" si="306">EXP(-$C$6*$C$8)*R327</f>
        <v>0</v>
      </c>
    </row>
    <row r="328" spans="5:19" x14ac:dyDescent="0.75">
      <c r="E328">
        <v>323</v>
      </c>
      <c r="F328">
        <f t="shared" si="302"/>
        <v>100</v>
      </c>
      <c r="G328">
        <f t="shared" ca="1" si="303"/>
        <v>105.31707451596995</v>
      </c>
      <c r="H328">
        <f t="shared" ca="1" si="303"/>
        <v>105.27313085002741</v>
      </c>
      <c r="I328">
        <f t="shared" ca="1" si="303"/>
        <v>103.40679641018846</v>
      </c>
      <c r="J328">
        <f t="shared" ca="1" si="303"/>
        <v>104.85655750922182</v>
      </c>
      <c r="K328">
        <f t="shared" ca="1" si="303"/>
        <v>98.189154069571472</v>
      </c>
      <c r="L328">
        <f t="shared" ca="1" si="303"/>
        <v>104.06494955668974</v>
      </c>
      <c r="M328">
        <f t="shared" ca="1" si="303"/>
        <v>104.66443385447631</v>
      </c>
      <c r="N328">
        <f t="shared" ca="1" si="303"/>
        <v>103.14749815107305</v>
      </c>
      <c r="O328">
        <f t="shared" ca="1" si="303"/>
        <v>107.97195435145593</v>
      </c>
      <c r="P328">
        <f t="shared" ca="1" si="303"/>
        <v>110.12478974911772</v>
      </c>
      <c r="Q328">
        <f t="shared" ca="1" si="304"/>
        <v>110.12478974911772</v>
      </c>
      <c r="R328">
        <f t="shared" ca="1" si="305"/>
        <v>0</v>
      </c>
      <c r="S328">
        <f t="shared" ca="1" si="306"/>
        <v>0</v>
      </c>
    </row>
    <row r="329" spans="5:19" x14ac:dyDescent="0.75">
      <c r="E329">
        <v>324</v>
      </c>
      <c r="F329">
        <f t="shared" si="302"/>
        <v>100</v>
      </c>
      <c r="G329">
        <f t="shared" ca="1" si="303"/>
        <v>96.825496105621482</v>
      </c>
      <c r="H329">
        <f t="shared" ca="1" si="303"/>
        <v>93.925330601706946</v>
      </c>
      <c r="I329">
        <f t="shared" ca="1" si="303"/>
        <v>89.451506690808586</v>
      </c>
      <c r="J329">
        <f t="shared" ca="1" si="303"/>
        <v>93.073260875706282</v>
      </c>
      <c r="K329">
        <f t="shared" ca="1" si="303"/>
        <v>97.749749820772848</v>
      </c>
      <c r="L329">
        <f t="shared" ca="1" si="303"/>
        <v>88.152377561755699</v>
      </c>
      <c r="M329">
        <f t="shared" ca="1" si="303"/>
        <v>92.297593196168435</v>
      </c>
      <c r="N329">
        <f t="shared" ca="1" si="303"/>
        <v>90.182320995514971</v>
      </c>
      <c r="O329">
        <f t="shared" ca="1" si="303"/>
        <v>93.041525952330261</v>
      </c>
      <c r="P329">
        <f t="shared" ca="1" si="303"/>
        <v>94.291039742532348</v>
      </c>
      <c r="Q329">
        <f t="shared" ca="1" si="304"/>
        <v>97.749749820772848</v>
      </c>
      <c r="R329">
        <f t="shared" ca="1" si="305"/>
        <v>0</v>
      </c>
      <c r="S329">
        <f t="shared" ca="1" si="306"/>
        <v>0</v>
      </c>
    </row>
    <row r="330" spans="5:19" x14ac:dyDescent="0.75">
      <c r="E330">
        <v>325</v>
      </c>
      <c r="F330">
        <f t="shared" si="302"/>
        <v>100</v>
      </c>
      <c r="G330">
        <f t="shared" ca="1" si="303"/>
        <v>96.059402594700842</v>
      </c>
      <c r="H330">
        <f t="shared" ca="1" si="303"/>
        <v>93.314877507772849</v>
      </c>
      <c r="I330">
        <f t="shared" ca="1" si="303"/>
        <v>86.311784852653702</v>
      </c>
      <c r="J330">
        <f t="shared" ca="1" si="303"/>
        <v>83.651549624010698</v>
      </c>
      <c r="K330">
        <f t="shared" ca="1" si="303"/>
        <v>83.013367579674281</v>
      </c>
      <c r="L330">
        <f t="shared" ca="1" si="303"/>
        <v>88.280937009376984</v>
      </c>
      <c r="M330">
        <f t="shared" ca="1" si="303"/>
        <v>81.669313425009946</v>
      </c>
      <c r="N330">
        <f t="shared" ca="1" si="303"/>
        <v>83.526560690087209</v>
      </c>
      <c r="O330">
        <f t="shared" ca="1" si="303"/>
        <v>82.41095179784493</v>
      </c>
      <c r="P330">
        <f t="shared" ca="1" si="303"/>
        <v>87.91149013977504</v>
      </c>
      <c r="Q330">
        <f t="shared" ca="1" si="304"/>
        <v>96.059402594700842</v>
      </c>
      <c r="R330">
        <f t="shared" ca="1" si="305"/>
        <v>0</v>
      </c>
      <c r="S330">
        <f t="shared" ca="1" si="306"/>
        <v>0</v>
      </c>
    </row>
    <row r="331" spans="5:19" x14ac:dyDescent="0.75">
      <c r="E331">
        <v>326</v>
      </c>
      <c r="F331">
        <f t="shared" si="302"/>
        <v>100</v>
      </c>
      <c r="G331">
        <f t="shared" ca="1" si="303"/>
        <v>104.09637898571822</v>
      </c>
      <c r="H331">
        <f t="shared" ca="1" si="303"/>
        <v>107.13892900980009</v>
      </c>
      <c r="I331">
        <f t="shared" ca="1" si="303"/>
        <v>114.38776227154312</v>
      </c>
      <c r="J331">
        <f t="shared" ca="1" si="303"/>
        <v>118.91585379469122</v>
      </c>
      <c r="K331">
        <f t="shared" ca="1" si="303"/>
        <v>118.11435545129052</v>
      </c>
      <c r="L331">
        <f t="shared" ca="1" si="303"/>
        <v>131.75113159506395</v>
      </c>
      <c r="M331">
        <f t="shared" ca="1" si="303"/>
        <v>125.45907277669276</v>
      </c>
      <c r="N331">
        <f t="shared" ca="1" si="303"/>
        <v>130.65670676873077</v>
      </c>
      <c r="O331">
        <f t="shared" ca="1" si="303"/>
        <v>133.10523068196616</v>
      </c>
      <c r="P331">
        <f t="shared" ca="1" si="303"/>
        <v>133.50698569325971</v>
      </c>
      <c r="Q331">
        <f t="shared" ca="1" si="304"/>
        <v>133.50698569325971</v>
      </c>
      <c r="R331">
        <f t="shared" ca="1" si="305"/>
        <v>0</v>
      </c>
      <c r="S331">
        <f t="shared" ca="1" si="306"/>
        <v>0</v>
      </c>
    </row>
    <row r="332" spans="5:19" x14ac:dyDescent="0.75">
      <c r="E332">
        <v>327</v>
      </c>
      <c r="F332">
        <f t="shared" si="302"/>
        <v>100</v>
      </c>
      <c r="G332">
        <f t="shared" ca="1" si="303"/>
        <v>96.492631128069803</v>
      </c>
      <c r="H332">
        <f t="shared" ca="1" si="303"/>
        <v>89.896158858123272</v>
      </c>
      <c r="I332">
        <f t="shared" ca="1" si="303"/>
        <v>98.030670763901568</v>
      </c>
      <c r="J332">
        <f t="shared" ca="1" si="303"/>
        <v>105.35371736191586</v>
      </c>
      <c r="K332">
        <f t="shared" ca="1" si="303"/>
        <v>114.33792906641639</v>
      </c>
      <c r="L332">
        <f t="shared" ca="1" si="303"/>
        <v>113.80111649352011</v>
      </c>
      <c r="M332">
        <f t="shared" ca="1" si="303"/>
        <v>108.90734091576807</v>
      </c>
      <c r="N332">
        <f t="shared" ca="1" si="303"/>
        <v>112.87366458834366</v>
      </c>
      <c r="O332">
        <f t="shared" ca="1" si="303"/>
        <v>111.51849494655596</v>
      </c>
      <c r="P332">
        <f t="shared" ca="1" si="303"/>
        <v>108.88347291260536</v>
      </c>
      <c r="Q332">
        <f t="shared" ca="1" si="304"/>
        <v>114.33792906641639</v>
      </c>
      <c r="R332">
        <f t="shared" ca="1" si="305"/>
        <v>0</v>
      </c>
      <c r="S332">
        <f t="shared" ca="1" si="306"/>
        <v>0</v>
      </c>
    </row>
    <row r="333" spans="5:19" x14ac:dyDescent="0.75">
      <c r="E333">
        <v>328</v>
      </c>
      <c r="F333">
        <f t="shared" si="302"/>
        <v>100</v>
      </c>
      <c r="G333">
        <f t="shared" ca="1" si="303"/>
        <v>95.494013878566903</v>
      </c>
      <c r="H333">
        <f t="shared" ca="1" si="303"/>
        <v>94.581264217840797</v>
      </c>
      <c r="I333">
        <f t="shared" ca="1" si="303"/>
        <v>104.54964656615311</v>
      </c>
      <c r="J333">
        <f t="shared" ca="1" si="303"/>
        <v>104.81245154379674</v>
      </c>
      <c r="K333">
        <f t="shared" ca="1" si="303"/>
        <v>106.00897786985082</v>
      </c>
      <c r="L333">
        <f t="shared" ca="1" si="303"/>
        <v>109.46349879660012</v>
      </c>
      <c r="M333">
        <f t="shared" ca="1" si="303"/>
        <v>114.25788430771603</v>
      </c>
      <c r="N333">
        <f t="shared" ca="1" si="303"/>
        <v>106.41070571626396</v>
      </c>
      <c r="O333">
        <f t="shared" ca="1" si="303"/>
        <v>110.71772539236743</v>
      </c>
      <c r="P333">
        <f t="shared" ca="1" si="303"/>
        <v>112.10691401287662</v>
      </c>
      <c r="Q333">
        <f t="shared" ca="1" si="304"/>
        <v>114.25788430771603</v>
      </c>
      <c r="R333">
        <f t="shared" ca="1" si="305"/>
        <v>0</v>
      </c>
      <c r="S333">
        <f t="shared" ca="1" si="306"/>
        <v>0</v>
      </c>
    </row>
    <row r="334" spans="5:19" x14ac:dyDescent="0.75">
      <c r="E334">
        <v>329</v>
      </c>
      <c r="F334">
        <f t="shared" si="302"/>
        <v>100</v>
      </c>
      <c r="G334">
        <f t="shared" ca="1" si="303"/>
        <v>97.115321068098353</v>
      </c>
      <c r="H334">
        <f t="shared" ca="1" si="303"/>
        <v>100.76595549046567</v>
      </c>
      <c r="I334">
        <f t="shared" ca="1" si="303"/>
        <v>99.343307454992285</v>
      </c>
      <c r="J334">
        <f t="shared" ca="1" si="303"/>
        <v>94.595518481223294</v>
      </c>
      <c r="K334">
        <f t="shared" ca="1" si="303"/>
        <v>102.8770106969895</v>
      </c>
      <c r="L334">
        <f t="shared" ca="1" si="303"/>
        <v>101.29653332817691</v>
      </c>
      <c r="M334">
        <f t="shared" ca="1" si="303"/>
        <v>97.958257295032269</v>
      </c>
      <c r="N334">
        <f t="shared" ca="1" si="303"/>
        <v>94.496256489796949</v>
      </c>
      <c r="O334">
        <f t="shared" ca="1" si="303"/>
        <v>97.882557024202583</v>
      </c>
      <c r="P334">
        <f t="shared" ca="1" si="303"/>
        <v>101.47636286819147</v>
      </c>
      <c r="Q334">
        <f t="shared" ca="1" si="304"/>
        <v>102.8770106969895</v>
      </c>
      <c r="R334">
        <f t="shared" ca="1" si="305"/>
        <v>0</v>
      </c>
      <c r="S334">
        <f t="shared" ca="1" si="306"/>
        <v>0</v>
      </c>
    </row>
    <row r="335" spans="5:19" x14ac:dyDescent="0.75">
      <c r="E335">
        <v>330</v>
      </c>
      <c r="F335">
        <f t="shared" si="302"/>
        <v>100</v>
      </c>
      <c r="G335">
        <f t="shared" ca="1" si="303"/>
        <v>112.65751120800564</v>
      </c>
      <c r="H335">
        <f t="shared" ca="1" si="303"/>
        <v>119.3735740116403</v>
      </c>
      <c r="I335">
        <f t="shared" ca="1" si="303"/>
        <v>117.20143910475112</v>
      </c>
      <c r="J335">
        <f t="shared" ca="1" si="303"/>
        <v>137.09686785336464</v>
      </c>
      <c r="K335">
        <f t="shared" ca="1" si="303"/>
        <v>150.80219640944779</v>
      </c>
      <c r="L335">
        <f t="shared" ca="1" si="303"/>
        <v>154.44880273806811</v>
      </c>
      <c r="M335">
        <f t="shared" ca="1" si="303"/>
        <v>157.49098243761696</v>
      </c>
      <c r="N335">
        <f t="shared" ca="1" si="303"/>
        <v>166.87462062220675</v>
      </c>
      <c r="O335">
        <f t="shared" ca="1" si="303"/>
        <v>168.75287467629315</v>
      </c>
      <c r="P335">
        <f t="shared" ca="1" si="303"/>
        <v>180.28597970101595</v>
      </c>
      <c r="Q335">
        <f t="shared" ca="1" si="304"/>
        <v>180.28597970101595</v>
      </c>
      <c r="R335">
        <f t="shared" ca="1" si="305"/>
        <v>0</v>
      </c>
      <c r="S335">
        <f t="shared" ca="1" si="306"/>
        <v>0</v>
      </c>
    </row>
    <row r="336" spans="5:19" x14ac:dyDescent="0.75">
      <c r="E336">
        <v>331</v>
      </c>
      <c r="F336">
        <f t="shared" si="302"/>
        <v>100</v>
      </c>
      <c r="G336">
        <f t="shared" ca="1" si="303"/>
        <v>97.995969452673833</v>
      </c>
      <c r="H336">
        <f t="shared" ca="1" si="303"/>
        <v>101.46036664149337</v>
      </c>
      <c r="I336">
        <f t="shared" ca="1" si="303"/>
        <v>95.460172073040297</v>
      </c>
      <c r="J336">
        <f t="shared" ref="J336:P336" ca="1" si="307">I336*EXP(($C$6-0.5*$C$7^2)*$C$12+$C$7*SQRT($C$12)*NORMINV(RAND(),0,1))</f>
        <v>89.563334854041017</v>
      </c>
      <c r="K336">
        <f t="shared" ca="1" si="307"/>
        <v>95.540983479264384</v>
      </c>
      <c r="L336">
        <f t="shared" ca="1" si="307"/>
        <v>96.290939914824378</v>
      </c>
      <c r="M336">
        <f t="shared" ca="1" si="307"/>
        <v>96.137687626497382</v>
      </c>
      <c r="N336">
        <f t="shared" ca="1" si="307"/>
        <v>100.37256289233326</v>
      </c>
      <c r="O336">
        <f t="shared" ca="1" si="307"/>
        <v>87.331277970715547</v>
      </c>
      <c r="P336">
        <f t="shared" ca="1" si="307"/>
        <v>92.834819541204126</v>
      </c>
      <c r="Q336">
        <f t="shared" ca="1" si="304"/>
        <v>101.46036664149337</v>
      </c>
      <c r="R336">
        <f t="shared" ca="1" si="305"/>
        <v>0</v>
      </c>
      <c r="S336">
        <f t="shared" ca="1" si="306"/>
        <v>0</v>
      </c>
    </row>
    <row r="337" spans="5:19" x14ac:dyDescent="0.75">
      <c r="E337">
        <v>332</v>
      </c>
      <c r="F337">
        <f t="shared" si="302"/>
        <v>100</v>
      </c>
      <c r="G337">
        <f t="shared" ca="1" si="303"/>
        <v>100.49927578973291</v>
      </c>
      <c r="H337">
        <f t="shared" ca="1" si="303"/>
        <v>104.34111605251424</v>
      </c>
      <c r="I337">
        <f t="shared" ca="1" si="303"/>
        <v>101.21964174322504</v>
      </c>
      <c r="J337">
        <f t="shared" ref="J337:P337" ca="1" si="308">I337*EXP(($C$6-0.5*$C$7^2)*$C$12+$C$7*SQRT($C$12)*NORMINV(RAND(),0,1))</f>
        <v>99.167232811732219</v>
      </c>
      <c r="K337">
        <f t="shared" ca="1" si="308"/>
        <v>94.713300898935429</v>
      </c>
      <c r="L337">
        <f t="shared" ca="1" si="308"/>
        <v>103.80081008716039</v>
      </c>
      <c r="M337">
        <f t="shared" ca="1" si="308"/>
        <v>103.00659907421084</v>
      </c>
      <c r="N337">
        <f t="shared" ca="1" si="308"/>
        <v>104.63952190357047</v>
      </c>
      <c r="O337">
        <f t="shared" ca="1" si="308"/>
        <v>100.64087159355914</v>
      </c>
      <c r="P337">
        <f t="shared" ca="1" si="308"/>
        <v>106.65741843651676</v>
      </c>
      <c r="Q337">
        <f t="shared" ca="1" si="304"/>
        <v>106.65741843651676</v>
      </c>
      <c r="R337">
        <f t="shared" ca="1" si="305"/>
        <v>4.6574184365167639</v>
      </c>
      <c r="S337">
        <f t="shared" ca="1" si="306"/>
        <v>4.542426365598299</v>
      </c>
    </row>
    <row r="338" spans="5:19" x14ac:dyDescent="0.75">
      <c r="E338">
        <v>333</v>
      </c>
      <c r="F338">
        <f t="shared" si="302"/>
        <v>100</v>
      </c>
      <c r="G338">
        <f t="shared" ca="1" si="303"/>
        <v>98.973354662222718</v>
      </c>
      <c r="H338">
        <f t="shared" ca="1" si="303"/>
        <v>96.106209036098988</v>
      </c>
      <c r="I338">
        <f t="shared" ca="1" si="303"/>
        <v>92.192949512242578</v>
      </c>
      <c r="J338">
        <f t="shared" ref="J338:P338" ca="1" si="309">I338*EXP(($C$6-0.5*$C$7^2)*$C$12+$C$7*SQRT($C$12)*NORMINV(RAND(),0,1))</f>
        <v>92.216214680420123</v>
      </c>
      <c r="K338">
        <f t="shared" ca="1" si="309"/>
        <v>95.950654679496353</v>
      </c>
      <c r="L338">
        <f t="shared" ca="1" si="309"/>
        <v>95.744366816460527</v>
      </c>
      <c r="M338">
        <f t="shared" ca="1" si="309"/>
        <v>99.732124388067035</v>
      </c>
      <c r="N338">
        <f t="shared" ca="1" si="309"/>
        <v>100.01728486669963</v>
      </c>
      <c r="O338">
        <f t="shared" ca="1" si="309"/>
        <v>103.38686353302585</v>
      </c>
      <c r="P338">
        <f t="shared" ca="1" si="309"/>
        <v>104.63521951737825</v>
      </c>
      <c r="Q338">
        <f t="shared" ca="1" si="304"/>
        <v>104.63521951737825</v>
      </c>
      <c r="R338">
        <f t="shared" ca="1" si="305"/>
        <v>2.6352195173782462</v>
      </c>
      <c r="S338">
        <f t="shared" ca="1" si="306"/>
        <v>2.5701557156695225</v>
      </c>
    </row>
    <row r="339" spans="5:19" x14ac:dyDescent="0.75">
      <c r="E339">
        <v>334</v>
      </c>
      <c r="F339">
        <f t="shared" si="302"/>
        <v>100</v>
      </c>
      <c r="G339">
        <f t="shared" ca="1" si="303"/>
        <v>109.371169936504</v>
      </c>
      <c r="H339">
        <f t="shared" ca="1" si="303"/>
        <v>114.90149115001169</v>
      </c>
      <c r="I339">
        <f t="shared" ca="1" si="303"/>
        <v>115.85441273947745</v>
      </c>
      <c r="J339">
        <f t="shared" ref="J339:P339" ca="1" si="310">I339*EXP(($C$6-0.5*$C$7^2)*$C$12+$C$7*SQRT($C$12)*NORMINV(RAND(),0,1))</f>
        <v>114.13410281166453</v>
      </c>
      <c r="K339">
        <f t="shared" ca="1" si="310"/>
        <v>116.78475534870805</v>
      </c>
      <c r="L339">
        <f t="shared" ca="1" si="310"/>
        <v>118.7425779742906</v>
      </c>
      <c r="M339">
        <f t="shared" ca="1" si="310"/>
        <v>110.40242214827435</v>
      </c>
      <c r="N339">
        <f t="shared" ca="1" si="310"/>
        <v>103.51779354093387</v>
      </c>
      <c r="O339">
        <f t="shared" ca="1" si="310"/>
        <v>97.559683964556314</v>
      </c>
      <c r="P339">
        <f t="shared" ca="1" si="310"/>
        <v>101.55332592787468</v>
      </c>
      <c r="Q339">
        <f t="shared" ca="1" si="304"/>
        <v>118.7425779742906</v>
      </c>
      <c r="R339">
        <f t="shared" ca="1" si="305"/>
        <v>0</v>
      </c>
      <c r="S339">
        <f t="shared" ca="1" si="306"/>
        <v>0</v>
      </c>
    </row>
    <row r="340" spans="5:19" x14ac:dyDescent="0.75">
      <c r="E340">
        <v>335</v>
      </c>
      <c r="F340">
        <f t="shared" si="302"/>
        <v>100</v>
      </c>
      <c r="G340">
        <f t="shared" ca="1" si="303"/>
        <v>100.19475781006406</v>
      </c>
      <c r="H340">
        <f t="shared" ca="1" si="303"/>
        <v>104.38011855403755</v>
      </c>
      <c r="I340">
        <f t="shared" ca="1" si="303"/>
        <v>97.186359880249228</v>
      </c>
      <c r="J340">
        <f t="shared" ref="J340:P340" ca="1" si="311">I340*EXP(($C$6-0.5*$C$7^2)*$C$12+$C$7*SQRT($C$12)*NORMINV(RAND(),0,1))</f>
        <v>100.01456013495348</v>
      </c>
      <c r="K340">
        <f t="shared" ca="1" si="311"/>
        <v>93.762930645662195</v>
      </c>
      <c r="L340">
        <f t="shared" ca="1" si="311"/>
        <v>95.754029385902086</v>
      </c>
      <c r="M340">
        <f t="shared" ca="1" si="311"/>
        <v>94.055739837556644</v>
      </c>
      <c r="N340">
        <f t="shared" ca="1" si="311"/>
        <v>91.18265189539504</v>
      </c>
      <c r="O340">
        <f t="shared" ca="1" si="311"/>
        <v>96.520383909012168</v>
      </c>
      <c r="P340">
        <f t="shared" ca="1" si="311"/>
        <v>97.349532800662161</v>
      </c>
      <c r="Q340">
        <f t="shared" ca="1" si="304"/>
        <v>104.38011855403755</v>
      </c>
      <c r="R340">
        <f t="shared" ca="1" si="305"/>
        <v>0</v>
      </c>
      <c r="S340">
        <f t="shared" ca="1" si="306"/>
        <v>0</v>
      </c>
    </row>
    <row r="341" spans="5:19" x14ac:dyDescent="0.75">
      <c r="E341">
        <v>336</v>
      </c>
      <c r="F341">
        <f t="shared" si="302"/>
        <v>100</v>
      </c>
      <c r="G341">
        <f t="shared" ca="1" si="303"/>
        <v>92.766921103800627</v>
      </c>
      <c r="H341">
        <f t="shared" ca="1" si="303"/>
        <v>92.950669254293629</v>
      </c>
      <c r="I341">
        <f t="shared" ca="1" si="303"/>
        <v>98.623475184049937</v>
      </c>
      <c r="J341">
        <f t="shared" ref="J341:P341" ca="1" si="312">I341*EXP(($C$6-0.5*$C$7^2)*$C$12+$C$7*SQRT($C$12)*NORMINV(RAND(),0,1))</f>
        <v>98.445674879122365</v>
      </c>
      <c r="K341">
        <f t="shared" ca="1" si="312"/>
        <v>100.8302866781668</v>
      </c>
      <c r="L341">
        <f t="shared" ca="1" si="312"/>
        <v>96.004541131057366</v>
      </c>
      <c r="M341">
        <f t="shared" ca="1" si="312"/>
        <v>99.618481995598415</v>
      </c>
      <c r="N341">
        <f t="shared" ca="1" si="312"/>
        <v>99.144862798915099</v>
      </c>
      <c r="O341">
        <f t="shared" ca="1" si="312"/>
        <v>98.599423151600092</v>
      </c>
      <c r="P341">
        <f t="shared" ca="1" si="312"/>
        <v>95.666264819539634</v>
      </c>
      <c r="Q341">
        <f t="shared" ca="1" si="304"/>
        <v>100.8302866781668</v>
      </c>
      <c r="R341">
        <f t="shared" ca="1" si="305"/>
        <v>0</v>
      </c>
      <c r="S341">
        <f t="shared" ca="1" si="306"/>
        <v>0</v>
      </c>
    </row>
    <row r="342" spans="5:19" x14ac:dyDescent="0.75">
      <c r="E342">
        <v>337</v>
      </c>
      <c r="F342">
        <f t="shared" si="302"/>
        <v>100</v>
      </c>
      <c r="G342">
        <f t="shared" ca="1" si="303"/>
        <v>103.05661157944945</v>
      </c>
      <c r="H342">
        <f t="shared" ca="1" si="303"/>
        <v>100.0669988990368</v>
      </c>
      <c r="I342">
        <f t="shared" ca="1" si="303"/>
        <v>98.985524308886653</v>
      </c>
      <c r="J342">
        <f t="shared" ref="J342:P342" ca="1" si="313">I342*EXP(($C$6-0.5*$C$7^2)*$C$12+$C$7*SQRT($C$12)*NORMINV(RAND(),0,1))</f>
        <v>99.295091379496881</v>
      </c>
      <c r="K342">
        <f t="shared" ca="1" si="313"/>
        <v>101.74098054263622</v>
      </c>
      <c r="L342">
        <f t="shared" ca="1" si="313"/>
        <v>96.603994598694811</v>
      </c>
      <c r="M342">
        <f t="shared" ca="1" si="313"/>
        <v>99.122720427730314</v>
      </c>
      <c r="N342">
        <f t="shared" ca="1" si="313"/>
        <v>96.252369886342052</v>
      </c>
      <c r="O342">
        <f t="shared" ca="1" si="313"/>
        <v>91.13314087038674</v>
      </c>
      <c r="P342">
        <f t="shared" ca="1" si="313"/>
        <v>89.51468321893806</v>
      </c>
      <c r="Q342">
        <f t="shared" ca="1" si="304"/>
        <v>103.05661157944945</v>
      </c>
      <c r="R342">
        <f t="shared" ca="1" si="305"/>
        <v>0</v>
      </c>
      <c r="S342">
        <f t="shared" ca="1" si="306"/>
        <v>0</v>
      </c>
    </row>
    <row r="343" spans="5:19" x14ac:dyDescent="0.75">
      <c r="E343">
        <v>338</v>
      </c>
      <c r="F343">
        <f t="shared" si="302"/>
        <v>100</v>
      </c>
      <c r="G343">
        <f t="shared" ca="1" si="303"/>
        <v>96.60239984504797</v>
      </c>
      <c r="H343">
        <f t="shared" ca="1" si="303"/>
        <v>95.781490093881544</v>
      </c>
      <c r="I343">
        <f t="shared" ca="1" si="303"/>
        <v>100.15593826594603</v>
      </c>
      <c r="J343">
        <f t="shared" ref="J343:P343" ca="1" si="314">I343*EXP(($C$6-0.5*$C$7^2)*$C$12+$C$7*SQRT($C$12)*NORMINV(RAND(),0,1))</f>
        <v>102.62795158256208</v>
      </c>
      <c r="K343">
        <f t="shared" ca="1" si="314"/>
        <v>103.79790963447518</v>
      </c>
      <c r="L343">
        <f t="shared" ca="1" si="314"/>
        <v>98.01517848659158</v>
      </c>
      <c r="M343">
        <f t="shared" ca="1" si="314"/>
        <v>91.030940686675279</v>
      </c>
      <c r="N343">
        <f t="shared" ca="1" si="314"/>
        <v>86.634852284369501</v>
      </c>
      <c r="O343">
        <f t="shared" ca="1" si="314"/>
        <v>88.154733460404756</v>
      </c>
      <c r="P343">
        <f t="shared" ca="1" si="314"/>
        <v>90.13927188120779</v>
      </c>
      <c r="Q343">
        <f t="shared" ca="1" si="304"/>
        <v>103.79790963447518</v>
      </c>
      <c r="R343">
        <f t="shared" ca="1" si="305"/>
        <v>0</v>
      </c>
      <c r="S343">
        <f t="shared" ca="1" si="306"/>
        <v>0</v>
      </c>
    </row>
    <row r="344" spans="5:19" x14ac:dyDescent="0.75">
      <c r="E344">
        <v>339</v>
      </c>
      <c r="F344">
        <f t="shared" si="302"/>
        <v>100</v>
      </c>
      <c r="G344">
        <f t="shared" ca="1" si="303"/>
        <v>106.14157990707946</v>
      </c>
      <c r="H344">
        <f t="shared" ca="1" si="303"/>
        <v>104.89956773912641</v>
      </c>
      <c r="I344">
        <f t="shared" ca="1" si="303"/>
        <v>110.35985365435506</v>
      </c>
      <c r="J344">
        <f t="shared" ref="J344:P344" ca="1" si="315">I344*EXP(($C$6-0.5*$C$7^2)*$C$12+$C$7*SQRT($C$12)*NORMINV(RAND(),0,1))</f>
        <v>98.132275896734569</v>
      </c>
      <c r="K344">
        <f t="shared" ca="1" si="315"/>
        <v>95.916843166841488</v>
      </c>
      <c r="L344">
        <f t="shared" ca="1" si="315"/>
        <v>96.994302690684009</v>
      </c>
      <c r="M344">
        <f t="shared" ca="1" si="315"/>
        <v>100.63600839997697</v>
      </c>
      <c r="N344">
        <f t="shared" ca="1" si="315"/>
        <v>104.20608125686419</v>
      </c>
      <c r="O344">
        <f t="shared" ca="1" si="315"/>
        <v>105.78111724673511</v>
      </c>
      <c r="P344">
        <f t="shared" ca="1" si="315"/>
        <v>103.68830436527956</v>
      </c>
      <c r="Q344">
        <f t="shared" ca="1" si="304"/>
        <v>110.35985365435506</v>
      </c>
      <c r="R344">
        <f t="shared" ca="1" si="305"/>
        <v>0</v>
      </c>
      <c r="S344">
        <f t="shared" ca="1" si="306"/>
        <v>0</v>
      </c>
    </row>
    <row r="345" spans="5:19" x14ac:dyDescent="0.75">
      <c r="E345">
        <v>340</v>
      </c>
      <c r="F345">
        <f t="shared" si="302"/>
        <v>100</v>
      </c>
      <c r="G345">
        <f t="shared" ca="1" si="303"/>
        <v>100.72922168597486</v>
      </c>
      <c r="H345">
        <f t="shared" ca="1" si="303"/>
        <v>100.78084984956256</v>
      </c>
      <c r="I345">
        <f t="shared" ca="1" si="303"/>
        <v>106.26061457683204</v>
      </c>
      <c r="J345">
        <f t="shared" ref="J345:P345" ca="1" si="316">I345*EXP(($C$6-0.5*$C$7^2)*$C$12+$C$7*SQRT($C$12)*NORMINV(RAND(),0,1))</f>
        <v>103.10142170494912</v>
      </c>
      <c r="K345">
        <f t="shared" ca="1" si="316"/>
        <v>101.20900191312913</v>
      </c>
      <c r="L345">
        <f t="shared" ca="1" si="316"/>
        <v>102.62153806522886</v>
      </c>
      <c r="M345">
        <f t="shared" ca="1" si="316"/>
        <v>99.881191246592124</v>
      </c>
      <c r="N345">
        <f t="shared" ca="1" si="316"/>
        <v>96.331467521135849</v>
      </c>
      <c r="O345">
        <f t="shared" ca="1" si="316"/>
        <v>92.559763990366392</v>
      </c>
      <c r="P345">
        <f t="shared" ca="1" si="316"/>
        <v>104.97238221086427</v>
      </c>
      <c r="Q345">
        <f t="shared" ca="1" si="304"/>
        <v>106.26061457683204</v>
      </c>
      <c r="R345">
        <f t="shared" ca="1" si="305"/>
        <v>2.9723822108642679</v>
      </c>
      <c r="S345">
        <f t="shared" ca="1" si="306"/>
        <v>2.8989938325926099</v>
      </c>
    </row>
    <row r="346" spans="5:19" x14ac:dyDescent="0.75">
      <c r="E346">
        <v>341</v>
      </c>
      <c r="F346">
        <f t="shared" si="302"/>
        <v>100</v>
      </c>
      <c r="G346">
        <f t="shared" ca="1" si="303"/>
        <v>99.359401385901037</v>
      </c>
      <c r="H346">
        <f t="shared" ca="1" si="303"/>
        <v>92.675928286933924</v>
      </c>
      <c r="I346">
        <f t="shared" ca="1" si="303"/>
        <v>89.497931242609326</v>
      </c>
      <c r="J346">
        <f t="shared" ref="J346:P346" ca="1" si="317">I346*EXP(($C$6-0.5*$C$7^2)*$C$12+$C$7*SQRT($C$12)*NORMINV(RAND(),0,1))</f>
        <v>89.487792044030769</v>
      </c>
      <c r="K346">
        <f t="shared" ca="1" si="317"/>
        <v>94.115444902439648</v>
      </c>
      <c r="L346">
        <f t="shared" ca="1" si="317"/>
        <v>93.081109250295853</v>
      </c>
      <c r="M346">
        <f t="shared" ca="1" si="317"/>
        <v>89.009978785303446</v>
      </c>
      <c r="N346">
        <f t="shared" ca="1" si="317"/>
        <v>83.472562174502571</v>
      </c>
      <c r="O346">
        <f t="shared" ca="1" si="317"/>
        <v>88.971242805487492</v>
      </c>
      <c r="P346">
        <f t="shared" ca="1" si="317"/>
        <v>83.698315626242717</v>
      </c>
      <c r="Q346">
        <f t="shared" ca="1" si="304"/>
        <v>99.359401385901037</v>
      </c>
      <c r="R346">
        <f t="shared" ca="1" si="305"/>
        <v>0</v>
      </c>
      <c r="S346">
        <f t="shared" ca="1" si="306"/>
        <v>0</v>
      </c>
    </row>
    <row r="347" spans="5:19" x14ac:dyDescent="0.75">
      <c r="E347">
        <v>342</v>
      </c>
      <c r="F347">
        <f t="shared" si="302"/>
        <v>100</v>
      </c>
      <c r="G347">
        <f t="shared" ca="1" si="303"/>
        <v>95.811413448257881</v>
      </c>
      <c r="H347">
        <f t="shared" ca="1" si="303"/>
        <v>97.810413855616247</v>
      </c>
      <c r="I347">
        <f t="shared" ca="1" si="303"/>
        <v>90.800900756383612</v>
      </c>
      <c r="J347">
        <f t="shared" ref="J347:P347" ca="1" si="318">I347*EXP(($C$6-0.5*$C$7^2)*$C$12+$C$7*SQRT($C$12)*NORMINV(RAND(),0,1))</f>
        <v>85.250705171452111</v>
      </c>
      <c r="K347">
        <f t="shared" ca="1" si="318"/>
        <v>84.938760640784736</v>
      </c>
      <c r="L347">
        <f t="shared" ca="1" si="318"/>
        <v>86.038889623335663</v>
      </c>
      <c r="M347">
        <f t="shared" ca="1" si="318"/>
        <v>84.821034375282125</v>
      </c>
      <c r="N347">
        <f t="shared" ca="1" si="318"/>
        <v>80.507833444432023</v>
      </c>
      <c r="O347">
        <f t="shared" ca="1" si="318"/>
        <v>79.146760648141921</v>
      </c>
      <c r="P347">
        <f t="shared" ca="1" si="318"/>
        <v>79.480532120352763</v>
      </c>
      <c r="Q347">
        <f t="shared" ca="1" si="304"/>
        <v>97.810413855616247</v>
      </c>
      <c r="R347">
        <f t="shared" ca="1" si="305"/>
        <v>0</v>
      </c>
      <c r="S347">
        <f t="shared" ca="1" si="306"/>
        <v>0</v>
      </c>
    </row>
    <row r="348" spans="5:19" x14ac:dyDescent="0.75">
      <c r="E348">
        <v>343</v>
      </c>
      <c r="F348">
        <f t="shared" si="302"/>
        <v>100</v>
      </c>
      <c r="G348">
        <f t="shared" ca="1" si="303"/>
        <v>96.344506496262582</v>
      </c>
      <c r="H348">
        <f t="shared" ca="1" si="303"/>
        <v>93.439603948463684</v>
      </c>
      <c r="I348">
        <f t="shared" ca="1" si="303"/>
        <v>90.786981891961673</v>
      </c>
      <c r="J348">
        <f t="shared" ref="J348:P348" ca="1" si="319">I348*EXP(($C$6-0.5*$C$7^2)*$C$12+$C$7*SQRT($C$12)*NORMINV(RAND(),0,1))</f>
        <v>93.115985897361085</v>
      </c>
      <c r="K348">
        <f t="shared" ca="1" si="319"/>
        <v>105.46347723601478</v>
      </c>
      <c r="L348">
        <f t="shared" ca="1" si="319"/>
        <v>105.47126252052844</v>
      </c>
      <c r="M348">
        <f t="shared" ca="1" si="319"/>
        <v>107.52874593685168</v>
      </c>
      <c r="N348">
        <f t="shared" ca="1" si="319"/>
        <v>113.63364527202748</v>
      </c>
      <c r="O348">
        <f t="shared" ca="1" si="319"/>
        <v>119.80840075856673</v>
      </c>
      <c r="P348">
        <f t="shared" ca="1" si="319"/>
        <v>120.35004504686147</v>
      </c>
      <c r="Q348">
        <f t="shared" ca="1" si="304"/>
        <v>120.35004504686147</v>
      </c>
      <c r="R348">
        <f t="shared" ca="1" si="305"/>
        <v>0</v>
      </c>
      <c r="S348">
        <f t="shared" ca="1" si="306"/>
        <v>0</v>
      </c>
    </row>
    <row r="349" spans="5:19" x14ac:dyDescent="0.75">
      <c r="E349">
        <v>344</v>
      </c>
      <c r="F349">
        <f t="shared" si="302"/>
        <v>100</v>
      </c>
      <c r="G349">
        <f t="shared" ca="1" si="303"/>
        <v>98.670495571865146</v>
      </c>
      <c r="H349">
        <f t="shared" ca="1" si="303"/>
        <v>101.86566509236951</v>
      </c>
      <c r="I349">
        <f t="shared" ca="1" si="303"/>
        <v>96.107923240109415</v>
      </c>
      <c r="J349">
        <f t="shared" ref="J349:P349" ca="1" si="320">I349*EXP(($C$6-0.5*$C$7^2)*$C$12+$C$7*SQRT($C$12)*NORMINV(RAND(),0,1))</f>
        <v>95.492467329022091</v>
      </c>
      <c r="K349">
        <f t="shared" ca="1" si="320"/>
        <v>97.453261743115974</v>
      </c>
      <c r="L349">
        <f t="shared" ca="1" si="320"/>
        <v>100.7517004858378</v>
      </c>
      <c r="M349">
        <f t="shared" ca="1" si="320"/>
        <v>96.92849982065664</v>
      </c>
      <c r="N349">
        <f t="shared" ca="1" si="320"/>
        <v>93.908507156417457</v>
      </c>
      <c r="O349">
        <f t="shared" ca="1" si="320"/>
        <v>88.818115600103113</v>
      </c>
      <c r="P349">
        <f t="shared" ca="1" si="320"/>
        <v>90.556264738675608</v>
      </c>
      <c r="Q349">
        <f t="shared" ca="1" si="304"/>
        <v>101.86566509236951</v>
      </c>
      <c r="R349">
        <f t="shared" ca="1" si="305"/>
        <v>0</v>
      </c>
      <c r="S349">
        <f t="shared" ca="1" si="306"/>
        <v>0</v>
      </c>
    </row>
    <row r="350" spans="5:19" x14ac:dyDescent="0.75">
      <c r="E350">
        <v>345</v>
      </c>
      <c r="F350">
        <f t="shared" si="302"/>
        <v>100</v>
      </c>
      <c r="G350">
        <f t="shared" ca="1" si="303"/>
        <v>98.537851993461274</v>
      </c>
      <c r="H350">
        <f t="shared" ca="1" si="303"/>
        <v>97.312760786055605</v>
      </c>
      <c r="I350">
        <f t="shared" ca="1" si="303"/>
        <v>93.35965500068545</v>
      </c>
      <c r="J350">
        <f t="shared" ref="J350:P350" ca="1" si="321">I350*EXP(($C$6-0.5*$C$7^2)*$C$12+$C$7*SQRT($C$12)*NORMINV(RAND(),0,1))</f>
        <v>96.614007620270655</v>
      </c>
      <c r="K350">
        <f t="shared" ca="1" si="321"/>
        <v>95.922969946148854</v>
      </c>
      <c r="L350">
        <f t="shared" ca="1" si="321"/>
        <v>95.569939190897756</v>
      </c>
      <c r="M350">
        <f t="shared" ca="1" si="321"/>
        <v>95.544249209959958</v>
      </c>
      <c r="N350">
        <f t="shared" ca="1" si="321"/>
        <v>90.303838477618044</v>
      </c>
      <c r="O350">
        <f t="shared" ca="1" si="321"/>
        <v>95.028840305308393</v>
      </c>
      <c r="P350">
        <f t="shared" ca="1" si="321"/>
        <v>100.6913591916247</v>
      </c>
      <c r="Q350">
        <f t="shared" ca="1" si="304"/>
        <v>100.6913591916247</v>
      </c>
      <c r="R350">
        <f t="shared" ca="1" si="305"/>
        <v>0</v>
      </c>
      <c r="S350">
        <f t="shared" ca="1" si="306"/>
        <v>0</v>
      </c>
    </row>
    <row r="351" spans="5:19" x14ac:dyDescent="0.75">
      <c r="E351">
        <v>346</v>
      </c>
      <c r="F351">
        <f t="shared" si="302"/>
        <v>100</v>
      </c>
      <c r="G351">
        <f t="shared" ca="1" si="303"/>
        <v>103.6776207950715</v>
      </c>
      <c r="H351">
        <f t="shared" ca="1" si="303"/>
        <v>111.07765021555568</v>
      </c>
      <c r="I351">
        <f t="shared" ca="1" si="303"/>
        <v>121.98445481881913</v>
      </c>
      <c r="J351">
        <f t="shared" ref="J351:P351" ca="1" si="322">I351*EXP(($C$6-0.5*$C$7^2)*$C$12+$C$7*SQRT($C$12)*NORMINV(RAND(),0,1))</f>
        <v>113.95422270443171</v>
      </c>
      <c r="K351">
        <f t="shared" ca="1" si="322"/>
        <v>125.03041105499585</v>
      </c>
      <c r="L351">
        <f t="shared" ca="1" si="322"/>
        <v>131.39072845870368</v>
      </c>
      <c r="M351">
        <f t="shared" ca="1" si="322"/>
        <v>121.46594488305296</v>
      </c>
      <c r="N351">
        <f t="shared" ca="1" si="322"/>
        <v>118.85366062152652</v>
      </c>
      <c r="O351">
        <f t="shared" ca="1" si="322"/>
        <v>126.13734726102464</v>
      </c>
      <c r="P351">
        <f t="shared" ca="1" si="322"/>
        <v>129.21712234835712</v>
      </c>
      <c r="Q351">
        <f t="shared" ca="1" si="304"/>
        <v>131.39072845870368</v>
      </c>
      <c r="R351">
        <f t="shared" ca="1" si="305"/>
        <v>0</v>
      </c>
      <c r="S351">
        <f t="shared" ca="1" si="306"/>
        <v>0</v>
      </c>
    </row>
    <row r="352" spans="5:19" x14ac:dyDescent="0.75">
      <c r="E352">
        <v>347</v>
      </c>
      <c r="F352">
        <f t="shared" si="302"/>
        <v>100</v>
      </c>
      <c r="G352">
        <f t="shared" ca="1" si="303"/>
        <v>96.962207824833257</v>
      </c>
      <c r="H352">
        <f t="shared" ca="1" si="303"/>
        <v>96.238635752197638</v>
      </c>
      <c r="I352">
        <f t="shared" ca="1" si="303"/>
        <v>90.957515605788373</v>
      </c>
      <c r="J352">
        <f t="shared" ref="J352:P352" ca="1" si="323">I352*EXP(($C$6-0.5*$C$7^2)*$C$12+$C$7*SQRT($C$12)*NORMINV(RAND(),0,1))</f>
        <v>93.002129491111774</v>
      </c>
      <c r="K352">
        <f t="shared" ca="1" si="323"/>
        <v>93.33592044330814</v>
      </c>
      <c r="L352">
        <f t="shared" ca="1" si="323"/>
        <v>91.907886124153151</v>
      </c>
      <c r="M352">
        <f t="shared" ca="1" si="323"/>
        <v>97.215251008222936</v>
      </c>
      <c r="N352">
        <f t="shared" ca="1" si="323"/>
        <v>97.083960274055258</v>
      </c>
      <c r="O352">
        <f t="shared" ca="1" si="323"/>
        <v>96.123701945769255</v>
      </c>
      <c r="P352">
        <f t="shared" ca="1" si="323"/>
        <v>94.404784727283541</v>
      </c>
      <c r="Q352">
        <f t="shared" ca="1" si="304"/>
        <v>97.215251008222936</v>
      </c>
      <c r="R352">
        <f t="shared" ca="1" si="305"/>
        <v>0</v>
      </c>
      <c r="S352">
        <f t="shared" ca="1" si="306"/>
        <v>0</v>
      </c>
    </row>
    <row r="353" spans="5:19" x14ac:dyDescent="0.75">
      <c r="E353">
        <v>348</v>
      </c>
      <c r="F353">
        <f t="shared" si="302"/>
        <v>100</v>
      </c>
      <c r="G353">
        <f t="shared" ca="1" si="303"/>
        <v>101.70163200310482</v>
      </c>
      <c r="H353">
        <f t="shared" ca="1" si="303"/>
        <v>97.124739451498073</v>
      </c>
      <c r="I353">
        <f t="shared" ca="1" si="303"/>
        <v>99.366236916361018</v>
      </c>
      <c r="J353">
        <f t="shared" ref="J353:P353" ca="1" si="324">I353*EXP(($C$6-0.5*$C$7^2)*$C$12+$C$7*SQRT($C$12)*NORMINV(RAND(),0,1))</f>
        <v>100.5003965677809</v>
      </c>
      <c r="K353">
        <f t="shared" ca="1" si="324"/>
        <v>98.39278920631898</v>
      </c>
      <c r="L353">
        <f t="shared" ca="1" si="324"/>
        <v>104.8291246148336</v>
      </c>
      <c r="M353">
        <f t="shared" ca="1" si="324"/>
        <v>103.51649299362488</v>
      </c>
      <c r="N353">
        <f t="shared" ca="1" si="324"/>
        <v>98.911910371085511</v>
      </c>
      <c r="O353">
        <f t="shared" ca="1" si="324"/>
        <v>101.80799129417451</v>
      </c>
      <c r="P353">
        <f t="shared" ca="1" si="324"/>
        <v>102.14152562221032</v>
      </c>
      <c r="Q353">
        <f t="shared" ca="1" si="304"/>
        <v>104.8291246148336</v>
      </c>
      <c r="R353">
        <f t="shared" ca="1" si="305"/>
        <v>0.14152562221032383</v>
      </c>
      <c r="S353">
        <f t="shared" ca="1" si="306"/>
        <v>0.13803134214770596</v>
      </c>
    </row>
    <row r="354" spans="5:19" x14ac:dyDescent="0.75">
      <c r="E354">
        <v>349</v>
      </c>
      <c r="F354">
        <f t="shared" si="302"/>
        <v>100</v>
      </c>
      <c r="G354">
        <f t="shared" ca="1" si="303"/>
        <v>93.706466248942931</v>
      </c>
      <c r="H354">
        <f t="shared" ca="1" si="303"/>
        <v>94.009929473597992</v>
      </c>
      <c r="I354">
        <f t="shared" ca="1" si="303"/>
        <v>92.071760526514709</v>
      </c>
      <c r="J354">
        <f t="shared" ref="J354:P354" ca="1" si="325">I354*EXP(($C$6-0.5*$C$7^2)*$C$12+$C$7*SQRT($C$12)*NORMINV(RAND(),0,1))</f>
        <v>89.032213398536442</v>
      </c>
      <c r="K354">
        <f t="shared" ca="1" si="325"/>
        <v>91.424684246155152</v>
      </c>
      <c r="L354">
        <f t="shared" ca="1" si="325"/>
        <v>96.250717285379437</v>
      </c>
      <c r="M354">
        <f t="shared" ca="1" si="325"/>
        <v>89.45330428906874</v>
      </c>
      <c r="N354">
        <f t="shared" ca="1" si="325"/>
        <v>90.306031520519156</v>
      </c>
      <c r="O354">
        <f t="shared" ca="1" si="325"/>
        <v>96.048047091720861</v>
      </c>
      <c r="P354">
        <f t="shared" ca="1" si="325"/>
        <v>94.634787314978567</v>
      </c>
      <c r="Q354">
        <f t="shared" ca="1" si="304"/>
        <v>96.250717285379437</v>
      </c>
      <c r="R354">
        <f t="shared" ca="1" si="305"/>
        <v>0</v>
      </c>
      <c r="S354">
        <f t="shared" ca="1" si="306"/>
        <v>0</v>
      </c>
    </row>
    <row r="355" spans="5:19" x14ac:dyDescent="0.75">
      <c r="E355">
        <v>350</v>
      </c>
      <c r="F355">
        <f t="shared" si="302"/>
        <v>100</v>
      </c>
      <c r="G355">
        <f t="shared" ca="1" si="303"/>
        <v>103.74906597421783</v>
      </c>
      <c r="H355">
        <f t="shared" ca="1" si="303"/>
        <v>100.05708928453706</v>
      </c>
      <c r="I355">
        <f t="shared" ca="1" si="303"/>
        <v>101.00734848143092</v>
      </c>
      <c r="J355">
        <f t="shared" ref="J355:P355" ca="1" si="326">I355*EXP(($C$6-0.5*$C$7^2)*$C$12+$C$7*SQRT($C$12)*NORMINV(RAND(),0,1))</f>
        <v>92.345245620469186</v>
      </c>
      <c r="K355">
        <f t="shared" ca="1" si="326"/>
        <v>98.18919407485761</v>
      </c>
      <c r="L355">
        <f t="shared" ca="1" si="326"/>
        <v>98.800263087939584</v>
      </c>
      <c r="M355">
        <f t="shared" ca="1" si="326"/>
        <v>98.521034292349583</v>
      </c>
      <c r="N355">
        <f t="shared" ca="1" si="326"/>
        <v>94.677374358452298</v>
      </c>
      <c r="O355">
        <f t="shared" ca="1" si="326"/>
        <v>100.93560342996891</v>
      </c>
      <c r="P355">
        <f t="shared" ca="1" si="326"/>
        <v>100.78347301481722</v>
      </c>
      <c r="Q355">
        <f t="shared" ca="1" si="304"/>
        <v>103.74906597421783</v>
      </c>
      <c r="R355">
        <f t="shared" ca="1" si="305"/>
        <v>0</v>
      </c>
      <c r="S355">
        <f t="shared" ca="1" si="306"/>
        <v>0</v>
      </c>
    </row>
    <row r="356" spans="5:19" x14ac:dyDescent="0.75">
      <c r="E356">
        <v>351</v>
      </c>
      <c r="F356">
        <f t="shared" si="302"/>
        <v>100</v>
      </c>
      <c r="G356">
        <f t="shared" ca="1" si="303"/>
        <v>95.793772476689156</v>
      </c>
      <c r="H356">
        <f t="shared" ca="1" si="303"/>
        <v>93.946588759704028</v>
      </c>
      <c r="I356">
        <f t="shared" ca="1" si="303"/>
        <v>92.718954693776752</v>
      </c>
      <c r="J356">
        <f t="shared" ref="J356:P356" ca="1" si="327">I356*EXP(($C$6-0.5*$C$7^2)*$C$12+$C$7*SQRT($C$12)*NORMINV(RAND(),0,1))</f>
        <v>90.824728800692469</v>
      </c>
      <c r="K356">
        <f t="shared" ca="1" si="327"/>
        <v>93.497362438514514</v>
      </c>
      <c r="L356">
        <f t="shared" ca="1" si="327"/>
        <v>94.494354250552007</v>
      </c>
      <c r="M356">
        <f t="shared" ca="1" si="327"/>
        <v>101.83413549836456</v>
      </c>
      <c r="N356">
        <f t="shared" ca="1" si="327"/>
        <v>100.06185196109529</v>
      </c>
      <c r="O356">
        <f t="shared" ca="1" si="327"/>
        <v>103.05837089727028</v>
      </c>
      <c r="P356">
        <f t="shared" ca="1" si="327"/>
        <v>105.5304347646188</v>
      </c>
      <c r="Q356">
        <f t="shared" ca="1" si="304"/>
        <v>105.5304347646188</v>
      </c>
      <c r="R356">
        <f t="shared" ca="1" si="305"/>
        <v>3.5304347646188035</v>
      </c>
      <c r="S356">
        <f t="shared" ca="1" si="306"/>
        <v>3.4432680197021321</v>
      </c>
    </row>
    <row r="357" spans="5:19" x14ac:dyDescent="0.75">
      <c r="E357">
        <v>352</v>
      </c>
      <c r="F357">
        <f t="shared" si="302"/>
        <v>100</v>
      </c>
      <c r="G357">
        <f t="shared" ca="1" si="303"/>
        <v>105.80937690597338</v>
      </c>
      <c r="H357">
        <f t="shared" ca="1" si="303"/>
        <v>104.90692784578194</v>
      </c>
      <c r="I357">
        <f t="shared" ca="1" si="303"/>
        <v>108.99845765855989</v>
      </c>
      <c r="J357">
        <f t="shared" ref="J357:P357" ca="1" si="328">I357*EXP(($C$6-0.5*$C$7^2)*$C$12+$C$7*SQRT($C$12)*NORMINV(RAND(),0,1))</f>
        <v>113.35766091894665</v>
      </c>
      <c r="K357">
        <f t="shared" ca="1" si="328"/>
        <v>104.1746193872349</v>
      </c>
      <c r="L357">
        <f t="shared" ca="1" si="328"/>
        <v>105.24476096699027</v>
      </c>
      <c r="M357">
        <f t="shared" ca="1" si="328"/>
        <v>101.76017874067317</v>
      </c>
      <c r="N357">
        <f t="shared" ca="1" si="328"/>
        <v>90.316586002686179</v>
      </c>
      <c r="O357">
        <f t="shared" ca="1" si="328"/>
        <v>94.488127028602818</v>
      </c>
      <c r="P357">
        <f t="shared" ca="1" si="328"/>
        <v>97.907774923293431</v>
      </c>
      <c r="Q357">
        <f t="shared" ca="1" si="304"/>
        <v>113.35766091894665</v>
      </c>
      <c r="R357">
        <f t="shared" ca="1" si="305"/>
        <v>0</v>
      </c>
      <c r="S357">
        <f t="shared" ca="1" si="306"/>
        <v>0</v>
      </c>
    </row>
    <row r="358" spans="5:19" x14ac:dyDescent="0.75">
      <c r="E358">
        <v>353</v>
      </c>
      <c r="F358">
        <f t="shared" si="302"/>
        <v>100</v>
      </c>
      <c r="G358">
        <f t="shared" ca="1" si="303"/>
        <v>99.904545803131228</v>
      </c>
      <c r="H358">
        <f t="shared" ca="1" si="303"/>
        <v>99.261646453565504</v>
      </c>
      <c r="I358">
        <f t="shared" ca="1" si="303"/>
        <v>95.285672564099016</v>
      </c>
      <c r="J358">
        <f t="shared" ref="J358:P358" ca="1" si="329">I358*EXP(($C$6-0.5*$C$7^2)*$C$12+$C$7*SQRT($C$12)*NORMINV(RAND(),0,1))</f>
        <v>99.235906245107927</v>
      </c>
      <c r="K358">
        <f t="shared" ca="1" si="329"/>
        <v>100.33641103511526</v>
      </c>
      <c r="L358">
        <f t="shared" ca="1" si="329"/>
        <v>95.660783013234891</v>
      </c>
      <c r="M358">
        <f t="shared" ca="1" si="329"/>
        <v>95.046509230954442</v>
      </c>
      <c r="N358">
        <f t="shared" ca="1" si="329"/>
        <v>98.974745228814825</v>
      </c>
      <c r="O358">
        <f t="shared" ca="1" si="329"/>
        <v>95.259144429586371</v>
      </c>
      <c r="P358">
        <f t="shared" ca="1" si="329"/>
        <v>90.394766367031522</v>
      </c>
      <c r="Q358">
        <f t="shared" ca="1" si="304"/>
        <v>100.33641103511526</v>
      </c>
      <c r="R358">
        <f t="shared" ca="1" si="305"/>
        <v>0</v>
      </c>
      <c r="S358">
        <f t="shared" ca="1" si="306"/>
        <v>0</v>
      </c>
    </row>
    <row r="359" spans="5:19" x14ac:dyDescent="0.75">
      <c r="E359">
        <v>354</v>
      </c>
      <c r="F359">
        <f t="shared" si="302"/>
        <v>100</v>
      </c>
      <c r="G359">
        <f t="shared" ca="1" si="303"/>
        <v>96.68696056455228</v>
      </c>
      <c r="H359">
        <f t="shared" ca="1" si="303"/>
        <v>99.172145569384142</v>
      </c>
      <c r="I359">
        <f t="shared" ca="1" si="303"/>
        <v>98.103291247942153</v>
      </c>
      <c r="J359">
        <f t="shared" ref="J359:P359" ca="1" si="330">I359*EXP(($C$6-0.5*$C$7^2)*$C$12+$C$7*SQRT($C$12)*NORMINV(RAND(),0,1))</f>
        <v>97.162753219749618</v>
      </c>
      <c r="K359">
        <f t="shared" ca="1" si="330"/>
        <v>95.297784733273218</v>
      </c>
      <c r="L359">
        <f t="shared" ca="1" si="330"/>
        <v>98.617598742023674</v>
      </c>
      <c r="M359">
        <f t="shared" ca="1" si="330"/>
        <v>97.75832762874191</v>
      </c>
      <c r="N359">
        <f t="shared" ca="1" si="330"/>
        <v>104.72156495276461</v>
      </c>
      <c r="O359">
        <f t="shared" ca="1" si="330"/>
        <v>99.718221327621961</v>
      </c>
      <c r="P359">
        <f t="shared" ca="1" si="330"/>
        <v>102.75456351080565</v>
      </c>
      <c r="Q359">
        <f t="shared" ca="1" si="304"/>
        <v>104.72156495276461</v>
      </c>
      <c r="R359">
        <f t="shared" ca="1" si="305"/>
        <v>0.75456351080565298</v>
      </c>
      <c r="S359">
        <f t="shared" ca="1" si="306"/>
        <v>0.73593327134365116</v>
      </c>
    </row>
    <row r="360" spans="5:19" x14ac:dyDescent="0.75">
      <c r="E360">
        <v>355</v>
      </c>
      <c r="F360">
        <f t="shared" si="302"/>
        <v>100</v>
      </c>
      <c r="G360">
        <f t="shared" ca="1" si="303"/>
        <v>107.49314254332592</v>
      </c>
      <c r="H360">
        <f t="shared" ca="1" si="303"/>
        <v>106.72326337583925</v>
      </c>
      <c r="I360">
        <f t="shared" ca="1" si="303"/>
        <v>109.79157791394853</v>
      </c>
      <c r="J360">
        <f t="shared" ref="J360:P360" ca="1" si="331">I360*EXP(($C$6-0.5*$C$7^2)*$C$12+$C$7*SQRT($C$12)*NORMINV(RAND(),0,1))</f>
        <v>109.91330024455118</v>
      </c>
      <c r="K360">
        <f t="shared" ca="1" si="331"/>
        <v>109.51110020556234</v>
      </c>
      <c r="L360">
        <f t="shared" ca="1" si="331"/>
        <v>112.8307778684463</v>
      </c>
      <c r="M360">
        <f t="shared" ca="1" si="331"/>
        <v>111.85823286922964</v>
      </c>
      <c r="N360">
        <f t="shared" ca="1" si="331"/>
        <v>113.82342409612994</v>
      </c>
      <c r="O360">
        <f t="shared" ca="1" si="331"/>
        <v>119.86978844584382</v>
      </c>
      <c r="P360">
        <f t="shared" ca="1" si="331"/>
        <v>121.8160702060115</v>
      </c>
      <c r="Q360">
        <f t="shared" ca="1" si="304"/>
        <v>121.8160702060115</v>
      </c>
      <c r="R360">
        <f t="shared" ca="1" si="305"/>
        <v>0</v>
      </c>
      <c r="S360">
        <f t="shared" ca="1" si="306"/>
        <v>0</v>
      </c>
    </row>
    <row r="361" spans="5:19" x14ac:dyDescent="0.75">
      <c r="E361">
        <v>356</v>
      </c>
      <c r="F361">
        <f t="shared" si="302"/>
        <v>100</v>
      </c>
      <c r="G361">
        <f t="shared" ca="1" si="303"/>
        <v>111.65068073699732</v>
      </c>
      <c r="H361">
        <f t="shared" ca="1" si="303"/>
        <v>111.36925963096918</v>
      </c>
      <c r="I361">
        <f t="shared" ca="1" si="303"/>
        <v>110.93692649479934</v>
      </c>
      <c r="J361">
        <f t="shared" ref="J361:P361" ca="1" si="332">I361*EXP(($C$6-0.5*$C$7^2)*$C$12+$C$7*SQRT($C$12)*NORMINV(RAND(),0,1))</f>
        <v>107.26249457091578</v>
      </c>
      <c r="K361">
        <f t="shared" ca="1" si="332"/>
        <v>108.9754972394044</v>
      </c>
      <c r="L361">
        <f t="shared" ca="1" si="332"/>
        <v>115.51929993713101</v>
      </c>
      <c r="M361">
        <f t="shared" ca="1" si="332"/>
        <v>112.25509818002097</v>
      </c>
      <c r="N361">
        <f t="shared" ca="1" si="332"/>
        <v>106.64539173781812</v>
      </c>
      <c r="O361">
        <f t="shared" ca="1" si="332"/>
        <v>110.72184415018941</v>
      </c>
      <c r="P361">
        <f t="shared" ca="1" si="332"/>
        <v>118.38266713367756</v>
      </c>
      <c r="Q361">
        <f t="shared" ca="1" si="304"/>
        <v>118.38266713367756</v>
      </c>
      <c r="R361">
        <f t="shared" ca="1" si="305"/>
        <v>0</v>
      </c>
      <c r="S361">
        <f t="shared" ca="1" si="306"/>
        <v>0</v>
      </c>
    </row>
    <row r="362" spans="5:19" x14ac:dyDescent="0.75">
      <c r="E362">
        <v>357</v>
      </c>
      <c r="F362">
        <f t="shared" si="302"/>
        <v>100</v>
      </c>
      <c r="G362">
        <f t="shared" ca="1" si="303"/>
        <v>97.392981229093195</v>
      </c>
      <c r="H362">
        <f t="shared" ca="1" si="303"/>
        <v>92.655131004320978</v>
      </c>
      <c r="I362">
        <f t="shared" ca="1" si="303"/>
        <v>89.553859611135849</v>
      </c>
      <c r="J362">
        <f t="shared" ref="J362:P362" ca="1" si="333">I362*EXP(($C$6-0.5*$C$7^2)*$C$12+$C$7*SQRT($C$12)*NORMINV(RAND(),0,1))</f>
        <v>90.57359147951388</v>
      </c>
      <c r="K362">
        <f t="shared" ca="1" si="333"/>
        <v>89.9511051532876</v>
      </c>
      <c r="L362">
        <f t="shared" ca="1" si="333"/>
        <v>97.258224131508598</v>
      </c>
      <c r="M362">
        <f t="shared" ca="1" si="333"/>
        <v>104.21908919352911</v>
      </c>
      <c r="N362">
        <f t="shared" ca="1" si="333"/>
        <v>106.06651374155527</v>
      </c>
      <c r="O362">
        <f t="shared" ca="1" si="333"/>
        <v>99.088852428038223</v>
      </c>
      <c r="P362">
        <f t="shared" ca="1" si="333"/>
        <v>95.916414854686465</v>
      </c>
      <c r="Q362">
        <f t="shared" ca="1" si="304"/>
        <v>106.06651374155527</v>
      </c>
      <c r="R362">
        <f t="shared" ca="1" si="305"/>
        <v>0</v>
      </c>
      <c r="S362">
        <f t="shared" ca="1" si="306"/>
        <v>0</v>
      </c>
    </row>
    <row r="363" spans="5:19" x14ac:dyDescent="0.75">
      <c r="E363">
        <v>358</v>
      </c>
      <c r="F363">
        <f t="shared" si="302"/>
        <v>100</v>
      </c>
      <c r="G363">
        <f t="shared" ca="1" si="303"/>
        <v>106.01471467587935</v>
      </c>
      <c r="H363">
        <f t="shared" ca="1" si="303"/>
        <v>113.43237111341753</v>
      </c>
      <c r="I363">
        <f t="shared" ca="1" si="303"/>
        <v>113.83334478587604</v>
      </c>
      <c r="J363">
        <f t="shared" ref="J363:P363" ca="1" si="334">I363*EXP(($C$6-0.5*$C$7^2)*$C$12+$C$7*SQRT($C$12)*NORMINV(RAND(),0,1))</f>
        <v>107.5363096893964</v>
      </c>
      <c r="K363">
        <f t="shared" ca="1" si="334"/>
        <v>124.07565319116937</v>
      </c>
      <c r="L363">
        <f t="shared" ca="1" si="334"/>
        <v>121.72323319305958</v>
      </c>
      <c r="M363">
        <f t="shared" ca="1" si="334"/>
        <v>128.63944204237575</v>
      </c>
      <c r="N363">
        <f t="shared" ca="1" si="334"/>
        <v>124.0909688782227</v>
      </c>
      <c r="O363">
        <f t="shared" ca="1" si="334"/>
        <v>122.28748178837094</v>
      </c>
      <c r="P363">
        <f t="shared" ca="1" si="334"/>
        <v>122.77915721779684</v>
      </c>
      <c r="Q363">
        <f t="shared" ca="1" si="304"/>
        <v>128.63944204237575</v>
      </c>
      <c r="R363">
        <f t="shared" ca="1" si="305"/>
        <v>0</v>
      </c>
      <c r="S363">
        <f t="shared" ca="1" si="306"/>
        <v>0</v>
      </c>
    </row>
    <row r="364" spans="5:19" x14ac:dyDescent="0.75">
      <c r="E364">
        <v>359</v>
      </c>
      <c r="F364">
        <f t="shared" si="302"/>
        <v>100</v>
      </c>
      <c r="G364">
        <f t="shared" ca="1" si="303"/>
        <v>90.596235257736595</v>
      </c>
      <c r="H364">
        <f t="shared" ca="1" si="303"/>
        <v>88.463181205724553</v>
      </c>
      <c r="I364">
        <f t="shared" ca="1" si="303"/>
        <v>92.324798048712211</v>
      </c>
      <c r="J364">
        <f t="shared" ref="J364:P364" ca="1" si="335">I364*EXP(($C$6-0.5*$C$7^2)*$C$12+$C$7*SQRT($C$12)*NORMINV(RAND(),0,1))</f>
        <v>93.083629009816875</v>
      </c>
      <c r="K364">
        <f t="shared" ca="1" si="335"/>
        <v>89.10877073864809</v>
      </c>
      <c r="L364">
        <f t="shared" ca="1" si="335"/>
        <v>90.958004756938053</v>
      </c>
      <c r="M364">
        <f t="shared" ca="1" si="335"/>
        <v>88.074289632336161</v>
      </c>
      <c r="N364">
        <f t="shared" ca="1" si="335"/>
        <v>89.290047652147749</v>
      </c>
      <c r="O364">
        <f t="shared" ca="1" si="335"/>
        <v>88.28226742758099</v>
      </c>
      <c r="P364">
        <f t="shared" ca="1" si="335"/>
        <v>85.097486215967393</v>
      </c>
      <c r="Q364">
        <f t="shared" ca="1" si="304"/>
        <v>93.083629009816875</v>
      </c>
      <c r="R364">
        <f t="shared" ca="1" si="305"/>
        <v>0</v>
      </c>
      <c r="S364">
        <f t="shared" ca="1" si="306"/>
        <v>0</v>
      </c>
    </row>
    <row r="365" spans="5:19" x14ac:dyDescent="0.75">
      <c r="E365">
        <v>360</v>
      </c>
      <c r="F365">
        <f t="shared" si="302"/>
        <v>100</v>
      </c>
      <c r="G365">
        <f t="shared" ca="1" si="303"/>
        <v>97.550699188285762</v>
      </c>
      <c r="H365">
        <f t="shared" ca="1" si="303"/>
        <v>91.449894389047216</v>
      </c>
      <c r="I365">
        <f t="shared" ca="1" si="303"/>
        <v>98.621036266247089</v>
      </c>
      <c r="J365">
        <f t="shared" ref="J365:P365" ca="1" si="336">I365*EXP(($C$6-0.5*$C$7^2)*$C$12+$C$7*SQRT($C$12)*NORMINV(RAND(),0,1))</f>
        <v>96.470333905335963</v>
      </c>
      <c r="K365">
        <f t="shared" ca="1" si="336"/>
        <v>93.917605547831656</v>
      </c>
      <c r="L365">
        <f t="shared" ca="1" si="336"/>
        <v>91.904557275299169</v>
      </c>
      <c r="M365">
        <f t="shared" ca="1" si="336"/>
        <v>89.570601545386737</v>
      </c>
      <c r="N365">
        <f t="shared" ca="1" si="336"/>
        <v>93.281947457716015</v>
      </c>
      <c r="O365">
        <f t="shared" ca="1" si="336"/>
        <v>89.407457953975211</v>
      </c>
      <c r="P365">
        <f t="shared" ca="1" si="336"/>
        <v>86.804557605556823</v>
      </c>
      <c r="Q365">
        <f t="shared" ca="1" si="304"/>
        <v>98.621036266247089</v>
      </c>
      <c r="R365">
        <f t="shared" ca="1" si="305"/>
        <v>0</v>
      </c>
      <c r="S365">
        <f t="shared" ca="1" si="306"/>
        <v>0</v>
      </c>
    </row>
    <row r="366" spans="5:19" x14ac:dyDescent="0.75">
      <c r="E366">
        <v>361</v>
      </c>
      <c r="F366">
        <f t="shared" si="302"/>
        <v>100</v>
      </c>
      <c r="G366">
        <f t="shared" ca="1" si="303"/>
        <v>97.283108974607529</v>
      </c>
      <c r="H366">
        <f t="shared" ca="1" si="303"/>
        <v>102.96511059517118</v>
      </c>
      <c r="I366">
        <f t="shared" ca="1" si="303"/>
        <v>105.81380373704545</v>
      </c>
      <c r="J366">
        <f t="shared" ref="J366:P366" ca="1" si="337">I366*EXP(($C$6-0.5*$C$7^2)*$C$12+$C$7*SQRT($C$12)*NORMINV(RAND(),0,1))</f>
        <v>103.27044343280602</v>
      </c>
      <c r="K366">
        <f t="shared" ca="1" si="337"/>
        <v>103.50040901937426</v>
      </c>
      <c r="L366">
        <f t="shared" ca="1" si="337"/>
        <v>102.38758791417607</v>
      </c>
      <c r="M366">
        <f t="shared" ca="1" si="337"/>
        <v>100.41591202749731</v>
      </c>
      <c r="N366">
        <f t="shared" ca="1" si="337"/>
        <v>89.933080205660843</v>
      </c>
      <c r="O366">
        <f t="shared" ca="1" si="337"/>
        <v>89.606720802529125</v>
      </c>
      <c r="P366">
        <f t="shared" ca="1" si="337"/>
        <v>87.805641548979224</v>
      </c>
      <c r="Q366">
        <f t="shared" ca="1" si="304"/>
        <v>105.81380373704545</v>
      </c>
      <c r="R366">
        <f t="shared" ca="1" si="305"/>
        <v>0</v>
      </c>
      <c r="S366">
        <f t="shared" ca="1" si="306"/>
        <v>0</v>
      </c>
    </row>
    <row r="367" spans="5:19" x14ac:dyDescent="0.75">
      <c r="E367">
        <v>362</v>
      </c>
      <c r="F367">
        <f t="shared" si="302"/>
        <v>100</v>
      </c>
      <c r="G367">
        <f t="shared" ca="1" si="303"/>
        <v>107.38545955946446</v>
      </c>
      <c r="H367">
        <f t="shared" ca="1" si="303"/>
        <v>102.17322348455814</v>
      </c>
      <c r="I367">
        <f t="shared" ca="1" si="303"/>
        <v>106.55635630493454</v>
      </c>
      <c r="J367">
        <f t="shared" ref="J367:P367" ca="1" si="338">I367*EXP(($C$6-0.5*$C$7^2)*$C$12+$C$7*SQRT($C$12)*NORMINV(RAND(),0,1))</f>
        <v>114.26300350064673</v>
      </c>
      <c r="K367">
        <f t="shared" ca="1" si="338"/>
        <v>114.25889217887871</v>
      </c>
      <c r="L367">
        <f t="shared" ca="1" si="338"/>
        <v>111.1286077828366</v>
      </c>
      <c r="M367">
        <f t="shared" ca="1" si="338"/>
        <v>110.49513733607009</v>
      </c>
      <c r="N367">
        <f t="shared" ca="1" si="338"/>
        <v>105.07386102689523</v>
      </c>
      <c r="O367">
        <f t="shared" ca="1" si="338"/>
        <v>102.47352383129299</v>
      </c>
      <c r="P367">
        <f t="shared" ca="1" si="338"/>
        <v>109.39297193405218</v>
      </c>
      <c r="Q367">
        <f t="shared" ca="1" si="304"/>
        <v>114.26300350064673</v>
      </c>
      <c r="R367">
        <f t="shared" ca="1" si="305"/>
        <v>0</v>
      </c>
      <c r="S367">
        <f t="shared" ca="1" si="306"/>
        <v>0</v>
      </c>
    </row>
    <row r="368" spans="5:19" x14ac:dyDescent="0.75">
      <c r="E368">
        <v>363</v>
      </c>
      <c r="F368">
        <f t="shared" si="302"/>
        <v>100</v>
      </c>
      <c r="G368">
        <f t="shared" ca="1" si="303"/>
        <v>98.527030701080008</v>
      </c>
      <c r="H368">
        <f t="shared" ca="1" si="303"/>
        <v>102.29725290888506</v>
      </c>
      <c r="I368">
        <f t="shared" ca="1" si="303"/>
        <v>107.09306228618952</v>
      </c>
      <c r="J368">
        <f t="shared" ref="J368:P368" ca="1" si="339">I368*EXP(($C$6-0.5*$C$7^2)*$C$12+$C$7*SQRT($C$12)*NORMINV(RAND(),0,1))</f>
        <v>109.23942784723742</v>
      </c>
      <c r="K368">
        <f t="shared" ca="1" si="339"/>
        <v>117.66847591906868</v>
      </c>
      <c r="L368">
        <f t="shared" ca="1" si="339"/>
        <v>112.59861043462695</v>
      </c>
      <c r="M368">
        <f t="shared" ca="1" si="339"/>
        <v>115.06699080482967</v>
      </c>
      <c r="N368">
        <f t="shared" ca="1" si="339"/>
        <v>115.96942060554989</v>
      </c>
      <c r="O368">
        <f t="shared" ca="1" si="339"/>
        <v>119.44871710956161</v>
      </c>
      <c r="P368">
        <f t="shared" ca="1" si="339"/>
        <v>125.11030912223049</v>
      </c>
      <c r="Q368">
        <f t="shared" ca="1" si="304"/>
        <v>125.11030912223049</v>
      </c>
      <c r="R368">
        <f t="shared" ca="1" si="305"/>
        <v>0</v>
      </c>
      <c r="S368">
        <f t="shared" ca="1" si="306"/>
        <v>0</v>
      </c>
    </row>
    <row r="369" spans="5:19" x14ac:dyDescent="0.75">
      <c r="E369">
        <v>364</v>
      </c>
      <c r="F369">
        <f t="shared" si="302"/>
        <v>100</v>
      </c>
      <c r="G369">
        <f t="shared" ca="1" si="303"/>
        <v>99.223253244674268</v>
      </c>
      <c r="H369">
        <f t="shared" ca="1" si="303"/>
        <v>100.71988925762082</v>
      </c>
      <c r="I369">
        <f t="shared" ca="1" si="303"/>
        <v>103.21782777026681</v>
      </c>
      <c r="J369">
        <f t="shared" ref="J369:P369" ca="1" si="340">I369*EXP(($C$6-0.5*$C$7^2)*$C$12+$C$7*SQRT($C$12)*NORMINV(RAND(),0,1))</f>
        <v>108.11719762830786</v>
      </c>
      <c r="K369">
        <f t="shared" ca="1" si="340"/>
        <v>108.67700957347547</v>
      </c>
      <c r="L369">
        <f t="shared" ca="1" si="340"/>
        <v>110.04050337452696</v>
      </c>
      <c r="M369">
        <f t="shared" ca="1" si="340"/>
        <v>108.23808683910615</v>
      </c>
      <c r="N369">
        <f t="shared" ca="1" si="340"/>
        <v>109.23967679258021</v>
      </c>
      <c r="O369">
        <f t="shared" ca="1" si="340"/>
        <v>108.14930166403062</v>
      </c>
      <c r="P369">
        <f t="shared" ca="1" si="340"/>
        <v>105.69934451600128</v>
      </c>
      <c r="Q369">
        <f t="shared" ca="1" si="304"/>
        <v>110.04050337452696</v>
      </c>
      <c r="R369">
        <f t="shared" ca="1" si="305"/>
        <v>0</v>
      </c>
      <c r="S369">
        <f t="shared" ca="1" si="306"/>
        <v>0</v>
      </c>
    </row>
    <row r="370" spans="5:19" x14ac:dyDescent="0.75">
      <c r="E370">
        <v>365</v>
      </c>
      <c r="F370">
        <f t="shared" si="302"/>
        <v>100</v>
      </c>
      <c r="G370">
        <f t="shared" ca="1" si="303"/>
        <v>99.834429737911591</v>
      </c>
      <c r="H370">
        <f t="shared" ca="1" si="303"/>
        <v>102.51571373413577</v>
      </c>
      <c r="I370">
        <f t="shared" ca="1" si="303"/>
        <v>93.775023863425702</v>
      </c>
      <c r="J370">
        <f t="shared" ref="J370:P370" ca="1" si="341">I370*EXP(($C$6-0.5*$C$7^2)*$C$12+$C$7*SQRT($C$12)*NORMINV(RAND(),0,1))</f>
        <v>93.922650549025292</v>
      </c>
      <c r="K370">
        <f t="shared" ca="1" si="341"/>
        <v>96.414647578975405</v>
      </c>
      <c r="L370">
        <f t="shared" ca="1" si="341"/>
        <v>98.849359826603589</v>
      </c>
      <c r="M370">
        <f t="shared" ca="1" si="341"/>
        <v>103.01395347903902</v>
      </c>
      <c r="N370">
        <f t="shared" ca="1" si="341"/>
        <v>105.56768615448513</v>
      </c>
      <c r="O370">
        <f t="shared" ca="1" si="341"/>
        <v>105.69968667873096</v>
      </c>
      <c r="P370">
        <f t="shared" ca="1" si="341"/>
        <v>107.43588280578862</v>
      </c>
      <c r="Q370">
        <f t="shared" ca="1" si="304"/>
        <v>107.43588280578862</v>
      </c>
      <c r="R370">
        <f t="shared" ca="1" si="305"/>
        <v>5.4358828057886228</v>
      </c>
      <c r="S370">
        <f t="shared" ca="1" si="306"/>
        <v>5.3016703811100276</v>
      </c>
    </row>
    <row r="371" spans="5:19" x14ac:dyDescent="0.75">
      <c r="E371">
        <v>366</v>
      </c>
      <c r="F371">
        <f t="shared" si="302"/>
        <v>100</v>
      </c>
      <c r="G371">
        <f t="shared" ca="1" si="303"/>
        <v>93.973692127422453</v>
      </c>
      <c r="H371">
        <f t="shared" ca="1" si="303"/>
        <v>90.146771705799196</v>
      </c>
      <c r="I371">
        <f t="shared" ca="1" si="303"/>
        <v>88.906394357136904</v>
      </c>
      <c r="J371">
        <f t="shared" ref="J371:P371" ca="1" si="342">I371*EXP(($C$6-0.5*$C$7^2)*$C$12+$C$7*SQRT($C$12)*NORMINV(RAND(),0,1))</f>
        <v>84.555713852079194</v>
      </c>
      <c r="K371">
        <f t="shared" ca="1" si="342"/>
        <v>82.700619343833509</v>
      </c>
      <c r="L371">
        <f t="shared" ca="1" si="342"/>
        <v>84.872008780105133</v>
      </c>
      <c r="M371">
        <f t="shared" ca="1" si="342"/>
        <v>84.506204241796425</v>
      </c>
      <c r="N371">
        <f t="shared" ca="1" si="342"/>
        <v>83.535369847639245</v>
      </c>
      <c r="O371">
        <f t="shared" ca="1" si="342"/>
        <v>89.775097830964086</v>
      </c>
      <c r="P371">
        <f t="shared" ca="1" si="342"/>
        <v>90.992343617167109</v>
      </c>
      <c r="Q371">
        <f t="shared" ca="1" si="304"/>
        <v>93.973692127422453</v>
      </c>
      <c r="R371">
        <f t="shared" ca="1" si="305"/>
        <v>0</v>
      </c>
      <c r="S371">
        <f t="shared" ca="1" si="306"/>
        <v>0</v>
      </c>
    </row>
    <row r="372" spans="5:19" x14ac:dyDescent="0.75">
      <c r="E372">
        <v>367</v>
      </c>
      <c r="F372">
        <f t="shared" si="302"/>
        <v>100</v>
      </c>
      <c r="G372">
        <f t="shared" ca="1" si="303"/>
        <v>99.552698572033947</v>
      </c>
      <c r="H372">
        <f t="shared" ca="1" si="303"/>
        <v>107.71904712154831</v>
      </c>
      <c r="I372">
        <f t="shared" ca="1" si="303"/>
        <v>109.35143779593012</v>
      </c>
      <c r="J372">
        <f t="shared" ref="J372:P372" ca="1" si="343">I372*EXP(($C$6-0.5*$C$7^2)*$C$12+$C$7*SQRT($C$12)*NORMINV(RAND(),0,1))</f>
        <v>108.8686449382819</v>
      </c>
      <c r="K372">
        <f t="shared" ca="1" si="343"/>
        <v>113.42216464346056</v>
      </c>
      <c r="L372">
        <f t="shared" ca="1" si="343"/>
        <v>109.11894463757675</v>
      </c>
      <c r="M372">
        <f t="shared" ca="1" si="343"/>
        <v>111.15727190221277</v>
      </c>
      <c r="N372">
        <f t="shared" ca="1" si="343"/>
        <v>114.41603569268381</v>
      </c>
      <c r="O372">
        <f t="shared" ca="1" si="343"/>
        <v>117.41110993984934</v>
      </c>
      <c r="P372">
        <f t="shared" ca="1" si="343"/>
        <v>118.4544454884597</v>
      </c>
      <c r="Q372">
        <f t="shared" ca="1" si="304"/>
        <v>118.4544454884597</v>
      </c>
      <c r="R372">
        <f t="shared" ca="1" si="305"/>
        <v>0</v>
      </c>
      <c r="S372">
        <f t="shared" ca="1" si="306"/>
        <v>0</v>
      </c>
    </row>
    <row r="373" spans="5:19" x14ac:dyDescent="0.75">
      <c r="E373">
        <v>368</v>
      </c>
      <c r="F373">
        <f t="shared" si="302"/>
        <v>100</v>
      </c>
      <c r="G373">
        <f t="shared" ca="1" si="303"/>
        <v>94.658370130919408</v>
      </c>
      <c r="H373">
        <f t="shared" ca="1" si="303"/>
        <v>95.236182550760844</v>
      </c>
      <c r="I373">
        <f t="shared" ca="1" si="303"/>
        <v>104.98217269448078</v>
      </c>
      <c r="J373">
        <f t="shared" ref="J373:P373" ca="1" si="344">I373*EXP(($C$6-0.5*$C$7^2)*$C$12+$C$7*SQRT($C$12)*NORMINV(RAND(),0,1))</f>
        <v>105.86249621623034</v>
      </c>
      <c r="K373">
        <f t="shared" ca="1" si="344"/>
        <v>102.74451288661807</v>
      </c>
      <c r="L373">
        <f t="shared" ca="1" si="344"/>
        <v>100.87301913640606</v>
      </c>
      <c r="M373">
        <f t="shared" ca="1" si="344"/>
        <v>96.990142206991891</v>
      </c>
      <c r="N373">
        <f t="shared" ca="1" si="344"/>
        <v>90.934218633010303</v>
      </c>
      <c r="O373">
        <f t="shared" ca="1" si="344"/>
        <v>87.749333726352504</v>
      </c>
      <c r="P373">
        <f t="shared" ca="1" si="344"/>
        <v>89.292336892591379</v>
      </c>
      <c r="Q373">
        <f t="shared" ca="1" si="304"/>
        <v>105.86249621623034</v>
      </c>
      <c r="R373">
        <f t="shared" ca="1" si="305"/>
        <v>0</v>
      </c>
      <c r="S373">
        <f t="shared" ca="1" si="306"/>
        <v>0</v>
      </c>
    </row>
    <row r="374" spans="5:19" x14ac:dyDescent="0.75">
      <c r="E374">
        <v>369</v>
      </c>
      <c r="F374">
        <f t="shared" si="302"/>
        <v>100</v>
      </c>
      <c r="G374">
        <f t="shared" ca="1" si="303"/>
        <v>94.441065726266515</v>
      </c>
      <c r="H374">
        <f t="shared" ca="1" si="303"/>
        <v>98.11395346713438</v>
      </c>
      <c r="I374">
        <f t="shared" ca="1" si="303"/>
        <v>96.522245198136545</v>
      </c>
      <c r="J374">
        <f t="shared" ref="J374:P374" ca="1" si="345">I374*EXP(($C$6-0.5*$C$7^2)*$C$12+$C$7*SQRT($C$12)*NORMINV(RAND(),0,1))</f>
        <v>98.522913495437621</v>
      </c>
      <c r="K374">
        <f t="shared" ca="1" si="345"/>
        <v>101.36809643845224</v>
      </c>
      <c r="L374">
        <f t="shared" ca="1" si="345"/>
        <v>105.47686527423375</v>
      </c>
      <c r="M374">
        <f t="shared" ca="1" si="345"/>
        <v>103.24163590054005</v>
      </c>
      <c r="N374">
        <f t="shared" ca="1" si="345"/>
        <v>96.879127061082741</v>
      </c>
      <c r="O374">
        <f t="shared" ca="1" si="345"/>
        <v>99.741472695426523</v>
      </c>
      <c r="P374">
        <f t="shared" ca="1" si="345"/>
        <v>97.903246724190822</v>
      </c>
      <c r="Q374">
        <f t="shared" ca="1" si="304"/>
        <v>105.47686527423375</v>
      </c>
      <c r="R374">
        <f t="shared" ca="1" si="305"/>
        <v>0</v>
      </c>
      <c r="S374">
        <f t="shared" ca="1" si="306"/>
        <v>0</v>
      </c>
    </row>
    <row r="375" spans="5:19" x14ac:dyDescent="0.75">
      <c r="E375">
        <v>370</v>
      </c>
      <c r="F375">
        <f t="shared" si="302"/>
        <v>100</v>
      </c>
      <c r="G375">
        <f t="shared" ca="1" si="303"/>
        <v>102.49383084771885</v>
      </c>
      <c r="H375">
        <f t="shared" ca="1" si="303"/>
        <v>98.907856473742811</v>
      </c>
      <c r="I375">
        <f t="shared" ca="1" si="303"/>
        <v>105.40171496866324</v>
      </c>
      <c r="J375">
        <f t="shared" ref="J375:P375" ca="1" si="346">I375*EXP(($C$6-0.5*$C$7^2)*$C$12+$C$7*SQRT($C$12)*NORMINV(RAND(),0,1))</f>
        <v>100.81302757778111</v>
      </c>
      <c r="K375">
        <f t="shared" ca="1" si="346"/>
        <v>98.677390880699193</v>
      </c>
      <c r="L375">
        <f t="shared" ca="1" si="346"/>
        <v>95.811947308224205</v>
      </c>
      <c r="M375">
        <f t="shared" ca="1" si="346"/>
        <v>90.964642605336763</v>
      </c>
      <c r="N375">
        <f t="shared" ca="1" si="346"/>
        <v>97.896724621029364</v>
      </c>
      <c r="O375">
        <f t="shared" ca="1" si="346"/>
        <v>99.150460753410442</v>
      </c>
      <c r="P375">
        <f t="shared" ca="1" si="346"/>
        <v>101.32544229651975</v>
      </c>
      <c r="Q375">
        <f t="shared" ca="1" si="304"/>
        <v>105.40171496866324</v>
      </c>
      <c r="R375">
        <f t="shared" ca="1" si="305"/>
        <v>0</v>
      </c>
      <c r="S375">
        <f t="shared" ca="1" si="306"/>
        <v>0</v>
      </c>
    </row>
    <row r="376" spans="5:19" x14ac:dyDescent="0.75">
      <c r="E376">
        <v>371</v>
      </c>
      <c r="F376">
        <f t="shared" si="302"/>
        <v>100</v>
      </c>
      <c r="G376">
        <f t="shared" ca="1" si="303"/>
        <v>103.05072579138037</v>
      </c>
      <c r="H376">
        <f t="shared" ca="1" si="303"/>
        <v>102.03081369917217</v>
      </c>
      <c r="I376">
        <f t="shared" ca="1" si="303"/>
        <v>96.873947267203846</v>
      </c>
      <c r="J376">
        <f t="shared" ref="J376:P376" ca="1" si="347">I376*EXP(($C$6-0.5*$C$7^2)*$C$12+$C$7*SQRT($C$12)*NORMINV(RAND(),0,1))</f>
        <v>102.38306431641455</v>
      </c>
      <c r="K376">
        <f t="shared" ca="1" si="347"/>
        <v>102.15161557640874</v>
      </c>
      <c r="L376">
        <f t="shared" ca="1" si="347"/>
        <v>105.92033573663845</v>
      </c>
      <c r="M376">
        <f t="shared" ca="1" si="347"/>
        <v>102.3880783643682</v>
      </c>
      <c r="N376">
        <f t="shared" ca="1" si="347"/>
        <v>107.08871642483342</v>
      </c>
      <c r="O376">
        <f t="shared" ca="1" si="347"/>
        <v>106.21222529091995</v>
      </c>
      <c r="P376">
        <f t="shared" ca="1" si="347"/>
        <v>104.67482537872857</v>
      </c>
      <c r="Q376">
        <f t="shared" ca="1" si="304"/>
        <v>107.08871642483342</v>
      </c>
      <c r="R376">
        <f t="shared" ca="1" si="305"/>
        <v>2.6748253787285705</v>
      </c>
      <c r="S376">
        <f t="shared" ca="1" si="306"/>
        <v>2.6087837048189138</v>
      </c>
    </row>
    <row r="377" spans="5:19" x14ac:dyDescent="0.75">
      <c r="E377">
        <v>372</v>
      </c>
      <c r="F377">
        <f t="shared" si="302"/>
        <v>100</v>
      </c>
      <c r="G377">
        <f t="shared" ca="1" si="303"/>
        <v>95.306996672643166</v>
      </c>
      <c r="H377">
        <f t="shared" ca="1" si="303"/>
        <v>90.023675122430745</v>
      </c>
      <c r="I377">
        <f t="shared" ca="1" si="303"/>
        <v>87.834706145854085</v>
      </c>
      <c r="J377">
        <f t="shared" ref="J377:P377" ca="1" si="348">I377*EXP(($C$6-0.5*$C$7^2)*$C$12+$C$7*SQRT($C$12)*NORMINV(RAND(),0,1))</f>
        <v>90.178758282554938</v>
      </c>
      <c r="K377">
        <f t="shared" ca="1" si="348"/>
        <v>85.004666686448857</v>
      </c>
      <c r="L377">
        <f t="shared" ca="1" si="348"/>
        <v>83.198496108451195</v>
      </c>
      <c r="M377">
        <f t="shared" ca="1" si="348"/>
        <v>78.874192306678836</v>
      </c>
      <c r="N377">
        <f t="shared" ca="1" si="348"/>
        <v>81.898962922516489</v>
      </c>
      <c r="O377">
        <f t="shared" ca="1" si="348"/>
        <v>83.543923163396883</v>
      </c>
      <c r="P377">
        <f t="shared" ca="1" si="348"/>
        <v>88.454765223558979</v>
      </c>
      <c r="Q377">
        <f t="shared" ca="1" si="304"/>
        <v>95.306996672643166</v>
      </c>
      <c r="R377">
        <f t="shared" ca="1" si="305"/>
        <v>0</v>
      </c>
      <c r="S377">
        <f t="shared" ca="1" si="306"/>
        <v>0</v>
      </c>
    </row>
    <row r="378" spans="5:19" x14ac:dyDescent="0.75">
      <c r="E378">
        <v>373</v>
      </c>
      <c r="F378">
        <f t="shared" si="302"/>
        <v>100</v>
      </c>
      <c r="G378">
        <f t="shared" ca="1" si="303"/>
        <v>99.90353846098003</v>
      </c>
      <c r="H378">
        <f t="shared" ca="1" si="303"/>
        <v>99.997761421122803</v>
      </c>
      <c r="I378">
        <f t="shared" ca="1" si="303"/>
        <v>101.64923740928812</v>
      </c>
      <c r="J378">
        <f t="shared" ref="J378:P378" ca="1" si="349">I378*EXP(($C$6-0.5*$C$7^2)*$C$12+$C$7*SQRT($C$12)*NORMINV(RAND(),0,1))</f>
        <v>105.25106919150043</v>
      </c>
      <c r="K378">
        <f t="shared" ca="1" si="349"/>
        <v>103.8728051789423</v>
      </c>
      <c r="L378">
        <f t="shared" ca="1" si="349"/>
        <v>102.96131569870553</v>
      </c>
      <c r="M378">
        <f t="shared" ca="1" si="349"/>
        <v>103.23063792578354</v>
      </c>
      <c r="N378">
        <f t="shared" ca="1" si="349"/>
        <v>100.75561954210089</v>
      </c>
      <c r="O378">
        <f t="shared" ca="1" si="349"/>
        <v>103.86195107039818</v>
      </c>
      <c r="P378">
        <f t="shared" ca="1" si="349"/>
        <v>104.23787327002964</v>
      </c>
      <c r="Q378">
        <f t="shared" ca="1" si="304"/>
        <v>105.25106919150043</v>
      </c>
      <c r="R378">
        <f t="shared" ca="1" si="305"/>
        <v>2.2378732700296382</v>
      </c>
      <c r="S378">
        <f t="shared" ca="1" si="306"/>
        <v>2.1826199821231635</v>
      </c>
    </row>
    <row r="379" spans="5:19" x14ac:dyDescent="0.75">
      <c r="E379">
        <v>374</v>
      </c>
      <c r="F379">
        <f t="shared" si="302"/>
        <v>100</v>
      </c>
      <c r="G379">
        <f t="shared" ca="1" si="303"/>
        <v>90.956688305123677</v>
      </c>
      <c r="H379">
        <f t="shared" ca="1" si="303"/>
        <v>90.457612544569642</v>
      </c>
      <c r="I379">
        <f t="shared" ca="1" si="303"/>
        <v>94.332397182512324</v>
      </c>
      <c r="J379">
        <f t="shared" ref="J379:P379" ca="1" si="350">I379*EXP(($C$6-0.5*$C$7^2)*$C$12+$C$7*SQRT($C$12)*NORMINV(RAND(),0,1))</f>
        <v>91.442509399422306</v>
      </c>
      <c r="K379">
        <f t="shared" ca="1" si="350"/>
        <v>93.647963157441325</v>
      </c>
      <c r="L379">
        <f t="shared" ca="1" si="350"/>
        <v>92.155103428936698</v>
      </c>
      <c r="M379">
        <f t="shared" ca="1" si="350"/>
        <v>88.282613356042873</v>
      </c>
      <c r="N379">
        <f t="shared" ca="1" si="350"/>
        <v>84.896705329587533</v>
      </c>
      <c r="O379">
        <f t="shared" ca="1" si="350"/>
        <v>79.835814519976452</v>
      </c>
      <c r="P379">
        <f t="shared" ca="1" si="350"/>
        <v>80.51194148305396</v>
      </c>
      <c r="Q379">
        <f t="shared" ca="1" si="304"/>
        <v>94.332397182512324</v>
      </c>
      <c r="R379">
        <f t="shared" ca="1" si="305"/>
        <v>0</v>
      </c>
      <c r="S379">
        <f t="shared" ca="1" si="306"/>
        <v>0</v>
      </c>
    </row>
    <row r="380" spans="5:19" x14ac:dyDescent="0.75">
      <c r="E380">
        <v>375</v>
      </c>
      <c r="F380">
        <f t="shared" si="302"/>
        <v>100</v>
      </c>
      <c r="G380">
        <f t="shared" ca="1" si="303"/>
        <v>96.530965399315903</v>
      </c>
      <c r="H380">
        <f t="shared" ca="1" si="303"/>
        <v>97.861002722298934</v>
      </c>
      <c r="I380">
        <f t="shared" ca="1" si="303"/>
        <v>90.92423710487401</v>
      </c>
      <c r="J380">
        <f t="shared" ref="J380:P380" ca="1" si="351">I380*EXP(($C$6-0.5*$C$7^2)*$C$12+$C$7*SQRT($C$12)*NORMINV(RAND(),0,1))</f>
        <v>90.797452461287051</v>
      </c>
      <c r="K380">
        <f t="shared" ca="1" si="351"/>
        <v>90.341991294396308</v>
      </c>
      <c r="L380">
        <f t="shared" ca="1" si="351"/>
        <v>92.676579808813102</v>
      </c>
      <c r="M380">
        <f t="shared" ca="1" si="351"/>
        <v>91.727214491680641</v>
      </c>
      <c r="N380">
        <f t="shared" ca="1" si="351"/>
        <v>90.156529214065941</v>
      </c>
      <c r="O380">
        <f t="shared" ca="1" si="351"/>
        <v>101.05178856537803</v>
      </c>
      <c r="P380">
        <f t="shared" ca="1" si="351"/>
        <v>97.844243820451155</v>
      </c>
      <c r="Q380">
        <f t="shared" ca="1" si="304"/>
        <v>101.05178856537803</v>
      </c>
      <c r="R380">
        <f t="shared" ca="1" si="305"/>
        <v>0</v>
      </c>
      <c r="S380">
        <f t="shared" ca="1" si="306"/>
        <v>0</v>
      </c>
    </row>
    <row r="381" spans="5:19" x14ac:dyDescent="0.75">
      <c r="E381">
        <v>376</v>
      </c>
      <c r="F381">
        <f t="shared" si="302"/>
        <v>100</v>
      </c>
      <c r="G381">
        <f t="shared" ca="1" si="303"/>
        <v>99.988517590635411</v>
      </c>
      <c r="H381">
        <f t="shared" ca="1" si="303"/>
        <v>95.770036018416846</v>
      </c>
      <c r="I381">
        <f t="shared" ca="1" si="303"/>
        <v>87.865352993960201</v>
      </c>
      <c r="J381">
        <f t="shared" ref="J381:P381" ca="1" si="352">I381*EXP(($C$6-0.5*$C$7^2)*$C$12+$C$7*SQRT($C$12)*NORMINV(RAND(),0,1))</f>
        <v>79.848191087142951</v>
      </c>
      <c r="K381">
        <f t="shared" ca="1" si="352"/>
        <v>77.848699021385627</v>
      </c>
      <c r="L381">
        <f t="shared" ca="1" si="352"/>
        <v>83.325674520352862</v>
      </c>
      <c r="M381">
        <f t="shared" ca="1" si="352"/>
        <v>84.94333496233763</v>
      </c>
      <c r="N381">
        <f t="shared" ca="1" si="352"/>
        <v>86.035063077928584</v>
      </c>
      <c r="O381">
        <f t="shared" ca="1" si="352"/>
        <v>84.831751322837604</v>
      </c>
      <c r="P381">
        <f t="shared" ca="1" si="352"/>
        <v>87.718174839692765</v>
      </c>
      <c r="Q381">
        <f t="shared" ca="1" si="304"/>
        <v>99.988517590635411</v>
      </c>
      <c r="R381">
        <f t="shared" ca="1" si="305"/>
        <v>0</v>
      </c>
      <c r="S381">
        <f t="shared" ca="1" si="306"/>
        <v>0</v>
      </c>
    </row>
    <row r="382" spans="5:19" x14ac:dyDescent="0.75">
      <c r="E382">
        <v>377</v>
      </c>
      <c r="F382">
        <f t="shared" si="302"/>
        <v>100</v>
      </c>
      <c r="G382">
        <f t="shared" ca="1" si="303"/>
        <v>98.689147357337177</v>
      </c>
      <c r="H382">
        <f t="shared" ca="1" si="303"/>
        <v>95.067013913780968</v>
      </c>
      <c r="I382">
        <f t="shared" ca="1" si="303"/>
        <v>100.76035288630636</v>
      </c>
      <c r="J382">
        <f t="shared" ref="J382:P382" ca="1" si="353">I382*EXP(($C$6-0.5*$C$7^2)*$C$12+$C$7*SQRT($C$12)*NORMINV(RAND(),0,1))</f>
        <v>96.526566141688747</v>
      </c>
      <c r="K382">
        <f t="shared" ca="1" si="353"/>
        <v>89.561421773003545</v>
      </c>
      <c r="L382">
        <f t="shared" ca="1" si="353"/>
        <v>88.003592819071031</v>
      </c>
      <c r="M382">
        <f t="shared" ca="1" si="353"/>
        <v>91.152421803993619</v>
      </c>
      <c r="N382">
        <f t="shared" ca="1" si="353"/>
        <v>93.168118302469779</v>
      </c>
      <c r="O382">
        <f t="shared" ca="1" si="353"/>
        <v>90.370838775820019</v>
      </c>
      <c r="P382">
        <f t="shared" ca="1" si="353"/>
        <v>86.172773248549191</v>
      </c>
      <c r="Q382">
        <f t="shared" ca="1" si="304"/>
        <v>100.76035288630636</v>
      </c>
      <c r="R382">
        <f t="shared" ca="1" si="305"/>
        <v>0</v>
      </c>
      <c r="S382">
        <f t="shared" ca="1" si="306"/>
        <v>0</v>
      </c>
    </row>
    <row r="383" spans="5:19" x14ac:dyDescent="0.75">
      <c r="E383">
        <v>378</v>
      </c>
      <c r="F383">
        <f t="shared" si="302"/>
        <v>100</v>
      </c>
      <c r="G383">
        <f t="shared" ca="1" si="303"/>
        <v>101.72401306948792</v>
      </c>
      <c r="H383">
        <f t="shared" ca="1" si="303"/>
        <v>104.72059013216145</v>
      </c>
      <c r="I383">
        <f t="shared" ca="1" si="303"/>
        <v>107.04420471115444</v>
      </c>
      <c r="J383">
        <f t="shared" ref="J383:P383" ca="1" si="354">I383*EXP(($C$6-0.5*$C$7^2)*$C$12+$C$7*SQRT($C$12)*NORMINV(RAND(),0,1))</f>
        <v>115.23820491800427</v>
      </c>
      <c r="K383">
        <f t="shared" ca="1" si="354"/>
        <v>115.51698409013315</v>
      </c>
      <c r="L383">
        <f t="shared" ca="1" si="354"/>
        <v>125.42710228433609</v>
      </c>
      <c r="M383">
        <f t="shared" ca="1" si="354"/>
        <v>114.45067767214604</v>
      </c>
      <c r="N383">
        <f t="shared" ca="1" si="354"/>
        <v>120.30563397885774</v>
      </c>
      <c r="O383">
        <f t="shared" ca="1" si="354"/>
        <v>131.46949541854187</v>
      </c>
      <c r="P383">
        <f t="shared" ca="1" si="354"/>
        <v>130.98229345071667</v>
      </c>
      <c r="Q383">
        <f t="shared" ca="1" si="304"/>
        <v>131.46949541854187</v>
      </c>
      <c r="R383">
        <f t="shared" ca="1" si="305"/>
        <v>0</v>
      </c>
      <c r="S383">
        <f t="shared" ca="1" si="306"/>
        <v>0</v>
      </c>
    </row>
    <row r="384" spans="5:19" x14ac:dyDescent="0.75">
      <c r="E384">
        <v>379</v>
      </c>
      <c r="F384">
        <f t="shared" si="302"/>
        <v>100</v>
      </c>
      <c r="G384">
        <f t="shared" ca="1" si="303"/>
        <v>107.67476614859758</v>
      </c>
      <c r="H384">
        <f t="shared" ca="1" si="303"/>
        <v>98.416064634057037</v>
      </c>
      <c r="I384">
        <f t="shared" ca="1" si="303"/>
        <v>111.13999704848511</v>
      </c>
      <c r="J384">
        <f t="shared" ref="J384:P384" ca="1" si="355">I384*EXP(($C$6-0.5*$C$7^2)*$C$12+$C$7*SQRT($C$12)*NORMINV(RAND(),0,1))</f>
        <v>110.95975199712471</v>
      </c>
      <c r="K384">
        <f t="shared" ca="1" si="355"/>
        <v>104.50027030403618</v>
      </c>
      <c r="L384">
        <f t="shared" ca="1" si="355"/>
        <v>109.70610591019712</v>
      </c>
      <c r="M384">
        <f t="shared" ca="1" si="355"/>
        <v>107.75549737510156</v>
      </c>
      <c r="N384">
        <f t="shared" ca="1" si="355"/>
        <v>108.93821191750715</v>
      </c>
      <c r="O384">
        <f t="shared" ca="1" si="355"/>
        <v>109.76971020753523</v>
      </c>
      <c r="P384">
        <f t="shared" ca="1" si="355"/>
        <v>108.05159228725221</v>
      </c>
      <c r="Q384">
        <f t="shared" ca="1" si="304"/>
        <v>111.13999704848511</v>
      </c>
      <c r="R384">
        <f t="shared" ca="1" si="305"/>
        <v>0</v>
      </c>
      <c r="S384">
        <f t="shared" ca="1" si="306"/>
        <v>0</v>
      </c>
    </row>
    <row r="385" spans="5:19" x14ac:dyDescent="0.75">
      <c r="E385">
        <v>380</v>
      </c>
      <c r="F385">
        <f t="shared" si="302"/>
        <v>100</v>
      </c>
      <c r="G385">
        <f t="shared" ca="1" si="303"/>
        <v>98.386533554542041</v>
      </c>
      <c r="H385">
        <f t="shared" ca="1" si="303"/>
        <v>104.5440487935057</v>
      </c>
      <c r="I385">
        <f t="shared" ca="1" si="303"/>
        <v>103.49614567220554</v>
      </c>
      <c r="J385">
        <f t="shared" ref="J385:P385" ca="1" si="356">I385*EXP(($C$6-0.5*$C$7^2)*$C$12+$C$7*SQRT($C$12)*NORMINV(RAND(),0,1))</f>
        <v>95.23695581028332</v>
      </c>
      <c r="K385">
        <f t="shared" ca="1" si="356"/>
        <v>93.406980998290152</v>
      </c>
      <c r="L385">
        <f t="shared" ca="1" si="356"/>
        <v>88.377519207702932</v>
      </c>
      <c r="M385">
        <f t="shared" ca="1" si="356"/>
        <v>87.206729382867309</v>
      </c>
      <c r="N385">
        <f t="shared" ca="1" si="356"/>
        <v>88.3554370534181</v>
      </c>
      <c r="O385">
        <f t="shared" ca="1" si="356"/>
        <v>90.029369519518625</v>
      </c>
      <c r="P385">
        <f t="shared" ca="1" si="356"/>
        <v>90.327114397972963</v>
      </c>
      <c r="Q385">
        <f t="shared" ca="1" si="304"/>
        <v>104.5440487935057</v>
      </c>
      <c r="R385">
        <f t="shared" ca="1" si="305"/>
        <v>0</v>
      </c>
      <c r="S385">
        <f t="shared" ca="1" si="306"/>
        <v>0</v>
      </c>
    </row>
    <row r="386" spans="5:19" x14ac:dyDescent="0.75">
      <c r="E386">
        <v>381</v>
      </c>
      <c r="F386">
        <f t="shared" si="302"/>
        <v>100</v>
      </c>
      <c r="G386">
        <f t="shared" ca="1" si="303"/>
        <v>93.875722785233691</v>
      </c>
      <c r="H386">
        <f t="shared" ca="1" si="303"/>
        <v>97.576192206770983</v>
      </c>
      <c r="I386">
        <f t="shared" ca="1" si="303"/>
        <v>100.46225848423657</v>
      </c>
      <c r="J386">
        <f t="shared" ref="J386:P386" ca="1" si="357">I386*EXP(($C$6-0.5*$C$7^2)*$C$12+$C$7*SQRT($C$12)*NORMINV(RAND(),0,1))</f>
        <v>107.50889599154536</v>
      </c>
      <c r="K386">
        <f t="shared" ca="1" si="357"/>
        <v>105.82607444839232</v>
      </c>
      <c r="L386">
        <f t="shared" ca="1" si="357"/>
        <v>97.905695481467973</v>
      </c>
      <c r="M386">
        <f t="shared" ca="1" si="357"/>
        <v>99.677719314633066</v>
      </c>
      <c r="N386">
        <f t="shared" ca="1" si="357"/>
        <v>107.47983496861143</v>
      </c>
      <c r="O386">
        <f t="shared" ca="1" si="357"/>
        <v>100.95106244092632</v>
      </c>
      <c r="P386">
        <f t="shared" ca="1" si="357"/>
        <v>102.15397928691375</v>
      </c>
      <c r="Q386">
        <f t="shared" ca="1" si="304"/>
        <v>107.50889599154536</v>
      </c>
      <c r="R386">
        <f t="shared" ca="1" si="305"/>
        <v>0.15397928691375284</v>
      </c>
      <c r="S386">
        <f t="shared" ca="1" si="306"/>
        <v>0.15017752477403767</v>
      </c>
    </row>
    <row r="387" spans="5:19" x14ac:dyDescent="0.75">
      <c r="E387">
        <v>382</v>
      </c>
      <c r="F387">
        <f t="shared" si="302"/>
        <v>100</v>
      </c>
      <c r="G387">
        <f t="shared" ca="1" si="303"/>
        <v>96.594031643264216</v>
      </c>
      <c r="H387">
        <f t="shared" ca="1" si="303"/>
        <v>95.616211645716518</v>
      </c>
      <c r="I387">
        <f t="shared" ca="1" si="303"/>
        <v>97.755211542725831</v>
      </c>
      <c r="J387">
        <f t="shared" ref="J387:P387" ca="1" si="358">I387*EXP(($C$6-0.5*$C$7^2)*$C$12+$C$7*SQRT($C$12)*NORMINV(RAND(),0,1))</f>
        <v>98.052783750050992</v>
      </c>
      <c r="K387">
        <f t="shared" ca="1" si="358"/>
        <v>96.945286156307787</v>
      </c>
      <c r="L387">
        <f t="shared" ca="1" si="358"/>
        <v>97.316166281665872</v>
      </c>
      <c r="M387">
        <f t="shared" ca="1" si="358"/>
        <v>97.389258193331486</v>
      </c>
      <c r="N387">
        <f t="shared" ca="1" si="358"/>
        <v>94.814089840331761</v>
      </c>
      <c r="O387">
        <f t="shared" ca="1" si="358"/>
        <v>95.939180750482009</v>
      </c>
      <c r="P387">
        <f t="shared" ca="1" si="358"/>
        <v>94.096414391705167</v>
      </c>
      <c r="Q387">
        <f t="shared" ca="1" si="304"/>
        <v>98.052783750050992</v>
      </c>
      <c r="R387">
        <f t="shared" ca="1" si="305"/>
        <v>0</v>
      </c>
      <c r="S387">
        <f t="shared" ca="1" si="306"/>
        <v>0</v>
      </c>
    </row>
    <row r="388" spans="5:19" x14ac:dyDescent="0.75">
      <c r="E388">
        <v>383</v>
      </c>
      <c r="F388">
        <f t="shared" si="302"/>
        <v>100</v>
      </c>
      <c r="G388">
        <f t="shared" ca="1" si="303"/>
        <v>106.18457946208673</v>
      </c>
      <c r="H388">
        <f t="shared" ca="1" si="303"/>
        <v>113.0914203389067</v>
      </c>
      <c r="I388">
        <f t="shared" ca="1" si="303"/>
        <v>119.05826802928543</v>
      </c>
      <c r="J388">
        <f t="shared" ref="J388:P388" ca="1" si="359">I388*EXP(($C$6-0.5*$C$7^2)*$C$12+$C$7*SQRT($C$12)*NORMINV(RAND(),0,1))</f>
        <v>108.41418417758365</v>
      </c>
      <c r="K388">
        <f t="shared" ca="1" si="359"/>
        <v>110.94164309265959</v>
      </c>
      <c r="L388">
        <f t="shared" ca="1" si="359"/>
        <v>100.57420362620911</v>
      </c>
      <c r="M388">
        <f t="shared" ca="1" si="359"/>
        <v>102.87656017794201</v>
      </c>
      <c r="N388">
        <f t="shared" ca="1" si="359"/>
        <v>103.78964976132414</v>
      </c>
      <c r="O388">
        <f t="shared" ca="1" si="359"/>
        <v>101.57134855187131</v>
      </c>
      <c r="P388">
        <f t="shared" ca="1" si="359"/>
        <v>103.50261005295876</v>
      </c>
      <c r="Q388">
        <f t="shared" ca="1" si="304"/>
        <v>119.05826802928543</v>
      </c>
      <c r="R388">
        <f t="shared" ca="1" si="305"/>
        <v>0</v>
      </c>
      <c r="S388">
        <f t="shared" ca="1" si="306"/>
        <v>0</v>
      </c>
    </row>
    <row r="389" spans="5:19" x14ac:dyDescent="0.75">
      <c r="E389">
        <v>384</v>
      </c>
      <c r="F389">
        <f t="shared" si="302"/>
        <v>100</v>
      </c>
      <c r="G389">
        <f t="shared" ca="1" si="303"/>
        <v>103.98295619962109</v>
      </c>
      <c r="H389">
        <f t="shared" ca="1" si="303"/>
        <v>101.53907093514741</v>
      </c>
      <c r="I389">
        <f t="shared" ca="1" si="303"/>
        <v>96.06231642469281</v>
      </c>
      <c r="J389">
        <f t="shared" ref="J389:P389" ca="1" si="360">I389*EXP(($C$6-0.5*$C$7^2)*$C$12+$C$7*SQRT($C$12)*NORMINV(RAND(),0,1))</f>
        <v>101.34403059393054</v>
      </c>
      <c r="K389">
        <f t="shared" ca="1" si="360"/>
        <v>98.524599267688146</v>
      </c>
      <c r="L389">
        <f t="shared" ca="1" si="360"/>
        <v>94.459550168521687</v>
      </c>
      <c r="M389">
        <f t="shared" ca="1" si="360"/>
        <v>97.350671008311778</v>
      </c>
      <c r="N389">
        <f t="shared" ca="1" si="360"/>
        <v>91.910414830459843</v>
      </c>
      <c r="O389">
        <f t="shared" ca="1" si="360"/>
        <v>95.431295996671196</v>
      </c>
      <c r="P389">
        <f t="shared" ca="1" si="360"/>
        <v>86.714235134517182</v>
      </c>
      <c r="Q389">
        <f t="shared" ca="1" si="304"/>
        <v>103.98295619962109</v>
      </c>
      <c r="R389">
        <f t="shared" ca="1" si="305"/>
        <v>0</v>
      </c>
      <c r="S389">
        <f t="shared" ca="1" si="306"/>
        <v>0</v>
      </c>
    </row>
    <row r="390" spans="5:19" x14ac:dyDescent="0.75">
      <c r="E390">
        <v>385</v>
      </c>
      <c r="F390">
        <f t="shared" si="302"/>
        <v>100</v>
      </c>
      <c r="G390">
        <f t="shared" ca="1" si="303"/>
        <v>100.92542606408379</v>
      </c>
      <c r="H390">
        <f t="shared" ca="1" si="303"/>
        <v>95.442977848417385</v>
      </c>
      <c r="I390">
        <f t="shared" ca="1" si="303"/>
        <v>92.112086738944498</v>
      </c>
      <c r="J390">
        <f t="shared" ref="J390:P390" ca="1" si="361">I390*EXP(($C$6-0.5*$C$7^2)*$C$12+$C$7*SQRT($C$12)*NORMINV(RAND(),0,1))</f>
        <v>92.019119070426967</v>
      </c>
      <c r="K390">
        <f t="shared" ca="1" si="361"/>
        <v>96.830144473249234</v>
      </c>
      <c r="L390">
        <f t="shared" ca="1" si="361"/>
        <v>95.812893270553289</v>
      </c>
      <c r="M390">
        <f t="shared" ca="1" si="361"/>
        <v>97.247979644491878</v>
      </c>
      <c r="N390">
        <f t="shared" ca="1" si="361"/>
        <v>96.66578601934404</v>
      </c>
      <c r="O390">
        <f t="shared" ca="1" si="361"/>
        <v>92.562876182554334</v>
      </c>
      <c r="P390">
        <f t="shared" ca="1" si="361"/>
        <v>90.379829262520076</v>
      </c>
      <c r="Q390">
        <f t="shared" ca="1" si="304"/>
        <v>100.92542606408379</v>
      </c>
      <c r="R390">
        <f t="shared" ca="1" si="305"/>
        <v>0</v>
      </c>
      <c r="S390">
        <f t="shared" ca="1" si="306"/>
        <v>0</v>
      </c>
    </row>
    <row r="391" spans="5:19" x14ac:dyDescent="0.75">
      <c r="E391">
        <v>386</v>
      </c>
      <c r="F391">
        <f t="shared" ref="F391:F454" si="362">$C$5</f>
        <v>100</v>
      </c>
      <c r="G391">
        <f t="shared" ref="G391:P454" ca="1" si="363">F391*EXP(($C$6-0.5*$C$7^2)*$C$12+$C$7*SQRT($C$12)*NORMINV(RAND(),0,1))</f>
        <v>99.467250792196907</v>
      </c>
      <c r="H391">
        <f t="shared" ca="1" si="363"/>
        <v>98.136630203196432</v>
      </c>
      <c r="I391">
        <f t="shared" ca="1" si="363"/>
        <v>100.84244709592035</v>
      </c>
      <c r="J391">
        <f t="shared" ca="1" si="363"/>
        <v>111.39547482220152</v>
      </c>
      <c r="K391">
        <f t="shared" ca="1" si="363"/>
        <v>106.57052710823046</v>
      </c>
      <c r="L391">
        <f t="shared" ca="1" si="363"/>
        <v>106.54553217210193</v>
      </c>
      <c r="M391">
        <f t="shared" ca="1" si="363"/>
        <v>107.39413458407397</v>
      </c>
      <c r="N391">
        <f t="shared" ca="1" si="363"/>
        <v>118.5332298905424</v>
      </c>
      <c r="O391">
        <f t="shared" ca="1" si="363"/>
        <v>119.22759970825058</v>
      </c>
      <c r="P391">
        <f t="shared" ca="1" si="363"/>
        <v>109.59016258165015</v>
      </c>
      <c r="Q391">
        <f t="shared" ref="Q391:Q454" ca="1" si="364">MAX(G391:P391)</f>
        <v>119.22759970825058</v>
      </c>
      <c r="R391">
        <f t="shared" ref="R391:R454" ca="1" si="365">IF(Q391&gt;=$C$13,0, MAX(P391-$C$9,0))</f>
        <v>0</v>
      </c>
      <c r="S391">
        <f t="shared" ref="S391:S454" ca="1" si="366">EXP(-$C$6*$C$8)*R391</f>
        <v>0</v>
      </c>
    </row>
    <row r="392" spans="5:19" x14ac:dyDescent="0.75">
      <c r="E392">
        <v>387</v>
      </c>
      <c r="F392">
        <f t="shared" si="362"/>
        <v>100</v>
      </c>
      <c r="G392">
        <f t="shared" ca="1" si="363"/>
        <v>105.82208513627711</v>
      </c>
      <c r="H392">
        <f t="shared" ca="1" si="363"/>
        <v>110.49487105516521</v>
      </c>
      <c r="I392">
        <f t="shared" ca="1" si="363"/>
        <v>109.00555549825266</v>
      </c>
      <c r="J392">
        <f t="shared" ca="1" si="363"/>
        <v>115.65855023589057</v>
      </c>
      <c r="K392">
        <f t="shared" ca="1" si="363"/>
        <v>115.41811689885718</v>
      </c>
      <c r="L392">
        <f t="shared" ca="1" si="363"/>
        <v>119.99443369216323</v>
      </c>
      <c r="M392">
        <f t="shared" ca="1" si="363"/>
        <v>137.40879387324676</v>
      </c>
      <c r="N392">
        <f t="shared" ca="1" si="363"/>
        <v>124.96912965030334</v>
      </c>
      <c r="O392">
        <f t="shared" ca="1" si="363"/>
        <v>113.02367158054292</v>
      </c>
      <c r="P392">
        <f t="shared" ca="1" si="363"/>
        <v>107.90975189544534</v>
      </c>
      <c r="Q392">
        <f t="shared" ca="1" si="364"/>
        <v>137.40879387324676</v>
      </c>
      <c r="R392">
        <f t="shared" ca="1" si="365"/>
        <v>0</v>
      </c>
      <c r="S392">
        <f t="shared" ca="1" si="366"/>
        <v>0</v>
      </c>
    </row>
    <row r="393" spans="5:19" x14ac:dyDescent="0.75">
      <c r="E393">
        <v>388</v>
      </c>
      <c r="F393">
        <f t="shared" si="362"/>
        <v>100</v>
      </c>
      <c r="G393">
        <f t="shared" ca="1" si="363"/>
        <v>98.250691279889253</v>
      </c>
      <c r="H393">
        <f t="shared" ca="1" si="363"/>
        <v>92.698269883868718</v>
      </c>
      <c r="I393">
        <f t="shared" ca="1" si="363"/>
        <v>93.784177243494511</v>
      </c>
      <c r="J393">
        <f t="shared" ca="1" si="363"/>
        <v>94.826056103575795</v>
      </c>
      <c r="K393">
        <f t="shared" ca="1" si="363"/>
        <v>96.778032127487478</v>
      </c>
      <c r="L393">
        <f t="shared" ca="1" si="363"/>
        <v>99.735570696345434</v>
      </c>
      <c r="M393">
        <f t="shared" ca="1" si="363"/>
        <v>99.851443314692929</v>
      </c>
      <c r="N393">
        <f t="shared" ca="1" si="363"/>
        <v>94.730382971758431</v>
      </c>
      <c r="O393">
        <f t="shared" ca="1" si="363"/>
        <v>94.110986450967786</v>
      </c>
      <c r="P393">
        <f t="shared" ca="1" si="363"/>
        <v>94.694706033511636</v>
      </c>
      <c r="Q393">
        <f t="shared" ca="1" si="364"/>
        <v>99.851443314692929</v>
      </c>
      <c r="R393">
        <f t="shared" ca="1" si="365"/>
        <v>0</v>
      </c>
      <c r="S393">
        <f t="shared" ca="1" si="366"/>
        <v>0</v>
      </c>
    </row>
    <row r="394" spans="5:19" x14ac:dyDescent="0.75">
      <c r="E394">
        <v>389</v>
      </c>
      <c r="F394">
        <f t="shared" si="362"/>
        <v>100</v>
      </c>
      <c r="G394">
        <f t="shared" ca="1" si="363"/>
        <v>94.378784133041265</v>
      </c>
      <c r="H394">
        <f t="shared" ca="1" si="363"/>
        <v>93.296040745164817</v>
      </c>
      <c r="I394">
        <f t="shared" ca="1" si="363"/>
        <v>92.238971821406125</v>
      </c>
      <c r="J394">
        <f t="shared" ca="1" si="363"/>
        <v>97.42965389891171</v>
      </c>
      <c r="K394">
        <f t="shared" ca="1" si="363"/>
        <v>92.101530769978126</v>
      </c>
      <c r="L394">
        <f t="shared" ca="1" si="363"/>
        <v>95.084211329522589</v>
      </c>
      <c r="M394">
        <f t="shared" ca="1" si="363"/>
        <v>93.456417222444387</v>
      </c>
      <c r="N394">
        <f t="shared" ca="1" si="363"/>
        <v>98.509537591743751</v>
      </c>
      <c r="O394">
        <f t="shared" ca="1" si="363"/>
        <v>101.37331283236911</v>
      </c>
      <c r="P394">
        <f t="shared" ca="1" si="363"/>
        <v>101.5650118822967</v>
      </c>
      <c r="Q394">
        <f t="shared" ca="1" si="364"/>
        <v>101.5650118822967</v>
      </c>
      <c r="R394">
        <f t="shared" ca="1" si="365"/>
        <v>0</v>
      </c>
      <c r="S394">
        <f t="shared" ca="1" si="366"/>
        <v>0</v>
      </c>
    </row>
    <row r="395" spans="5:19" x14ac:dyDescent="0.75">
      <c r="E395">
        <v>390</v>
      </c>
      <c r="F395">
        <f t="shared" si="362"/>
        <v>100</v>
      </c>
      <c r="G395">
        <f t="shared" ca="1" si="363"/>
        <v>100.2481176740357</v>
      </c>
      <c r="H395">
        <f t="shared" ca="1" si="363"/>
        <v>106.58077689689425</v>
      </c>
      <c r="I395">
        <f t="shared" ca="1" si="363"/>
        <v>97.783015441149814</v>
      </c>
      <c r="J395">
        <f t="shared" ca="1" si="363"/>
        <v>97.392884112523348</v>
      </c>
      <c r="K395">
        <f t="shared" ca="1" si="363"/>
        <v>95.327684472317117</v>
      </c>
      <c r="L395">
        <f t="shared" ca="1" si="363"/>
        <v>92.459587352112123</v>
      </c>
      <c r="M395">
        <f t="shared" ca="1" si="363"/>
        <v>90.50323899322531</v>
      </c>
      <c r="N395">
        <f t="shared" ca="1" si="363"/>
        <v>87.555243163455785</v>
      </c>
      <c r="O395">
        <f t="shared" ca="1" si="363"/>
        <v>83.955785689885403</v>
      </c>
      <c r="P395">
        <f t="shared" ca="1" si="363"/>
        <v>79.3978115047573</v>
      </c>
      <c r="Q395">
        <f t="shared" ca="1" si="364"/>
        <v>106.58077689689425</v>
      </c>
      <c r="R395">
        <f t="shared" ca="1" si="365"/>
        <v>0</v>
      </c>
      <c r="S395">
        <f t="shared" ca="1" si="366"/>
        <v>0</v>
      </c>
    </row>
    <row r="396" spans="5:19" x14ac:dyDescent="0.75">
      <c r="E396">
        <v>391</v>
      </c>
      <c r="F396">
        <f t="shared" si="362"/>
        <v>100</v>
      </c>
      <c r="G396">
        <f t="shared" ca="1" si="363"/>
        <v>97.915390899609619</v>
      </c>
      <c r="H396">
        <f t="shared" ca="1" si="363"/>
        <v>100.12274555893596</v>
      </c>
      <c r="I396">
        <f t="shared" ca="1" si="363"/>
        <v>102.18588678294269</v>
      </c>
      <c r="J396">
        <f t="shared" ca="1" si="363"/>
        <v>97.81932404496375</v>
      </c>
      <c r="K396">
        <f t="shared" ca="1" si="363"/>
        <v>105.53939712718589</v>
      </c>
      <c r="L396">
        <f t="shared" ca="1" si="363"/>
        <v>104.25924225043008</v>
      </c>
      <c r="M396">
        <f t="shared" ca="1" si="363"/>
        <v>103.8266096139219</v>
      </c>
      <c r="N396">
        <f t="shared" ca="1" si="363"/>
        <v>103.24867424514593</v>
      </c>
      <c r="O396">
        <f t="shared" ca="1" si="363"/>
        <v>109.60102061036744</v>
      </c>
      <c r="P396">
        <f t="shared" ca="1" si="363"/>
        <v>109.94456749693622</v>
      </c>
      <c r="Q396">
        <f t="shared" ca="1" si="364"/>
        <v>109.94456749693622</v>
      </c>
      <c r="R396">
        <f t="shared" ca="1" si="365"/>
        <v>7.9445674969362159</v>
      </c>
      <c r="S396">
        <f t="shared" ca="1" si="366"/>
        <v>7.7484154265400109</v>
      </c>
    </row>
    <row r="397" spans="5:19" x14ac:dyDescent="0.75">
      <c r="E397">
        <v>392</v>
      </c>
      <c r="F397">
        <f t="shared" si="362"/>
        <v>100</v>
      </c>
      <c r="G397">
        <f t="shared" ca="1" si="363"/>
        <v>101.14671095110248</v>
      </c>
      <c r="H397">
        <f t="shared" ca="1" si="363"/>
        <v>104.49696484207692</v>
      </c>
      <c r="I397">
        <f t="shared" ca="1" si="363"/>
        <v>109.8976604487402</v>
      </c>
      <c r="J397">
        <f t="shared" ca="1" si="363"/>
        <v>105.93320060480687</v>
      </c>
      <c r="K397">
        <f t="shared" ca="1" si="363"/>
        <v>105.88811914812462</v>
      </c>
      <c r="L397">
        <f t="shared" ca="1" si="363"/>
        <v>103.23935286854166</v>
      </c>
      <c r="M397">
        <f t="shared" ca="1" si="363"/>
        <v>101.04738649021249</v>
      </c>
      <c r="N397">
        <f t="shared" ca="1" si="363"/>
        <v>110.69216243811873</v>
      </c>
      <c r="O397">
        <f t="shared" ca="1" si="363"/>
        <v>107.33665382067313</v>
      </c>
      <c r="P397">
        <f t="shared" ca="1" si="363"/>
        <v>110.98954377924291</v>
      </c>
      <c r="Q397">
        <f t="shared" ca="1" si="364"/>
        <v>110.98954377924291</v>
      </c>
      <c r="R397">
        <f t="shared" ca="1" si="365"/>
        <v>0</v>
      </c>
      <c r="S397">
        <f t="shared" ca="1" si="366"/>
        <v>0</v>
      </c>
    </row>
    <row r="398" spans="5:19" x14ac:dyDescent="0.75">
      <c r="E398">
        <v>393</v>
      </c>
      <c r="F398">
        <f t="shared" si="362"/>
        <v>100</v>
      </c>
      <c r="G398">
        <f t="shared" ca="1" si="363"/>
        <v>98.017071647928688</v>
      </c>
      <c r="H398">
        <f t="shared" ca="1" si="363"/>
        <v>96.640447618431935</v>
      </c>
      <c r="I398">
        <f t="shared" ca="1" si="363"/>
        <v>92.36821389040206</v>
      </c>
      <c r="J398">
        <f t="shared" ca="1" si="363"/>
        <v>95.356929583199403</v>
      </c>
      <c r="K398">
        <f t="shared" ca="1" si="363"/>
        <v>94.399530199625829</v>
      </c>
      <c r="L398">
        <f t="shared" ca="1" si="363"/>
        <v>102.43804940687392</v>
      </c>
      <c r="M398">
        <f t="shared" ca="1" si="363"/>
        <v>98.31380706455171</v>
      </c>
      <c r="N398">
        <f t="shared" ca="1" si="363"/>
        <v>101.21279866197517</v>
      </c>
      <c r="O398">
        <f t="shared" ca="1" si="363"/>
        <v>101.88018703281443</v>
      </c>
      <c r="P398">
        <f t="shared" ca="1" si="363"/>
        <v>99.083096466217256</v>
      </c>
      <c r="Q398">
        <f t="shared" ca="1" si="364"/>
        <v>102.43804940687392</v>
      </c>
      <c r="R398">
        <f t="shared" ca="1" si="365"/>
        <v>0</v>
      </c>
      <c r="S398">
        <f t="shared" ca="1" si="366"/>
        <v>0</v>
      </c>
    </row>
    <row r="399" spans="5:19" x14ac:dyDescent="0.75">
      <c r="E399">
        <v>394</v>
      </c>
      <c r="F399">
        <f t="shared" si="362"/>
        <v>100</v>
      </c>
      <c r="G399">
        <f t="shared" ca="1" si="363"/>
        <v>101.62562081114108</v>
      </c>
      <c r="H399">
        <f t="shared" ca="1" si="363"/>
        <v>103.1860340432341</v>
      </c>
      <c r="I399">
        <f t="shared" ca="1" si="363"/>
        <v>99.739518102851548</v>
      </c>
      <c r="J399">
        <f t="shared" ca="1" si="363"/>
        <v>96.251501636229079</v>
      </c>
      <c r="K399">
        <f t="shared" ca="1" si="363"/>
        <v>89.45306716322392</v>
      </c>
      <c r="L399">
        <f t="shared" ca="1" si="363"/>
        <v>88.390869187113836</v>
      </c>
      <c r="M399">
        <f t="shared" ca="1" si="363"/>
        <v>97.019860202420318</v>
      </c>
      <c r="N399">
        <f t="shared" ca="1" si="363"/>
        <v>92.511023104171827</v>
      </c>
      <c r="O399">
        <f t="shared" ca="1" si="363"/>
        <v>90.830973614408791</v>
      </c>
      <c r="P399">
        <f t="shared" ca="1" si="363"/>
        <v>93.046994580536904</v>
      </c>
      <c r="Q399">
        <f t="shared" ca="1" si="364"/>
        <v>103.1860340432341</v>
      </c>
      <c r="R399">
        <f t="shared" ca="1" si="365"/>
        <v>0</v>
      </c>
      <c r="S399">
        <f t="shared" ca="1" si="366"/>
        <v>0</v>
      </c>
    </row>
    <row r="400" spans="5:19" x14ac:dyDescent="0.75">
      <c r="E400">
        <v>395</v>
      </c>
      <c r="F400">
        <f t="shared" si="362"/>
        <v>100</v>
      </c>
      <c r="G400">
        <f t="shared" ca="1" si="363"/>
        <v>100.16807785029889</v>
      </c>
      <c r="H400">
        <f t="shared" ca="1" si="363"/>
        <v>103.01140612717295</v>
      </c>
      <c r="I400">
        <f t="shared" ca="1" si="363"/>
        <v>105.23276930191669</v>
      </c>
      <c r="J400">
        <f t="shared" ref="J400:P400" ca="1" si="367">I400*EXP(($C$6-0.5*$C$7^2)*$C$12+$C$7*SQRT($C$12)*NORMINV(RAND(),0,1))</f>
        <v>108.9752719203467</v>
      </c>
      <c r="K400">
        <f t="shared" ca="1" si="367"/>
        <v>105.76332943405396</v>
      </c>
      <c r="L400">
        <f t="shared" ca="1" si="367"/>
        <v>120.38263746434767</v>
      </c>
      <c r="M400">
        <f t="shared" ca="1" si="367"/>
        <v>133.56078196814155</v>
      </c>
      <c r="N400">
        <f t="shared" ca="1" si="367"/>
        <v>125.59471066170865</v>
      </c>
      <c r="O400">
        <f t="shared" ca="1" si="367"/>
        <v>122.95250353419439</v>
      </c>
      <c r="P400">
        <f t="shared" ca="1" si="367"/>
        <v>121.96330971676844</v>
      </c>
      <c r="Q400">
        <f t="shared" ca="1" si="364"/>
        <v>133.56078196814155</v>
      </c>
      <c r="R400">
        <f t="shared" ca="1" si="365"/>
        <v>0</v>
      </c>
      <c r="S400">
        <f t="shared" ca="1" si="366"/>
        <v>0</v>
      </c>
    </row>
    <row r="401" spans="5:19" x14ac:dyDescent="0.75">
      <c r="E401">
        <v>396</v>
      </c>
      <c r="F401">
        <f t="shared" si="362"/>
        <v>100</v>
      </c>
      <c r="G401">
        <f t="shared" ca="1" si="363"/>
        <v>97.462656371309123</v>
      </c>
      <c r="H401">
        <f t="shared" ca="1" si="363"/>
        <v>98.8815363124111</v>
      </c>
      <c r="I401">
        <f t="shared" ca="1" si="363"/>
        <v>100.48768439432257</v>
      </c>
      <c r="J401">
        <f t="shared" ref="J401:P401" ca="1" si="368">I401*EXP(($C$6-0.5*$C$7^2)*$C$12+$C$7*SQRT($C$12)*NORMINV(RAND(),0,1))</f>
        <v>98.92803467150982</v>
      </c>
      <c r="K401">
        <f t="shared" ca="1" si="368"/>
        <v>107.69881373573456</v>
      </c>
      <c r="L401">
        <f t="shared" ca="1" si="368"/>
        <v>102.37098672285912</v>
      </c>
      <c r="M401">
        <f t="shared" ca="1" si="368"/>
        <v>92.942867770375088</v>
      </c>
      <c r="N401">
        <f t="shared" ca="1" si="368"/>
        <v>96.297156656626953</v>
      </c>
      <c r="O401">
        <f t="shared" ca="1" si="368"/>
        <v>100.10253089248687</v>
      </c>
      <c r="P401">
        <f t="shared" ca="1" si="368"/>
        <v>96.677371219185517</v>
      </c>
      <c r="Q401">
        <f t="shared" ca="1" si="364"/>
        <v>107.69881373573456</v>
      </c>
      <c r="R401">
        <f t="shared" ca="1" si="365"/>
        <v>0</v>
      </c>
      <c r="S401">
        <f t="shared" ca="1" si="366"/>
        <v>0</v>
      </c>
    </row>
    <row r="402" spans="5:19" x14ac:dyDescent="0.75">
      <c r="E402">
        <v>397</v>
      </c>
      <c r="F402">
        <f t="shared" si="362"/>
        <v>100</v>
      </c>
      <c r="G402">
        <f t="shared" ca="1" si="363"/>
        <v>99.452647947353981</v>
      </c>
      <c r="H402">
        <f t="shared" ca="1" si="363"/>
        <v>100.7298617848369</v>
      </c>
      <c r="I402">
        <f t="shared" ca="1" si="363"/>
        <v>99.481542369065366</v>
      </c>
      <c r="J402">
        <f t="shared" ref="J402:P402" ca="1" si="369">I402*EXP(($C$6-0.5*$C$7^2)*$C$12+$C$7*SQRT($C$12)*NORMINV(RAND(),0,1))</f>
        <v>98.687437637720052</v>
      </c>
      <c r="K402">
        <f t="shared" ca="1" si="369"/>
        <v>95.158250702368306</v>
      </c>
      <c r="L402">
        <f t="shared" ca="1" si="369"/>
        <v>94.504239084342899</v>
      </c>
      <c r="M402">
        <f t="shared" ca="1" si="369"/>
        <v>92.463550614088973</v>
      </c>
      <c r="N402">
        <f t="shared" ca="1" si="369"/>
        <v>88.150292431674075</v>
      </c>
      <c r="O402">
        <f t="shared" ca="1" si="369"/>
        <v>91.091127496553213</v>
      </c>
      <c r="P402">
        <f t="shared" ca="1" si="369"/>
        <v>100.92898886949007</v>
      </c>
      <c r="Q402">
        <f t="shared" ca="1" si="364"/>
        <v>100.92898886949007</v>
      </c>
      <c r="R402">
        <f t="shared" ca="1" si="365"/>
        <v>0</v>
      </c>
      <c r="S402">
        <f t="shared" ca="1" si="366"/>
        <v>0</v>
      </c>
    </row>
    <row r="403" spans="5:19" x14ac:dyDescent="0.75">
      <c r="E403">
        <v>398</v>
      </c>
      <c r="F403">
        <f t="shared" si="362"/>
        <v>100</v>
      </c>
      <c r="G403">
        <f t="shared" ca="1" si="363"/>
        <v>107.59913923072337</v>
      </c>
      <c r="H403">
        <f t="shared" ca="1" si="363"/>
        <v>102.38603861314397</v>
      </c>
      <c r="I403">
        <f t="shared" ca="1" si="363"/>
        <v>94.944258567051094</v>
      </c>
      <c r="J403">
        <f t="shared" ref="J403:P403" ca="1" si="370">I403*EXP(($C$6-0.5*$C$7^2)*$C$12+$C$7*SQRT($C$12)*NORMINV(RAND(),0,1))</f>
        <v>90.407998588776536</v>
      </c>
      <c r="K403">
        <f t="shared" ca="1" si="370"/>
        <v>96.785324538939818</v>
      </c>
      <c r="L403">
        <f t="shared" ca="1" si="370"/>
        <v>98.694544777630583</v>
      </c>
      <c r="M403">
        <f t="shared" ca="1" si="370"/>
        <v>100.87088703853755</v>
      </c>
      <c r="N403">
        <f t="shared" ca="1" si="370"/>
        <v>96.684926336866326</v>
      </c>
      <c r="O403">
        <f t="shared" ca="1" si="370"/>
        <v>96.405670335727976</v>
      </c>
      <c r="P403">
        <f t="shared" ca="1" si="370"/>
        <v>97.960671742515686</v>
      </c>
      <c r="Q403">
        <f t="shared" ca="1" si="364"/>
        <v>107.59913923072337</v>
      </c>
      <c r="R403">
        <f t="shared" ca="1" si="365"/>
        <v>0</v>
      </c>
      <c r="S403">
        <f t="shared" ca="1" si="366"/>
        <v>0</v>
      </c>
    </row>
    <row r="404" spans="5:19" x14ac:dyDescent="0.75">
      <c r="E404">
        <v>399</v>
      </c>
      <c r="F404">
        <f t="shared" si="362"/>
        <v>100</v>
      </c>
      <c r="G404">
        <f t="shared" ca="1" si="363"/>
        <v>101.5011128938271</v>
      </c>
      <c r="H404">
        <f t="shared" ca="1" si="363"/>
        <v>110.26181877828346</v>
      </c>
      <c r="I404">
        <f t="shared" ca="1" si="363"/>
        <v>107.21078445205517</v>
      </c>
      <c r="J404">
        <f t="shared" ref="J404:P404" ca="1" si="371">I404*EXP(($C$6-0.5*$C$7^2)*$C$12+$C$7*SQRT($C$12)*NORMINV(RAND(),0,1))</f>
        <v>113.8334497116746</v>
      </c>
      <c r="K404">
        <f t="shared" ca="1" si="371"/>
        <v>121.91328390729278</v>
      </c>
      <c r="L404">
        <f t="shared" ca="1" si="371"/>
        <v>115.3952878978024</v>
      </c>
      <c r="M404">
        <f t="shared" ca="1" si="371"/>
        <v>115.21060848911812</v>
      </c>
      <c r="N404">
        <f t="shared" ca="1" si="371"/>
        <v>117.31899328988746</v>
      </c>
      <c r="O404">
        <f t="shared" ca="1" si="371"/>
        <v>110.931137880541</v>
      </c>
      <c r="P404">
        <f t="shared" ca="1" si="371"/>
        <v>106.08804045301196</v>
      </c>
      <c r="Q404">
        <f t="shared" ca="1" si="364"/>
        <v>121.91328390729278</v>
      </c>
      <c r="R404">
        <f t="shared" ca="1" si="365"/>
        <v>0</v>
      </c>
      <c r="S404">
        <f t="shared" ca="1" si="366"/>
        <v>0</v>
      </c>
    </row>
    <row r="405" spans="5:19" x14ac:dyDescent="0.75">
      <c r="E405">
        <v>400</v>
      </c>
      <c r="F405">
        <f t="shared" si="362"/>
        <v>100</v>
      </c>
      <c r="G405">
        <f t="shared" ca="1" si="363"/>
        <v>104.49896057513995</v>
      </c>
      <c r="H405">
        <f t="shared" ca="1" si="363"/>
        <v>104.89397455176525</v>
      </c>
      <c r="I405">
        <f t="shared" ca="1" si="363"/>
        <v>115.8655299883502</v>
      </c>
      <c r="J405">
        <f t="shared" ref="J405:P405" ca="1" si="372">I405*EXP(($C$6-0.5*$C$7^2)*$C$12+$C$7*SQRT($C$12)*NORMINV(RAND(),0,1))</f>
        <v>121.67162447661511</v>
      </c>
      <c r="K405">
        <f t="shared" ca="1" si="372"/>
        <v>125.10624951337036</v>
      </c>
      <c r="L405">
        <f t="shared" ca="1" si="372"/>
        <v>129.35970289217701</v>
      </c>
      <c r="M405">
        <f t="shared" ca="1" si="372"/>
        <v>126.17430309645351</v>
      </c>
      <c r="N405">
        <f t="shared" ca="1" si="372"/>
        <v>134.39719804935737</v>
      </c>
      <c r="O405">
        <f t="shared" ca="1" si="372"/>
        <v>132.56902182477543</v>
      </c>
      <c r="P405">
        <f t="shared" ca="1" si="372"/>
        <v>129.57143496049255</v>
      </c>
      <c r="Q405">
        <f t="shared" ca="1" si="364"/>
        <v>134.39719804935737</v>
      </c>
      <c r="R405">
        <f t="shared" ca="1" si="365"/>
        <v>0</v>
      </c>
      <c r="S405">
        <f t="shared" ca="1" si="366"/>
        <v>0</v>
      </c>
    </row>
    <row r="406" spans="5:19" x14ac:dyDescent="0.75">
      <c r="E406">
        <v>401</v>
      </c>
      <c r="F406">
        <f t="shared" si="362"/>
        <v>100</v>
      </c>
      <c r="G406">
        <f t="shared" ca="1" si="363"/>
        <v>94.246399803983053</v>
      </c>
      <c r="H406">
        <f t="shared" ca="1" si="363"/>
        <v>97.690641232584497</v>
      </c>
      <c r="I406">
        <f t="shared" ca="1" si="363"/>
        <v>93.802942744865206</v>
      </c>
      <c r="J406">
        <f t="shared" ref="J406:P406" ca="1" si="373">I406*EXP(($C$6-0.5*$C$7^2)*$C$12+$C$7*SQRT($C$12)*NORMINV(RAND(),0,1))</f>
        <v>95.525780682205962</v>
      </c>
      <c r="K406">
        <f t="shared" ca="1" si="373"/>
        <v>102.17609074140988</v>
      </c>
      <c r="L406">
        <f t="shared" ca="1" si="373"/>
        <v>101.33171907273599</v>
      </c>
      <c r="M406">
        <f t="shared" ca="1" si="373"/>
        <v>100.05918454226359</v>
      </c>
      <c r="N406">
        <f t="shared" ca="1" si="373"/>
        <v>96.077506632853201</v>
      </c>
      <c r="O406">
        <f t="shared" ca="1" si="373"/>
        <v>97.155105944092526</v>
      </c>
      <c r="P406">
        <f t="shared" ca="1" si="373"/>
        <v>97.874160786387492</v>
      </c>
      <c r="Q406">
        <f t="shared" ca="1" si="364"/>
        <v>102.17609074140988</v>
      </c>
      <c r="R406">
        <f t="shared" ca="1" si="365"/>
        <v>0</v>
      </c>
      <c r="S406">
        <f t="shared" ca="1" si="366"/>
        <v>0</v>
      </c>
    </row>
    <row r="407" spans="5:19" x14ac:dyDescent="0.75">
      <c r="E407">
        <v>402</v>
      </c>
      <c r="F407">
        <f t="shared" si="362"/>
        <v>100</v>
      </c>
      <c r="G407">
        <f t="shared" ca="1" si="363"/>
        <v>106.85896729830786</v>
      </c>
      <c r="H407">
        <f t="shared" ca="1" si="363"/>
        <v>107.69538789126645</v>
      </c>
      <c r="I407">
        <f t="shared" ca="1" si="363"/>
        <v>112.01182551748524</v>
      </c>
      <c r="J407">
        <f t="shared" ref="J407:P407" ca="1" si="374">I407*EXP(($C$6-0.5*$C$7^2)*$C$12+$C$7*SQRT($C$12)*NORMINV(RAND(),0,1))</f>
        <v>102.24333352211612</v>
      </c>
      <c r="K407">
        <f t="shared" ca="1" si="374"/>
        <v>107.57467490669761</v>
      </c>
      <c r="L407">
        <f t="shared" ca="1" si="374"/>
        <v>106.18464799709334</v>
      </c>
      <c r="M407">
        <f t="shared" ca="1" si="374"/>
        <v>104.28897531536761</v>
      </c>
      <c r="N407">
        <f t="shared" ca="1" si="374"/>
        <v>108.40893135960542</v>
      </c>
      <c r="O407">
        <f t="shared" ca="1" si="374"/>
        <v>110.05029033787771</v>
      </c>
      <c r="P407">
        <f t="shared" ca="1" si="374"/>
        <v>112.71180036810522</v>
      </c>
      <c r="Q407">
        <f t="shared" ca="1" si="364"/>
        <v>112.71180036810522</v>
      </c>
      <c r="R407">
        <f t="shared" ca="1" si="365"/>
        <v>0</v>
      </c>
      <c r="S407">
        <f t="shared" ca="1" si="366"/>
        <v>0</v>
      </c>
    </row>
    <row r="408" spans="5:19" x14ac:dyDescent="0.75">
      <c r="E408">
        <v>403</v>
      </c>
      <c r="F408">
        <f t="shared" si="362"/>
        <v>100</v>
      </c>
      <c r="G408">
        <f t="shared" ca="1" si="363"/>
        <v>97.776189771602034</v>
      </c>
      <c r="H408">
        <f t="shared" ca="1" si="363"/>
        <v>93.907131138779576</v>
      </c>
      <c r="I408">
        <f t="shared" ca="1" si="363"/>
        <v>93.560660902946381</v>
      </c>
      <c r="J408">
        <f t="shared" ref="J408:P408" ca="1" si="375">I408*EXP(($C$6-0.5*$C$7^2)*$C$12+$C$7*SQRT($C$12)*NORMINV(RAND(),0,1))</f>
        <v>90.537813140385254</v>
      </c>
      <c r="K408">
        <f t="shared" ca="1" si="375"/>
        <v>84.958764037039742</v>
      </c>
      <c r="L408">
        <f t="shared" ca="1" si="375"/>
        <v>83.581839742161762</v>
      </c>
      <c r="M408">
        <f t="shared" ca="1" si="375"/>
        <v>84.098322426810185</v>
      </c>
      <c r="N408">
        <f t="shared" ca="1" si="375"/>
        <v>79.061263479187218</v>
      </c>
      <c r="O408">
        <f t="shared" ca="1" si="375"/>
        <v>81.711138232405659</v>
      </c>
      <c r="P408">
        <f t="shared" ca="1" si="375"/>
        <v>89.387770814148041</v>
      </c>
      <c r="Q408">
        <f t="shared" ca="1" si="364"/>
        <v>97.776189771602034</v>
      </c>
      <c r="R408">
        <f t="shared" ca="1" si="365"/>
        <v>0</v>
      </c>
      <c r="S408">
        <f t="shared" ca="1" si="366"/>
        <v>0</v>
      </c>
    </row>
    <row r="409" spans="5:19" x14ac:dyDescent="0.75">
      <c r="E409">
        <v>404</v>
      </c>
      <c r="F409">
        <f t="shared" si="362"/>
        <v>100</v>
      </c>
      <c r="G409">
        <f t="shared" ca="1" si="363"/>
        <v>101.07642023260746</v>
      </c>
      <c r="H409">
        <f t="shared" ca="1" si="363"/>
        <v>96.972453510695487</v>
      </c>
      <c r="I409">
        <f t="shared" ca="1" si="363"/>
        <v>96.487694172781588</v>
      </c>
      <c r="J409">
        <f t="shared" ref="J409:P409" ca="1" si="376">I409*EXP(($C$6-0.5*$C$7^2)*$C$12+$C$7*SQRT($C$12)*NORMINV(RAND(),0,1))</f>
        <v>99.263383690169888</v>
      </c>
      <c r="K409">
        <f t="shared" ca="1" si="376"/>
        <v>103.63292318493909</v>
      </c>
      <c r="L409">
        <f t="shared" ca="1" si="376"/>
        <v>110.99464341532533</v>
      </c>
      <c r="M409">
        <f t="shared" ca="1" si="376"/>
        <v>118.70778751981463</v>
      </c>
      <c r="N409">
        <f t="shared" ca="1" si="376"/>
        <v>109.09339280267722</v>
      </c>
      <c r="O409">
        <f t="shared" ca="1" si="376"/>
        <v>110.03556180223345</v>
      </c>
      <c r="P409">
        <f t="shared" ca="1" si="376"/>
        <v>108.34360637602354</v>
      </c>
      <c r="Q409">
        <f t="shared" ca="1" si="364"/>
        <v>118.70778751981463</v>
      </c>
      <c r="R409">
        <f t="shared" ca="1" si="365"/>
        <v>0</v>
      </c>
      <c r="S409">
        <f t="shared" ca="1" si="366"/>
        <v>0</v>
      </c>
    </row>
    <row r="410" spans="5:19" x14ac:dyDescent="0.75">
      <c r="E410">
        <v>405</v>
      </c>
      <c r="F410">
        <f t="shared" si="362"/>
        <v>100</v>
      </c>
      <c r="G410">
        <f t="shared" ca="1" si="363"/>
        <v>103.81759259502614</v>
      </c>
      <c r="H410">
        <f t="shared" ca="1" si="363"/>
        <v>102.6359405129548</v>
      </c>
      <c r="I410">
        <f t="shared" ca="1" si="363"/>
        <v>103.55431620555559</v>
      </c>
      <c r="J410">
        <f t="shared" ref="J410:P410" ca="1" si="377">I410*EXP(($C$6-0.5*$C$7^2)*$C$12+$C$7*SQRT($C$12)*NORMINV(RAND(),0,1))</f>
        <v>107.17066604260185</v>
      </c>
      <c r="K410">
        <f t="shared" ca="1" si="377"/>
        <v>115.16212605587287</v>
      </c>
      <c r="L410">
        <f t="shared" ca="1" si="377"/>
        <v>115.61966832604006</v>
      </c>
      <c r="M410">
        <f t="shared" ca="1" si="377"/>
        <v>117.09420883326786</v>
      </c>
      <c r="N410">
        <f t="shared" ca="1" si="377"/>
        <v>119.97843185935011</v>
      </c>
      <c r="O410">
        <f t="shared" ca="1" si="377"/>
        <v>118.57486688790374</v>
      </c>
      <c r="P410">
        <f t="shared" ca="1" si="377"/>
        <v>117.0002684474299</v>
      </c>
      <c r="Q410">
        <f t="shared" ca="1" si="364"/>
        <v>119.97843185935011</v>
      </c>
      <c r="R410">
        <f t="shared" ca="1" si="365"/>
        <v>0</v>
      </c>
      <c r="S410">
        <f t="shared" ca="1" si="366"/>
        <v>0</v>
      </c>
    </row>
    <row r="411" spans="5:19" x14ac:dyDescent="0.75">
      <c r="E411">
        <v>406</v>
      </c>
      <c r="F411">
        <f t="shared" si="362"/>
        <v>100</v>
      </c>
      <c r="G411">
        <f t="shared" ca="1" si="363"/>
        <v>97.559547295620987</v>
      </c>
      <c r="H411">
        <f t="shared" ca="1" si="363"/>
        <v>103.24837726983029</v>
      </c>
      <c r="I411">
        <f t="shared" ca="1" si="363"/>
        <v>104.15432632895721</v>
      </c>
      <c r="J411">
        <f t="shared" ref="J411:P411" ca="1" si="378">I411*EXP(($C$6-0.5*$C$7^2)*$C$12+$C$7*SQRT($C$12)*NORMINV(RAND(),0,1))</f>
        <v>99.608900795557986</v>
      </c>
      <c r="K411">
        <f t="shared" ca="1" si="378"/>
        <v>108.16690370420153</v>
      </c>
      <c r="L411">
        <f t="shared" ca="1" si="378"/>
        <v>112.55116362517981</v>
      </c>
      <c r="M411">
        <f t="shared" ca="1" si="378"/>
        <v>111.982419783003</v>
      </c>
      <c r="N411">
        <f t="shared" ca="1" si="378"/>
        <v>112.0314425695484</v>
      </c>
      <c r="O411">
        <f t="shared" ca="1" si="378"/>
        <v>112.50573406274098</v>
      </c>
      <c r="P411">
        <f t="shared" ca="1" si="378"/>
        <v>106.78165720776254</v>
      </c>
      <c r="Q411">
        <f t="shared" ca="1" si="364"/>
        <v>112.55116362517981</v>
      </c>
      <c r="R411">
        <f t="shared" ca="1" si="365"/>
        <v>0</v>
      </c>
      <c r="S411">
        <f t="shared" ca="1" si="366"/>
        <v>0</v>
      </c>
    </row>
    <row r="412" spans="5:19" x14ac:dyDescent="0.75">
      <c r="E412">
        <v>407</v>
      </c>
      <c r="F412">
        <f t="shared" si="362"/>
        <v>100</v>
      </c>
      <c r="G412">
        <f t="shared" ca="1" si="363"/>
        <v>103.51930012705411</v>
      </c>
      <c r="H412">
        <f t="shared" ca="1" si="363"/>
        <v>109.0107897511913</v>
      </c>
      <c r="I412">
        <f t="shared" ca="1" si="363"/>
        <v>113.62036189655812</v>
      </c>
      <c r="J412">
        <f t="shared" ref="J412:P412" ca="1" si="379">I412*EXP(($C$6-0.5*$C$7^2)*$C$12+$C$7*SQRT($C$12)*NORMINV(RAND(),0,1))</f>
        <v>114.68260752638737</v>
      </c>
      <c r="K412">
        <f t="shared" ca="1" si="379"/>
        <v>114.33999464967756</v>
      </c>
      <c r="L412">
        <f t="shared" ca="1" si="379"/>
        <v>118.64890005985662</v>
      </c>
      <c r="M412">
        <f t="shared" ca="1" si="379"/>
        <v>121.86024706129577</v>
      </c>
      <c r="N412">
        <f t="shared" ca="1" si="379"/>
        <v>119.90368433881751</v>
      </c>
      <c r="O412">
        <f t="shared" ca="1" si="379"/>
        <v>122.16846539950988</v>
      </c>
      <c r="P412">
        <f t="shared" ca="1" si="379"/>
        <v>127.11969600433042</v>
      </c>
      <c r="Q412">
        <f t="shared" ca="1" si="364"/>
        <v>127.11969600433042</v>
      </c>
      <c r="R412">
        <f t="shared" ca="1" si="365"/>
        <v>0</v>
      </c>
      <c r="S412">
        <f t="shared" ca="1" si="366"/>
        <v>0</v>
      </c>
    </row>
    <row r="413" spans="5:19" x14ac:dyDescent="0.75">
      <c r="E413">
        <v>408</v>
      </c>
      <c r="F413">
        <f t="shared" si="362"/>
        <v>100</v>
      </c>
      <c r="G413">
        <f t="shared" ca="1" si="363"/>
        <v>91.495775713209738</v>
      </c>
      <c r="H413">
        <f t="shared" ca="1" si="363"/>
        <v>85.242777620602297</v>
      </c>
      <c r="I413">
        <f t="shared" ca="1" si="363"/>
        <v>85.207254654501071</v>
      </c>
      <c r="J413">
        <f t="shared" ref="J413:P413" ca="1" si="380">I413*EXP(($C$6-0.5*$C$7^2)*$C$12+$C$7*SQRT($C$12)*NORMINV(RAND(),0,1))</f>
        <v>89.948118569964691</v>
      </c>
      <c r="K413">
        <f t="shared" ca="1" si="380"/>
        <v>90.5839557483242</v>
      </c>
      <c r="L413">
        <f t="shared" ca="1" si="380"/>
        <v>89.107291329426033</v>
      </c>
      <c r="M413">
        <f t="shared" ca="1" si="380"/>
        <v>95.076061217031508</v>
      </c>
      <c r="N413">
        <f t="shared" ca="1" si="380"/>
        <v>96.7664269542732</v>
      </c>
      <c r="O413">
        <f t="shared" ca="1" si="380"/>
        <v>102.04150335190482</v>
      </c>
      <c r="P413">
        <f t="shared" ca="1" si="380"/>
        <v>102.6551671235832</v>
      </c>
      <c r="Q413">
        <f t="shared" ca="1" si="364"/>
        <v>102.6551671235832</v>
      </c>
      <c r="R413">
        <f t="shared" ca="1" si="365"/>
        <v>0.65516712358319751</v>
      </c>
      <c r="S413">
        <f t="shared" ca="1" si="366"/>
        <v>0.63899098966578405</v>
      </c>
    </row>
    <row r="414" spans="5:19" x14ac:dyDescent="0.75">
      <c r="E414">
        <v>409</v>
      </c>
      <c r="F414">
        <f t="shared" si="362"/>
        <v>100</v>
      </c>
      <c r="G414">
        <f t="shared" ca="1" si="363"/>
        <v>97.593935485814001</v>
      </c>
      <c r="H414">
        <f t="shared" ca="1" si="363"/>
        <v>107.92153003457086</v>
      </c>
      <c r="I414">
        <f t="shared" ca="1" si="363"/>
        <v>103.42866355218217</v>
      </c>
      <c r="J414">
        <f t="shared" ref="J414:P414" ca="1" si="381">I414*EXP(($C$6-0.5*$C$7^2)*$C$12+$C$7*SQRT($C$12)*NORMINV(RAND(),0,1))</f>
        <v>107.62492169215376</v>
      </c>
      <c r="K414">
        <f t="shared" ca="1" si="381"/>
        <v>104.46876957479196</v>
      </c>
      <c r="L414">
        <f t="shared" ca="1" si="381"/>
        <v>100.00054113436354</v>
      </c>
      <c r="M414">
        <f t="shared" ca="1" si="381"/>
        <v>99.748456447097738</v>
      </c>
      <c r="N414">
        <f t="shared" ca="1" si="381"/>
        <v>100.99285739137387</v>
      </c>
      <c r="O414">
        <f t="shared" ca="1" si="381"/>
        <v>95.568398693496889</v>
      </c>
      <c r="P414">
        <f t="shared" ca="1" si="381"/>
        <v>99.578456557672453</v>
      </c>
      <c r="Q414">
        <f t="shared" ca="1" si="364"/>
        <v>107.92153003457086</v>
      </c>
      <c r="R414">
        <f t="shared" ca="1" si="365"/>
        <v>0</v>
      </c>
      <c r="S414">
        <f t="shared" ca="1" si="366"/>
        <v>0</v>
      </c>
    </row>
    <row r="415" spans="5:19" x14ac:dyDescent="0.75">
      <c r="E415">
        <v>410</v>
      </c>
      <c r="F415">
        <f t="shared" si="362"/>
        <v>100</v>
      </c>
      <c r="G415">
        <f t="shared" ca="1" si="363"/>
        <v>94.09641106531538</v>
      </c>
      <c r="H415">
        <f t="shared" ca="1" si="363"/>
        <v>98.57883228214456</v>
      </c>
      <c r="I415">
        <f t="shared" ca="1" si="363"/>
        <v>96.695332330012093</v>
      </c>
      <c r="J415">
        <f t="shared" ref="J415:P415" ca="1" si="382">I415*EXP(($C$6-0.5*$C$7^2)*$C$12+$C$7*SQRT($C$12)*NORMINV(RAND(),0,1))</f>
        <v>93.390851914815002</v>
      </c>
      <c r="K415">
        <f t="shared" ca="1" si="382"/>
        <v>89.241070713387998</v>
      </c>
      <c r="L415">
        <f t="shared" ca="1" si="382"/>
        <v>91.690929771052566</v>
      </c>
      <c r="M415">
        <f t="shared" ca="1" si="382"/>
        <v>101.84252148866909</v>
      </c>
      <c r="N415">
        <f t="shared" ca="1" si="382"/>
        <v>101.76540235935303</v>
      </c>
      <c r="O415">
        <f t="shared" ca="1" si="382"/>
        <v>105.54530403168921</v>
      </c>
      <c r="P415">
        <f t="shared" ca="1" si="382"/>
        <v>104.5809507197344</v>
      </c>
      <c r="Q415">
        <f t="shared" ca="1" si="364"/>
        <v>105.54530403168921</v>
      </c>
      <c r="R415">
        <f t="shared" ca="1" si="365"/>
        <v>2.5809507197344033</v>
      </c>
      <c r="S415">
        <f t="shared" ca="1" si="366"/>
        <v>2.5172268194136227</v>
      </c>
    </row>
    <row r="416" spans="5:19" x14ac:dyDescent="0.75">
      <c r="E416">
        <v>411</v>
      </c>
      <c r="F416">
        <f t="shared" si="362"/>
        <v>100</v>
      </c>
      <c r="G416">
        <f t="shared" ca="1" si="363"/>
        <v>104.57093189089535</v>
      </c>
      <c r="H416">
        <f t="shared" ca="1" si="363"/>
        <v>100.88874801036694</v>
      </c>
      <c r="I416">
        <f t="shared" ca="1" si="363"/>
        <v>95.850018279878768</v>
      </c>
      <c r="J416">
        <f t="shared" ref="J416:P416" ca="1" si="383">I416*EXP(($C$6-0.5*$C$7^2)*$C$12+$C$7*SQRT($C$12)*NORMINV(RAND(),0,1))</f>
        <v>99.769170548563451</v>
      </c>
      <c r="K416">
        <f t="shared" ca="1" si="383"/>
        <v>111.45368464960556</v>
      </c>
      <c r="L416">
        <f t="shared" ca="1" si="383"/>
        <v>112.42787219632932</v>
      </c>
      <c r="M416">
        <f t="shared" ca="1" si="383"/>
        <v>112.85343713433122</v>
      </c>
      <c r="N416">
        <f t="shared" ca="1" si="383"/>
        <v>114.15515407838797</v>
      </c>
      <c r="O416">
        <f t="shared" ca="1" si="383"/>
        <v>111.31734965058494</v>
      </c>
      <c r="P416">
        <f t="shared" ca="1" si="383"/>
        <v>109.59048416227306</v>
      </c>
      <c r="Q416">
        <f t="shared" ca="1" si="364"/>
        <v>114.15515407838797</v>
      </c>
      <c r="R416">
        <f t="shared" ca="1" si="365"/>
        <v>0</v>
      </c>
      <c r="S416">
        <f t="shared" ca="1" si="366"/>
        <v>0</v>
      </c>
    </row>
    <row r="417" spans="5:19" x14ac:dyDescent="0.75">
      <c r="E417">
        <v>412</v>
      </c>
      <c r="F417">
        <f t="shared" si="362"/>
        <v>100</v>
      </c>
      <c r="G417">
        <f t="shared" ca="1" si="363"/>
        <v>97.566944827681823</v>
      </c>
      <c r="H417">
        <f t="shared" ca="1" si="363"/>
        <v>91.655635312445696</v>
      </c>
      <c r="I417">
        <f t="shared" ca="1" si="363"/>
        <v>88.79426193631798</v>
      </c>
      <c r="J417">
        <f t="shared" ref="J417:P417" ca="1" si="384">I417*EXP(($C$6-0.5*$C$7^2)*$C$12+$C$7*SQRT($C$12)*NORMINV(RAND(),0,1))</f>
        <v>91.432726279998576</v>
      </c>
      <c r="K417">
        <f t="shared" ca="1" si="384"/>
        <v>88.431277484163189</v>
      </c>
      <c r="L417">
        <f t="shared" ca="1" si="384"/>
        <v>87.761008663824171</v>
      </c>
      <c r="M417">
        <f t="shared" ca="1" si="384"/>
        <v>85.326875446704079</v>
      </c>
      <c r="N417">
        <f t="shared" ca="1" si="384"/>
        <v>86.974872734897872</v>
      </c>
      <c r="O417">
        <f t="shared" ca="1" si="384"/>
        <v>83.996373003234055</v>
      </c>
      <c r="P417">
        <f t="shared" ca="1" si="384"/>
        <v>87.511729784537124</v>
      </c>
      <c r="Q417">
        <f t="shared" ca="1" si="364"/>
        <v>97.566944827681823</v>
      </c>
      <c r="R417">
        <f t="shared" ca="1" si="365"/>
        <v>0</v>
      </c>
      <c r="S417">
        <f t="shared" ca="1" si="366"/>
        <v>0</v>
      </c>
    </row>
    <row r="418" spans="5:19" x14ac:dyDescent="0.75">
      <c r="E418">
        <v>413</v>
      </c>
      <c r="F418">
        <f t="shared" si="362"/>
        <v>100</v>
      </c>
      <c r="G418">
        <f t="shared" ca="1" si="363"/>
        <v>96.314632016723209</v>
      </c>
      <c r="H418">
        <f t="shared" ca="1" si="363"/>
        <v>94.793888602284753</v>
      </c>
      <c r="I418">
        <f t="shared" ca="1" si="363"/>
        <v>94.007230774841489</v>
      </c>
      <c r="J418">
        <f t="shared" ref="J418:P418" ca="1" si="385">I418*EXP(($C$6-0.5*$C$7^2)*$C$12+$C$7*SQRT($C$12)*NORMINV(RAND(),0,1))</f>
        <v>87.511738692586164</v>
      </c>
      <c r="K418">
        <f t="shared" ca="1" si="385"/>
        <v>92.04165632280872</v>
      </c>
      <c r="L418">
        <f t="shared" ca="1" si="385"/>
        <v>98.354181642469101</v>
      </c>
      <c r="M418">
        <f t="shared" ca="1" si="385"/>
        <v>98.604326438633223</v>
      </c>
      <c r="N418">
        <f t="shared" ca="1" si="385"/>
        <v>100.70040607833826</v>
      </c>
      <c r="O418">
        <f t="shared" ca="1" si="385"/>
        <v>99.02221499427904</v>
      </c>
      <c r="P418">
        <f t="shared" ca="1" si="385"/>
        <v>102.26655421474112</v>
      </c>
      <c r="Q418">
        <f t="shared" ca="1" si="364"/>
        <v>102.26655421474112</v>
      </c>
      <c r="R418">
        <f t="shared" ca="1" si="365"/>
        <v>0.26655421474112018</v>
      </c>
      <c r="S418">
        <f t="shared" ca="1" si="366"/>
        <v>0.25997296772994322</v>
      </c>
    </row>
    <row r="419" spans="5:19" x14ac:dyDescent="0.75">
      <c r="E419">
        <v>414</v>
      </c>
      <c r="F419">
        <f t="shared" si="362"/>
        <v>100</v>
      </c>
      <c r="G419">
        <f t="shared" ca="1" si="363"/>
        <v>98.766551190850095</v>
      </c>
      <c r="H419">
        <f t="shared" ca="1" si="363"/>
        <v>107.72533205494369</v>
      </c>
      <c r="I419">
        <f t="shared" ca="1" si="363"/>
        <v>101.99627201240887</v>
      </c>
      <c r="J419">
        <f t="shared" ref="J419:P419" ca="1" si="386">I419*EXP(($C$6-0.5*$C$7^2)*$C$12+$C$7*SQRT($C$12)*NORMINV(RAND(),0,1))</f>
        <v>100.53618031385335</v>
      </c>
      <c r="K419">
        <f t="shared" ca="1" si="386"/>
        <v>104.89622846894443</v>
      </c>
      <c r="L419">
        <f t="shared" ca="1" si="386"/>
        <v>109.67961291711484</v>
      </c>
      <c r="M419">
        <f t="shared" ca="1" si="386"/>
        <v>104.55696767685995</v>
      </c>
      <c r="N419">
        <f t="shared" ca="1" si="386"/>
        <v>100.44891581226673</v>
      </c>
      <c r="O419">
        <f t="shared" ca="1" si="386"/>
        <v>105.22766167117531</v>
      </c>
      <c r="P419">
        <f t="shared" ca="1" si="386"/>
        <v>103.05076875737561</v>
      </c>
      <c r="Q419">
        <f t="shared" ca="1" si="364"/>
        <v>109.67961291711484</v>
      </c>
      <c r="R419">
        <f t="shared" ca="1" si="365"/>
        <v>1.0507687573756073</v>
      </c>
      <c r="S419">
        <f t="shared" ca="1" si="366"/>
        <v>1.024825184318124</v>
      </c>
    </row>
    <row r="420" spans="5:19" x14ac:dyDescent="0.75">
      <c r="E420">
        <v>415</v>
      </c>
      <c r="F420">
        <f t="shared" si="362"/>
        <v>100</v>
      </c>
      <c r="G420">
        <f t="shared" ca="1" si="363"/>
        <v>107.87120986222587</v>
      </c>
      <c r="H420">
        <f t="shared" ca="1" si="363"/>
        <v>100.50789343539016</v>
      </c>
      <c r="I420">
        <f t="shared" ca="1" si="363"/>
        <v>105.32604411852982</v>
      </c>
      <c r="J420">
        <f t="shared" ref="J420:P420" ca="1" si="387">I420*EXP(($C$6-0.5*$C$7^2)*$C$12+$C$7*SQRT($C$12)*NORMINV(RAND(),0,1))</f>
        <v>110.93832701534016</v>
      </c>
      <c r="K420">
        <f t="shared" ca="1" si="387"/>
        <v>115.86835132686028</v>
      </c>
      <c r="L420">
        <f t="shared" ca="1" si="387"/>
        <v>123.14560346666273</v>
      </c>
      <c r="M420">
        <f t="shared" ca="1" si="387"/>
        <v>121.41407493434214</v>
      </c>
      <c r="N420">
        <f t="shared" ca="1" si="387"/>
        <v>126.01357740409874</v>
      </c>
      <c r="O420">
        <f t="shared" ca="1" si="387"/>
        <v>137.19048313408922</v>
      </c>
      <c r="P420">
        <f t="shared" ca="1" si="387"/>
        <v>135.59519581392038</v>
      </c>
      <c r="Q420">
        <f t="shared" ca="1" si="364"/>
        <v>137.19048313408922</v>
      </c>
      <c r="R420">
        <f t="shared" ca="1" si="365"/>
        <v>0</v>
      </c>
      <c r="S420">
        <f t="shared" ca="1" si="366"/>
        <v>0</v>
      </c>
    </row>
    <row r="421" spans="5:19" x14ac:dyDescent="0.75">
      <c r="E421">
        <v>416</v>
      </c>
      <c r="F421">
        <f t="shared" si="362"/>
        <v>100</v>
      </c>
      <c r="G421">
        <f t="shared" ca="1" si="363"/>
        <v>102.65581136438102</v>
      </c>
      <c r="H421">
        <f t="shared" ca="1" si="363"/>
        <v>104.71211419842359</v>
      </c>
      <c r="I421">
        <f t="shared" ca="1" si="363"/>
        <v>102.44609917799932</v>
      </c>
      <c r="J421">
        <f t="shared" ref="J421:P421" ca="1" si="388">I421*EXP(($C$6-0.5*$C$7^2)*$C$12+$C$7*SQRT($C$12)*NORMINV(RAND(),0,1))</f>
        <v>105.78849886926473</v>
      </c>
      <c r="K421">
        <f t="shared" ca="1" si="388"/>
        <v>106.3063061888564</v>
      </c>
      <c r="L421">
        <f t="shared" ca="1" si="388"/>
        <v>109.03478930148391</v>
      </c>
      <c r="M421">
        <f t="shared" ca="1" si="388"/>
        <v>102.84554666526053</v>
      </c>
      <c r="N421">
        <f t="shared" ca="1" si="388"/>
        <v>100.78959995674815</v>
      </c>
      <c r="O421">
        <f t="shared" ca="1" si="388"/>
        <v>99.910978622278023</v>
      </c>
      <c r="P421">
        <f t="shared" ca="1" si="388"/>
        <v>106.815017020006</v>
      </c>
      <c r="Q421">
        <f t="shared" ca="1" si="364"/>
        <v>109.03478930148391</v>
      </c>
      <c r="R421">
        <f t="shared" ca="1" si="365"/>
        <v>4.8150170200059961</v>
      </c>
      <c r="S421">
        <f t="shared" ca="1" si="366"/>
        <v>4.6961338261969727</v>
      </c>
    </row>
    <row r="422" spans="5:19" x14ac:dyDescent="0.75">
      <c r="E422">
        <v>417</v>
      </c>
      <c r="F422">
        <f t="shared" si="362"/>
        <v>100</v>
      </c>
      <c r="G422">
        <f t="shared" ca="1" si="363"/>
        <v>97.795818248565908</v>
      </c>
      <c r="H422">
        <f t="shared" ca="1" si="363"/>
        <v>101.59785805462155</v>
      </c>
      <c r="I422">
        <f t="shared" ca="1" si="363"/>
        <v>101.70502417812077</v>
      </c>
      <c r="J422">
        <f t="shared" ref="J422:P422" ca="1" si="389">I422*EXP(($C$6-0.5*$C$7^2)*$C$12+$C$7*SQRT($C$12)*NORMINV(RAND(),0,1))</f>
        <v>99.53416084033941</v>
      </c>
      <c r="K422">
        <f t="shared" ca="1" si="389"/>
        <v>91.683695114975535</v>
      </c>
      <c r="L422">
        <f t="shared" ca="1" si="389"/>
        <v>86.068797598559115</v>
      </c>
      <c r="M422">
        <f t="shared" ca="1" si="389"/>
        <v>90.532901788392252</v>
      </c>
      <c r="N422">
        <f t="shared" ca="1" si="389"/>
        <v>84.990119969035305</v>
      </c>
      <c r="O422">
        <f t="shared" ca="1" si="389"/>
        <v>83.026793653696515</v>
      </c>
      <c r="P422">
        <f t="shared" ca="1" si="389"/>
        <v>81.28216051989483</v>
      </c>
      <c r="Q422">
        <f t="shared" ca="1" si="364"/>
        <v>101.70502417812077</v>
      </c>
      <c r="R422">
        <f t="shared" ca="1" si="365"/>
        <v>0</v>
      </c>
      <c r="S422">
        <f t="shared" ca="1" si="366"/>
        <v>0</v>
      </c>
    </row>
    <row r="423" spans="5:19" x14ac:dyDescent="0.75">
      <c r="E423">
        <v>418</v>
      </c>
      <c r="F423">
        <f t="shared" si="362"/>
        <v>100</v>
      </c>
      <c r="G423">
        <f t="shared" ca="1" si="363"/>
        <v>98.485117051251976</v>
      </c>
      <c r="H423">
        <f t="shared" ca="1" si="363"/>
        <v>101.27669536527027</v>
      </c>
      <c r="I423">
        <f t="shared" ca="1" si="363"/>
        <v>92.496051654870413</v>
      </c>
      <c r="J423">
        <f t="shared" ref="J423:P423" ca="1" si="390">I423*EXP(($C$6-0.5*$C$7^2)*$C$12+$C$7*SQRT($C$12)*NORMINV(RAND(),0,1))</f>
        <v>90.617571440609495</v>
      </c>
      <c r="K423">
        <f t="shared" ca="1" si="390"/>
        <v>88.779647610108015</v>
      </c>
      <c r="L423">
        <f t="shared" ca="1" si="390"/>
        <v>94.49789374988525</v>
      </c>
      <c r="M423">
        <f t="shared" ca="1" si="390"/>
        <v>94.408741543561732</v>
      </c>
      <c r="N423">
        <f t="shared" ca="1" si="390"/>
        <v>98.007018579871755</v>
      </c>
      <c r="O423">
        <f t="shared" ca="1" si="390"/>
        <v>96.910759766656213</v>
      </c>
      <c r="P423">
        <f t="shared" ca="1" si="390"/>
        <v>91.449342079745236</v>
      </c>
      <c r="Q423">
        <f t="shared" ca="1" si="364"/>
        <v>101.27669536527027</v>
      </c>
      <c r="R423">
        <f t="shared" ca="1" si="365"/>
        <v>0</v>
      </c>
      <c r="S423">
        <f t="shared" ca="1" si="366"/>
        <v>0</v>
      </c>
    </row>
    <row r="424" spans="5:19" x14ac:dyDescent="0.75">
      <c r="E424">
        <v>419</v>
      </c>
      <c r="F424">
        <f t="shared" si="362"/>
        <v>100</v>
      </c>
      <c r="G424">
        <f t="shared" ca="1" si="363"/>
        <v>105.69812973698379</v>
      </c>
      <c r="H424">
        <f t="shared" ca="1" si="363"/>
        <v>111.36121559864198</v>
      </c>
      <c r="I424">
        <f t="shared" ca="1" si="363"/>
        <v>124.62839225974774</v>
      </c>
      <c r="J424">
        <f t="shared" ref="J424:P424" ca="1" si="391">I424*EXP(($C$6-0.5*$C$7^2)*$C$12+$C$7*SQRT($C$12)*NORMINV(RAND(),0,1))</f>
        <v>129.19795321331074</v>
      </c>
      <c r="K424">
        <f t="shared" ca="1" si="391"/>
        <v>126.64928179025229</v>
      </c>
      <c r="L424">
        <f t="shared" ca="1" si="391"/>
        <v>121.0348419300711</v>
      </c>
      <c r="M424">
        <f t="shared" ca="1" si="391"/>
        <v>125.59690373172637</v>
      </c>
      <c r="N424">
        <f t="shared" ca="1" si="391"/>
        <v>123.91878256446164</v>
      </c>
      <c r="O424">
        <f t="shared" ca="1" si="391"/>
        <v>124.37285358899649</v>
      </c>
      <c r="P424">
        <f t="shared" ca="1" si="391"/>
        <v>117.45677068667898</v>
      </c>
      <c r="Q424">
        <f t="shared" ca="1" si="364"/>
        <v>129.19795321331074</v>
      </c>
      <c r="R424">
        <f t="shared" ca="1" si="365"/>
        <v>0</v>
      </c>
      <c r="S424">
        <f t="shared" ca="1" si="366"/>
        <v>0</v>
      </c>
    </row>
    <row r="425" spans="5:19" x14ac:dyDescent="0.75">
      <c r="E425">
        <v>420</v>
      </c>
      <c r="F425">
        <f t="shared" si="362"/>
        <v>100</v>
      </c>
      <c r="G425">
        <f t="shared" ca="1" si="363"/>
        <v>99.186178901817911</v>
      </c>
      <c r="H425">
        <f t="shared" ca="1" si="363"/>
        <v>100.71945142051761</v>
      </c>
      <c r="I425">
        <f t="shared" ca="1" si="363"/>
        <v>95.481097604222413</v>
      </c>
      <c r="J425">
        <f t="shared" ref="J425:P425" ca="1" si="392">I425*EXP(($C$6-0.5*$C$7^2)*$C$12+$C$7*SQRT($C$12)*NORMINV(RAND(),0,1))</f>
        <v>96.338299728163079</v>
      </c>
      <c r="K425">
        <f t="shared" ca="1" si="392"/>
        <v>98.693442037769472</v>
      </c>
      <c r="L425">
        <f t="shared" ca="1" si="392"/>
        <v>96.997832955565997</v>
      </c>
      <c r="M425">
        <f t="shared" ca="1" si="392"/>
        <v>96.192979463100968</v>
      </c>
      <c r="N425">
        <f t="shared" ca="1" si="392"/>
        <v>96.219414415792869</v>
      </c>
      <c r="O425">
        <f t="shared" ca="1" si="392"/>
        <v>93.249566779777936</v>
      </c>
      <c r="P425">
        <f t="shared" ca="1" si="392"/>
        <v>87.681060426450969</v>
      </c>
      <c r="Q425">
        <f t="shared" ca="1" si="364"/>
        <v>100.71945142051761</v>
      </c>
      <c r="R425">
        <f t="shared" ca="1" si="365"/>
        <v>0</v>
      </c>
      <c r="S425">
        <f t="shared" ca="1" si="366"/>
        <v>0</v>
      </c>
    </row>
    <row r="426" spans="5:19" x14ac:dyDescent="0.75">
      <c r="E426">
        <v>421</v>
      </c>
      <c r="F426">
        <f t="shared" si="362"/>
        <v>100</v>
      </c>
      <c r="G426">
        <f t="shared" ca="1" si="363"/>
        <v>104.72261284540139</v>
      </c>
      <c r="H426">
        <f t="shared" ca="1" si="363"/>
        <v>103.10796109156993</v>
      </c>
      <c r="I426">
        <f t="shared" ca="1" si="363"/>
        <v>107.15857136778135</v>
      </c>
      <c r="J426">
        <f t="shared" ref="J426:P426" ca="1" si="393">I426*EXP(($C$6-0.5*$C$7^2)*$C$12+$C$7*SQRT($C$12)*NORMINV(RAND(),0,1))</f>
        <v>98.763278210147988</v>
      </c>
      <c r="K426">
        <f t="shared" ca="1" si="393"/>
        <v>100.90807851877184</v>
      </c>
      <c r="L426">
        <f t="shared" ca="1" si="393"/>
        <v>107.2900396958938</v>
      </c>
      <c r="M426">
        <f t="shared" ca="1" si="393"/>
        <v>105.21984354539552</v>
      </c>
      <c r="N426">
        <f t="shared" ca="1" si="393"/>
        <v>109.89339123124002</v>
      </c>
      <c r="O426">
        <f t="shared" ca="1" si="393"/>
        <v>103.20289809524753</v>
      </c>
      <c r="P426">
        <f t="shared" ca="1" si="393"/>
        <v>99.718272672624423</v>
      </c>
      <c r="Q426">
        <f t="shared" ca="1" si="364"/>
        <v>109.89339123124002</v>
      </c>
      <c r="R426">
        <f t="shared" ca="1" si="365"/>
        <v>0</v>
      </c>
      <c r="S426">
        <f t="shared" ca="1" si="366"/>
        <v>0</v>
      </c>
    </row>
    <row r="427" spans="5:19" x14ac:dyDescent="0.75">
      <c r="E427">
        <v>422</v>
      </c>
      <c r="F427">
        <f t="shared" si="362"/>
        <v>100</v>
      </c>
      <c r="G427">
        <f t="shared" ca="1" si="363"/>
        <v>92.776451550077994</v>
      </c>
      <c r="H427">
        <f t="shared" ca="1" si="363"/>
        <v>99.156694551870544</v>
      </c>
      <c r="I427">
        <f t="shared" ca="1" si="363"/>
        <v>104.51686510799425</v>
      </c>
      <c r="J427">
        <f t="shared" ref="J427:P427" ca="1" si="394">I427*EXP(($C$6-0.5*$C$7^2)*$C$12+$C$7*SQRT($C$12)*NORMINV(RAND(),0,1))</f>
        <v>99.248884891607929</v>
      </c>
      <c r="K427">
        <f t="shared" ca="1" si="394"/>
        <v>101.81075193933465</v>
      </c>
      <c r="L427">
        <f t="shared" ca="1" si="394"/>
        <v>99.413522978674479</v>
      </c>
      <c r="M427">
        <f t="shared" ca="1" si="394"/>
        <v>99.399168863905999</v>
      </c>
      <c r="N427">
        <f t="shared" ca="1" si="394"/>
        <v>112.15078062328716</v>
      </c>
      <c r="O427">
        <f t="shared" ca="1" si="394"/>
        <v>116.33351140592831</v>
      </c>
      <c r="P427">
        <f t="shared" ca="1" si="394"/>
        <v>123.78000430654826</v>
      </c>
      <c r="Q427">
        <f t="shared" ca="1" si="364"/>
        <v>123.78000430654826</v>
      </c>
      <c r="R427">
        <f t="shared" ca="1" si="365"/>
        <v>0</v>
      </c>
      <c r="S427">
        <f t="shared" ca="1" si="366"/>
        <v>0</v>
      </c>
    </row>
    <row r="428" spans="5:19" x14ac:dyDescent="0.75">
      <c r="E428">
        <v>423</v>
      </c>
      <c r="F428">
        <f t="shared" si="362"/>
        <v>100</v>
      </c>
      <c r="G428">
        <f t="shared" ca="1" si="363"/>
        <v>96.554784400347046</v>
      </c>
      <c r="H428">
        <f t="shared" ca="1" si="363"/>
        <v>93.658456801915818</v>
      </c>
      <c r="I428">
        <f t="shared" ca="1" si="363"/>
        <v>95.465948822958509</v>
      </c>
      <c r="J428">
        <f t="shared" ref="J428:P428" ca="1" si="395">I428*EXP(($C$6-0.5*$C$7^2)*$C$12+$C$7*SQRT($C$12)*NORMINV(RAND(),0,1))</f>
        <v>94.831127802571132</v>
      </c>
      <c r="K428">
        <f t="shared" ca="1" si="395"/>
        <v>94.486598859658741</v>
      </c>
      <c r="L428">
        <f t="shared" ca="1" si="395"/>
        <v>99.687233916806392</v>
      </c>
      <c r="M428">
        <f t="shared" ca="1" si="395"/>
        <v>98.944946262888465</v>
      </c>
      <c r="N428">
        <f t="shared" ca="1" si="395"/>
        <v>99.848711195838575</v>
      </c>
      <c r="O428">
        <f t="shared" ca="1" si="395"/>
        <v>103.14264023802903</v>
      </c>
      <c r="P428">
        <f t="shared" ca="1" si="395"/>
        <v>96.297172435729891</v>
      </c>
      <c r="Q428">
        <f t="shared" ca="1" si="364"/>
        <v>103.14264023802903</v>
      </c>
      <c r="R428">
        <f t="shared" ca="1" si="365"/>
        <v>0</v>
      </c>
      <c r="S428">
        <f t="shared" ca="1" si="366"/>
        <v>0</v>
      </c>
    </row>
    <row r="429" spans="5:19" x14ac:dyDescent="0.75">
      <c r="E429">
        <v>424</v>
      </c>
      <c r="F429">
        <f t="shared" si="362"/>
        <v>100</v>
      </c>
      <c r="G429">
        <f t="shared" ca="1" si="363"/>
        <v>100.80315349193177</v>
      </c>
      <c r="H429">
        <f t="shared" ca="1" si="363"/>
        <v>98.58370682687594</v>
      </c>
      <c r="I429">
        <f t="shared" ca="1" si="363"/>
        <v>98.169068689758461</v>
      </c>
      <c r="J429">
        <f t="shared" ref="J429:P429" ca="1" si="396">I429*EXP(($C$6-0.5*$C$7^2)*$C$12+$C$7*SQRT($C$12)*NORMINV(RAND(),0,1))</f>
        <v>99.428634367582262</v>
      </c>
      <c r="K429">
        <f t="shared" ca="1" si="396"/>
        <v>101.1307794181515</v>
      </c>
      <c r="L429">
        <f t="shared" ca="1" si="396"/>
        <v>111.07609554717443</v>
      </c>
      <c r="M429">
        <f t="shared" ca="1" si="396"/>
        <v>111.59947356211457</v>
      </c>
      <c r="N429">
        <f t="shared" ca="1" si="396"/>
        <v>109.91637812789266</v>
      </c>
      <c r="O429">
        <f t="shared" ca="1" si="396"/>
        <v>116.40785822427218</v>
      </c>
      <c r="P429">
        <f t="shared" ca="1" si="396"/>
        <v>113.79148136028576</v>
      </c>
      <c r="Q429">
        <f t="shared" ca="1" si="364"/>
        <v>116.40785822427218</v>
      </c>
      <c r="R429">
        <f t="shared" ca="1" si="365"/>
        <v>0</v>
      </c>
      <c r="S429">
        <f t="shared" ca="1" si="366"/>
        <v>0</v>
      </c>
    </row>
    <row r="430" spans="5:19" x14ac:dyDescent="0.75">
      <c r="E430">
        <v>425</v>
      </c>
      <c r="F430">
        <f t="shared" si="362"/>
        <v>100</v>
      </c>
      <c r="G430">
        <f t="shared" ca="1" si="363"/>
        <v>100.85064966730697</v>
      </c>
      <c r="H430">
        <f t="shared" ca="1" si="363"/>
        <v>104.98477989354328</v>
      </c>
      <c r="I430">
        <f t="shared" ca="1" si="363"/>
        <v>95.878254020784965</v>
      </c>
      <c r="J430">
        <f t="shared" ref="J430:P430" ca="1" si="397">I430*EXP(($C$6-0.5*$C$7^2)*$C$12+$C$7*SQRT($C$12)*NORMINV(RAND(),0,1))</f>
        <v>92.351569662941486</v>
      </c>
      <c r="K430">
        <f t="shared" ca="1" si="397"/>
        <v>88.189720843109228</v>
      </c>
      <c r="L430">
        <f t="shared" ca="1" si="397"/>
        <v>91.981494255855239</v>
      </c>
      <c r="M430">
        <f t="shared" ca="1" si="397"/>
        <v>95.974517758844868</v>
      </c>
      <c r="N430">
        <f t="shared" ca="1" si="397"/>
        <v>98.045061972942932</v>
      </c>
      <c r="O430">
        <f t="shared" ca="1" si="397"/>
        <v>90.28663762075189</v>
      </c>
      <c r="P430">
        <f t="shared" ca="1" si="397"/>
        <v>91.023669466826576</v>
      </c>
      <c r="Q430">
        <f t="shared" ca="1" si="364"/>
        <v>104.98477989354328</v>
      </c>
      <c r="R430">
        <f t="shared" ca="1" si="365"/>
        <v>0</v>
      </c>
      <c r="S430">
        <f t="shared" ca="1" si="366"/>
        <v>0</v>
      </c>
    </row>
    <row r="431" spans="5:19" x14ac:dyDescent="0.75">
      <c r="E431">
        <v>426</v>
      </c>
      <c r="F431">
        <f t="shared" si="362"/>
        <v>100</v>
      </c>
      <c r="G431">
        <f t="shared" ca="1" si="363"/>
        <v>99.023730200708854</v>
      </c>
      <c r="H431">
        <f t="shared" ca="1" si="363"/>
        <v>104.31697159743621</v>
      </c>
      <c r="I431">
        <f t="shared" ca="1" si="363"/>
        <v>106.54673096766719</v>
      </c>
      <c r="J431">
        <f t="shared" ref="J431:P431" ca="1" si="398">I431*EXP(($C$6-0.5*$C$7^2)*$C$12+$C$7*SQRT($C$12)*NORMINV(RAND(),0,1))</f>
        <v>105.14264888839757</v>
      </c>
      <c r="K431">
        <f t="shared" ca="1" si="398"/>
        <v>105.6753215829</v>
      </c>
      <c r="L431">
        <f t="shared" ca="1" si="398"/>
        <v>95.464623879436076</v>
      </c>
      <c r="M431">
        <f t="shared" ca="1" si="398"/>
        <v>105.72060972495203</v>
      </c>
      <c r="N431">
        <f t="shared" ca="1" si="398"/>
        <v>108.15317291331414</v>
      </c>
      <c r="O431">
        <f t="shared" ca="1" si="398"/>
        <v>119.25153584220425</v>
      </c>
      <c r="P431">
        <f t="shared" ca="1" si="398"/>
        <v>119.26784116814163</v>
      </c>
      <c r="Q431">
        <f t="shared" ca="1" si="364"/>
        <v>119.26784116814163</v>
      </c>
      <c r="R431">
        <f t="shared" ca="1" si="365"/>
        <v>0</v>
      </c>
      <c r="S431">
        <f t="shared" ca="1" si="366"/>
        <v>0</v>
      </c>
    </row>
    <row r="432" spans="5:19" x14ac:dyDescent="0.75">
      <c r="E432">
        <v>427</v>
      </c>
      <c r="F432">
        <f t="shared" si="362"/>
        <v>100</v>
      </c>
      <c r="G432">
        <f t="shared" ca="1" si="363"/>
        <v>98.095934930720006</v>
      </c>
      <c r="H432">
        <f t="shared" ca="1" si="363"/>
        <v>100.70868566160507</v>
      </c>
      <c r="I432">
        <f t="shared" ca="1" si="363"/>
        <v>94.447591616814165</v>
      </c>
      <c r="J432">
        <f t="shared" ref="J432:P432" ca="1" si="399">I432*EXP(($C$6-0.5*$C$7^2)*$C$12+$C$7*SQRT($C$12)*NORMINV(RAND(),0,1))</f>
        <v>97.371723791812443</v>
      </c>
      <c r="K432">
        <f t="shared" ca="1" si="399"/>
        <v>96.258897648436772</v>
      </c>
      <c r="L432">
        <f t="shared" ca="1" si="399"/>
        <v>102.9399266581444</v>
      </c>
      <c r="M432">
        <f t="shared" ca="1" si="399"/>
        <v>100.88101579623718</v>
      </c>
      <c r="N432">
        <f t="shared" ca="1" si="399"/>
        <v>104.06127764937359</v>
      </c>
      <c r="O432">
        <f t="shared" ca="1" si="399"/>
        <v>102.46368080419234</v>
      </c>
      <c r="P432">
        <f t="shared" ca="1" si="399"/>
        <v>106.82596773222038</v>
      </c>
      <c r="Q432">
        <f t="shared" ca="1" si="364"/>
        <v>106.82596773222038</v>
      </c>
      <c r="R432">
        <f t="shared" ca="1" si="365"/>
        <v>4.8259677322203771</v>
      </c>
      <c r="S432">
        <f t="shared" ca="1" si="366"/>
        <v>4.7068141643634283</v>
      </c>
    </row>
    <row r="433" spans="5:19" x14ac:dyDescent="0.75">
      <c r="E433">
        <v>428</v>
      </c>
      <c r="F433">
        <f t="shared" si="362"/>
        <v>100</v>
      </c>
      <c r="G433">
        <f t="shared" ca="1" si="363"/>
        <v>93.506756772108517</v>
      </c>
      <c r="H433">
        <f t="shared" ca="1" si="363"/>
        <v>96.346643117199577</v>
      </c>
      <c r="I433">
        <f t="shared" ca="1" si="363"/>
        <v>96.441907590138285</v>
      </c>
      <c r="J433">
        <f t="shared" ref="J433:P433" ca="1" si="400">I433*EXP(($C$6-0.5*$C$7^2)*$C$12+$C$7*SQRT($C$12)*NORMINV(RAND(),0,1))</f>
        <v>92.97943845373176</v>
      </c>
      <c r="K433">
        <f t="shared" ca="1" si="400"/>
        <v>93.363335997572548</v>
      </c>
      <c r="L433">
        <f t="shared" ca="1" si="400"/>
        <v>88.212145042226979</v>
      </c>
      <c r="M433">
        <f t="shared" ca="1" si="400"/>
        <v>80.973277794505705</v>
      </c>
      <c r="N433">
        <f t="shared" ca="1" si="400"/>
        <v>85.494020573417927</v>
      </c>
      <c r="O433">
        <f t="shared" ca="1" si="400"/>
        <v>87.547323043113749</v>
      </c>
      <c r="P433">
        <f t="shared" ca="1" si="400"/>
        <v>92.952992256438961</v>
      </c>
      <c r="Q433">
        <f t="shared" ca="1" si="364"/>
        <v>96.441907590138285</v>
      </c>
      <c r="R433">
        <f t="shared" ca="1" si="365"/>
        <v>0</v>
      </c>
      <c r="S433">
        <f t="shared" ca="1" si="366"/>
        <v>0</v>
      </c>
    </row>
    <row r="434" spans="5:19" x14ac:dyDescent="0.75">
      <c r="E434">
        <v>429</v>
      </c>
      <c r="F434">
        <f t="shared" si="362"/>
        <v>100</v>
      </c>
      <c r="G434">
        <f t="shared" ca="1" si="363"/>
        <v>107.94059107847049</v>
      </c>
      <c r="H434">
        <f t="shared" ca="1" si="363"/>
        <v>108.10314006107792</v>
      </c>
      <c r="I434">
        <f t="shared" ca="1" si="363"/>
        <v>110.48314766359177</v>
      </c>
      <c r="J434">
        <f t="shared" ref="J434:P434" ca="1" si="401">I434*EXP(($C$6-0.5*$C$7^2)*$C$12+$C$7*SQRT($C$12)*NORMINV(RAND(),0,1))</f>
        <v>117.64777207870195</v>
      </c>
      <c r="K434">
        <f t="shared" ca="1" si="401"/>
        <v>121.18767214493117</v>
      </c>
      <c r="L434">
        <f t="shared" ca="1" si="401"/>
        <v>128.005902461788</v>
      </c>
      <c r="M434">
        <f t="shared" ca="1" si="401"/>
        <v>129.52135777990514</v>
      </c>
      <c r="N434">
        <f t="shared" ca="1" si="401"/>
        <v>124.50616904141407</v>
      </c>
      <c r="O434">
        <f t="shared" ca="1" si="401"/>
        <v>125.58637481164611</v>
      </c>
      <c r="P434">
        <f t="shared" ca="1" si="401"/>
        <v>125.94548803081911</v>
      </c>
      <c r="Q434">
        <f t="shared" ca="1" si="364"/>
        <v>129.52135777990514</v>
      </c>
      <c r="R434">
        <f t="shared" ca="1" si="365"/>
        <v>0</v>
      </c>
      <c r="S434">
        <f t="shared" ca="1" si="366"/>
        <v>0</v>
      </c>
    </row>
    <row r="435" spans="5:19" x14ac:dyDescent="0.75">
      <c r="E435">
        <v>430</v>
      </c>
      <c r="F435">
        <f t="shared" si="362"/>
        <v>100</v>
      </c>
      <c r="G435">
        <f t="shared" ca="1" si="363"/>
        <v>97.317379960244807</v>
      </c>
      <c r="H435">
        <f t="shared" ca="1" si="363"/>
        <v>92.348380964154373</v>
      </c>
      <c r="I435">
        <f t="shared" ca="1" si="363"/>
        <v>89.987728816056162</v>
      </c>
      <c r="J435">
        <f t="shared" ref="J435:P435" ca="1" si="402">I435*EXP(($C$6-0.5*$C$7^2)*$C$12+$C$7*SQRT($C$12)*NORMINV(RAND(),0,1))</f>
        <v>92.192974514393626</v>
      </c>
      <c r="K435">
        <f t="shared" ca="1" si="402"/>
        <v>90.286418135449196</v>
      </c>
      <c r="L435">
        <f t="shared" ca="1" si="402"/>
        <v>95.732040158019686</v>
      </c>
      <c r="M435">
        <f t="shared" ca="1" si="402"/>
        <v>91.702978704202408</v>
      </c>
      <c r="N435">
        <f t="shared" ca="1" si="402"/>
        <v>93.187345955073425</v>
      </c>
      <c r="O435">
        <f t="shared" ca="1" si="402"/>
        <v>92.529461382789137</v>
      </c>
      <c r="P435">
        <f t="shared" ca="1" si="402"/>
        <v>89.22566283759015</v>
      </c>
      <c r="Q435">
        <f t="shared" ca="1" si="364"/>
        <v>97.317379960244807</v>
      </c>
      <c r="R435">
        <f t="shared" ca="1" si="365"/>
        <v>0</v>
      </c>
      <c r="S435">
        <f t="shared" ca="1" si="366"/>
        <v>0</v>
      </c>
    </row>
    <row r="436" spans="5:19" x14ac:dyDescent="0.75">
      <c r="E436">
        <v>431</v>
      </c>
      <c r="F436">
        <f t="shared" si="362"/>
        <v>100</v>
      </c>
      <c r="G436">
        <f t="shared" ca="1" si="363"/>
        <v>104.54518149460135</v>
      </c>
      <c r="H436">
        <f t="shared" ca="1" si="363"/>
        <v>106.69861725141935</v>
      </c>
      <c r="I436">
        <f t="shared" ca="1" si="363"/>
        <v>110.76883252343244</v>
      </c>
      <c r="J436">
        <f t="shared" ref="J436:P436" ca="1" si="403">I436*EXP(($C$6-0.5*$C$7^2)*$C$12+$C$7*SQRT($C$12)*NORMINV(RAND(),0,1))</f>
        <v>107.93457474955878</v>
      </c>
      <c r="K436">
        <f t="shared" ca="1" si="403"/>
        <v>107.73424853734595</v>
      </c>
      <c r="L436">
        <f t="shared" ca="1" si="403"/>
        <v>108.95958298804238</v>
      </c>
      <c r="M436">
        <f t="shared" ca="1" si="403"/>
        <v>107.09128713186104</v>
      </c>
      <c r="N436">
        <f t="shared" ca="1" si="403"/>
        <v>103.31685218583014</v>
      </c>
      <c r="O436">
        <f t="shared" ca="1" si="403"/>
        <v>106.7630401287696</v>
      </c>
      <c r="P436">
        <f t="shared" ca="1" si="403"/>
        <v>106.49459041941066</v>
      </c>
      <c r="Q436">
        <f t="shared" ca="1" si="364"/>
        <v>110.76883252343244</v>
      </c>
      <c r="R436">
        <f t="shared" ca="1" si="365"/>
        <v>0</v>
      </c>
      <c r="S436">
        <f t="shared" ca="1" si="366"/>
        <v>0</v>
      </c>
    </row>
    <row r="437" spans="5:19" x14ac:dyDescent="0.75">
      <c r="E437">
        <v>432</v>
      </c>
      <c r="F437">
        <f t="shared" si="362"/>
        <v>100</v>
      </c>
      <c r="G437">
        <f t="shared" ca="1" si="363"/>
        <v>105.09071326969675</v>
      </c>
      <c r="H437">
        <f t="shared" ca="1" si="363"/>
        <v>110.49799255560339</v>
      </c>
      <c r="I437">
        <f t="shared" ca="1" si="363"/>
        <v>105.66196560025992</v>
      </c>
      <c r="J437">
        <f t="shared" ref="J437:P437" ca="1" si="404">I437*EXP(($C$6-0.5*$C$7^2)*$C$12+$C$7*SQRT($C$12)*NORMINV(RAND(),0,1))</f>
        <v>113.05904487670081</v>
      </c>
      <c r="K437">
        <f t="shared" ca="1" si="404"/>
        <v>112.21215760556946</v>
      </c>
      <c r="L437">
        <f t="shared" ca="1" si="404"/>
        <v>103.60378034808546</v>
      </c>
      <c r="M437">
        <f t="shared" ca="1" si="404"/>
        <v>112.50235076896409</v>
      </c>
      <c r="N437">
        <f t="shared" ca="1" si="404"/>
        <v>122.88602175000068</v>
      </c>
      <c r="O437">
        <f t="shared" ca="1" si="404"/>
        <v>133.11892598800966</v>
      </c>
      <c r="P437">
        <f t="shared" ca="1" si="404"/>
        <v>135.60160244399637</v>
      </c>
      <c r="Q437">
        <f t="shared" ca="1" si="364"/>
        <v>135.60160244399637</v>
      </c>
      <c r="R437">
        <f t="shared" ca="1" si="365"/>
        <v>0</v>
      </c>
      <c r="S437">
        <f t="shared" ca="1" si="366"/>
        <v>0</v>
      </c>
    </row>
    <row r="438" spans="5:19" x14ac:dyDescent="0.75">
      <c r="E438">
        <v>433</v>
      </c>
      <c r="F438">
        <f t="shared" si="362"/>
        <v>100</v>
      </c>
      <c r="G438">
        <f t="shared" ca="1" si="363"/>
        <v>104.90565803716751</v>
      </c>
      <c r="H438">
        <f t="shared" ca="1" si="363"/>
        <v>106.70901918503831</v>
      </c>
      <c r="I438">
        <f t="shared" ca="1" si="363"/>
        <v>107.53576905141333</v>
      </c>
      <c r="J438">
        <f t="shared" ref="J438:P438" ca="1" si="405">I438*EXP(($C$6-0.5*$C$7^2)*$C$12+$C$7*SQRT($C$12)*NORMINV(RAND(),0,1))</f>
        <v>109.75623479738326</v>
      </c>
      <c r="K438">
        <f t="shared" ca="1" si="405"/>
        <v>111.51968176829521</v>
      </c>
      <c r="L438">
        <f t="shared" ca="1" si="405"/>
        <v>126.61409377837595</v>
      </c>
      <c r="M438">
        <f t="shared" ca="1" si="405"/>
        <v>125.13425162966676</v>
      </c>
      <c r="N438">
        <f t="shared" ca="1" si="405"/>
        <v>130.17224814269665</v>
      </c>
      <c r="O438">
        <f t="shared" ca="1" si="405"/>
        <v>119.99697893215692</v>
      </c>
      <c r="P438">
        <f t="shared" ca="1" si="405"/>
        <v>121.4265292353511</v>
      </c>
      <c r="Q438">
        <f t="shared" ca="1" si="364"/>
        <v>130.17224814269665</v>
      </c>
      <c r="R438">
        <f t="shared" ca="1" si="365"/>
        <v>0</v>
      </c>
      <c r="S438">
        <f t="shared" ca="1" si="366"/>
        <v>0</v>
      </c>
    </row>
    <row r="439" spans="5:19" x14ac:dyDescent="0.75">
      <c r="E439">
        <v>434</v>
      </c>
      <c r="F439">
        <f t="shared" si="362"/>
        <v>100</v>
      </c>
      <c r="G439">
        <f t="shared" ca="1" si="363"/>
        <v>104.87161920299042</v>
      </c>
      <c r="H439">
        <f t="shared" ca="1" si="363"/>
        <v>109.19864719852767</v>
      </c>
      <c r="I439">
        <f t="shared" ca="1" si="363"/>
        <v>106.01359865519071</v>
      </c>
      <c r="J439">
        <f t="shared" ref="J439:P439" ca="1" si="406">I439*EXP(($C$6-0.5*$C$7^2)*$C$12+$C$7*SQRT($C$12)*NORMINV(RAND(),0,1))</f>
        <v>106.09282722333778</v>
      </c>
      <c r="K439">
        <f t="shared" ca="1" si="406"/>
        <v>98.478009260351328</v>
      </c>
      <c r="L439">
        <f t="shared" ca="1" si="406"/>
        <v>100.84334119731488</v>
      </c>
      <c r="M439">
        <f t="shared" ca="1" si="406"/>
        <v>102.8816937039665</v>
      </c>
      <c r="N439">
        <f t="shared" ca="1" si="406"/>
        <v>102.31080177188186</v>
      </c>
      <c r="O439">
        <f t="shared" ca="1" si="406"/>
        <v>103.94693394212273</v>
      </c>
      <c r="P439">
        <f t="shared" ca="1" si="406"/>
        <v>104.74630143712477</v>
      </c>
      <c r="Q439">
        <f t="shared" ca="1" si="364"/>
        <v>109.19864719852767</v>
      </c>
      <c r="R439">
        <f t="shared" ca="1" si="365"/>
        <v>2.7463014371247709</v>
      </c>
      <c r="S439">
        <f t="shared" ca="1" si="366"/>
        <v>2.6784950130454437</v>
      </c>
    </row>
    <row r="440" spans="5:19" x14ac:dyDescent="0.75">
      <c r="E440">
        <v>435</v>
      </c>
      <c r="F440">
        <f t="shared" si="362"/>
        <v>100</v>
      </c>
      <c r="G440">
        <f t="shared" ca="1" si="363"/>
        <v>95.569004053739263</v>
      </c>
      <c r="H440">
        <f t="shared" ca="1" si="363"/>
        <v>98.04387037726535</v>
      </c>
      <c r="I440">
        <f t="shared" ca="1" si="363"/>
        <v>91.620620136277793</v>
      </c>
      <c r="J440">
        <f t="shared" ref="J440:P440" ca="1" si="407">I440*EXP(($C$6-0.5*$C$7^2)*$C$12+$C$7*SQRT($C$12)*NORMINV(RAND(),0,1))</f>
        <v>91.298506486550991</v>
      </c>
      <c r="K440">
        <f t="shared" ca="1" si="407"/>
        <v>89.575576637625176</v>
      </c>
      <c r="L440">
        <f t="shared" ca="1" si="407"/>
        <v>86.313583399786381</v>
      </c>
      <c r="M440">
        <f t="shared" ca="1" si="407"/>
        <v>86.847441612483067</v>
      </c>
      <c r="N440">
        <f t="shared" ca="1" si="407"/>
        <v>87.426324662179383</v>
      </c>
      <c r="O440">
        <f t="shared" ca="1" si="407"/>
        <v>96.060960576105785</v>
      </c>
      <c r="P440">
        <f t="shared" ca="1" si="407"/>
        <v>100.41721945411483</v>
      </c>
      <c r="Q440">
        <f t="shared" ca="1" si="364"/>
        <v>100.41721945411483</v>
      </c>
      <c r="R440">
        <f t="shared" ca="1" si="365"/>
        <v>0</v>
      </c>
      <c r="S440">
        <f t="shared" ca="1" si="366"/>
        <v>0</v>
      </c>
    </row>
    <row r="441" spans="5:19" x14ac:dyDescent="0.75">
      <c r="E441">
        <v>436</v>
      </c>
      <c r="F441">
        <f t="shared" si="362"/>
        <v>100</v>
      </c>
      <c r="G441">
        <f t="shared" ca="1" si="363"/>
        <v>100.04727474986808</v>
      </c>
      <c r="H441">
        <f t="shared" ca="1" si="363"/>
        <v>112.08828846605097</v>
      </c>
      <c r="I441">
        <f t="shared" ca="1" si="363"/>
        <v>104.96592861933981</v>
      </c>
      <c r="J441">
        <f t="shared" ref="J441:P441" ca="1" si="408">I441*EXP(($C$6-0.5*$C$7^2)*$C$12+$C$7*SQRT($C$12)*NORMINV(RAND(),0,1))</f>
        <v>111.22219501231902</v>
      </c>
      <c r="K441">
        <f t="shared" ca="1" si="408"/>
        <v>111.32778210330962</v>
      </c>
      <c r="L441">
        <f t="shared" ca="1" si="408"/>
        <v>103.34529319069159</v>
      </c>
      <c r="M441">
        <f t="shared" ca="1" si="408"/>
        <v>102.67915974336235</v>
      </c>
      <c r="N441">
        <f t="shared" ca="1" si="408"/>
        <v>103.39292381621746</v>
      </c>
      <c r="O441">
        <f t="shared" ca="1" si="408"/>
        <v>111.80420457168219</v>
      </c>
      <c r="P441">
        <f t="shared" ca="1" si="408"/>
        <v>110.02204075274169</v>
      </c>
      <c r="Q441">
        <f t="shared" ca="1" si="364"/>
        <v>112.08828846605097</v>
      </c>
      <c r="R441">
        <f t="shared" ca="1" si="365"/>
        <v>0</v>
      </c>
      <c r="S441">
        <f t="shared" ca="1" si="366"/>
        <v>0</v>
      </c>
    </row>
    <row r="442" spans="5:19" x14ac:dyDescent="0.75">
      <c r="E442">
        <v>437</v>
      </c>
      <c r="F442">
        <f t="shared" si="362"/>
        <v>100</v>
      </c>
      <c r="G442">
        <f t="shared" ca="1" si="363"/>
        <v>104.77782652349173</v>
      </c>
      <c r="H442">
        <f t="shared" ca="1" si="363"/>
        <v>99.025215792199944</v>
      </c>
      <c r="I442">
        <f t="shared" ca="1" si="363"/>
        <v>95.408985995880073</v>
      </c>
      <c r="J442">
        <f t="shared" ref="J442:P442" ca="1" si="409">I442*EXP(($C$6-0.5*$C$7^2)*$C$12+$C$7*SQRT($C$12)*NORMINV(RAND(),0,1))</f>
        <v>95.530661469576501</v>
      </c>
      <c r="K442">
        <f t="shared" ca="1" si="409"/>
        <v>88.724028979030166</v>
      </c>
      <c r="L442">
        <f t="shared" ca="1" si="409"/>
        <v>84.135782300632499</v>
      </c>
      <c r="M442">
        <f t="shared" ca="1" si="409"/>
        <v>80.219118343478087</v>
      </c>
      <c r="N442">
        <f t="shared" ca="1" si="409"/>
        <v>76.411379928080336</v>
      </c>
      <c r="O442">
        <f t="shared" ca="1" si="409"/>
        <v>71.239244060826067</v>
      </c>
      <c r="P442">
        <f t="shared" ca="1" si="409"/>
        <v>72.732590172776199</v>
      </c>
      <c r="Q442">
        <f t="shared" ca="1" si="364"/>
        <v>104.77782652349173</v>
      </c>
      <c r="R442">
        <f t="shared" ca="1" si="365"/>
        <v>0</v>
      </c>
      <c r="S442">
        <f t="shared" ca="1" si="366"/>
        <v>0</v>
      </c>
    </row>
    <row r="443" spans="5:19" x14ac:dyDescent="0.75">
      <c r="E443">
        <v>438</v>
      </c>
      <c r="F443">
        <f t="shared" si="362"/>
        <v>100</v>
      </c>
      <c r="G443">
        <f t="shared" ca="1" si="363"/>
        <v>101.10865994581424</v>
      </c>
      <c r="H443">
        <f t="shared" ca="1" si="363"/>
        <v>94.588956381716898</v>
      </c>
      <c r="I443">
        <f t="shared" ca="1" si="363"/>
        <v>95.044077034149566</v>
      </c>
      <c r="J443">
        <f t="shared" ref="J443:P443" ca="1" si="410">I443*EXP(($C$6-0.5*$C$7^2)*$C$12+$C$7*SQRT($C$12)*NORMINV(RAND(),0,1))</f>
        <v>98.97208034320289</v>
      </c>
      <c r="K443">
        <f t="shared" ca="1" si="410"/>
        <v>101.94775695953791</v>
      </c>
      <c r="L443">
        <f t="shared" ca="1" si="410"/>
        <v>108.92403797723877</v>
      </c>
      <c r="M443">
        <f t="shared" ca="1" si="410"/>
        <v>113.50547763132906</v>
      </c>
      <c r="N443">
        <f t="shared" ca="1" si="410"/>
        <v>119.04945402502489</v>
      </c>
      <c r="O443">
        <f t="shared" ca="1" si="410"/>
        <v>118.48524529169217</v>
      </c>
      <c r="P443">
        <f t="shared" ca="1" si="410"/>
        <v>123.02366301604971</v>
      </c>
      <c r="Q443">
        <f t="shared" ca="1" si="364"/>
        <v>123.02366301604971</v>
      </c>
      <c r="R443">
        <f t="shared" ca="1" si="365"/>
        <v>0</v>
      </c>
      <c r="S443">
        <f t="shared" ca="1" si="366"/>
        <v>0</v>
      </c>
    </row>
    <row r="444" spans="5:19" x14ac:dyDescent="0.75">
      <c r="E444">
        <v>439</v>
      </c>
      <c r="F444">
        <f t="shared" si="362"/>
        <v>100</v>
      </c>
      <c r="G444">
        <f t="shared" ca="1" si="363"/>
        <v>98.405181230324672</v>
      </c>
      <c r="H444">
        <f t="shared" ca="1" si="363"/>
        <v>105.07918691020788</v>
      </c>
      <c r="I444">
        <f t="shared" ca="1" si="363"/>
        <v>110.78287325408638</v>
      </c>
      <c r="J444">
        <f t="shared" ref="J444:P444" ca="1" si="411">I444*EXP(($C$6-0.5*$C$7^2)*$C$12+$C$7*SQRT($C$12)*NORMINV(RAND(),0,1))</f>
        <v>114.85687154905196</v>
      </c>
      <c r="K444">
        <f t="shared" ca="1" si="411"/>
        <v>116.48547598972408</v>
      </c>
      <c r="L444">
        <f t="shared" ca="1" si="411"/>
        <v>110.2873208716383</v>
      </c>
      <c r="M444">
        <f t="shared" ca="1" si="411"/>
        <v>101.02110597666945</v>
      </c>
      <c r="N444">
        <f t="shared" ca="1" si="411"/>
        <v>106.03490176071736</v>
      </c>
      <c r="O444">
        <f t="shared" ca="1" si="411"/>
        <v>102.91767759979447</v>
      </c>
      <c r="P444">
        <f t="shared" ca="1" si="411"/>
        <v>102.83136825204954</v>
      </c>
      <c r="Q444">
        <f t="shared" ca="1" si="364"/>
        <v>116.48547598972408</v>
      </c>
      <c r="R444">
        <f t="shared" ca="1" si="365"/>
        <v>0</v>
      </c>
      <c r="S444">
        <f t="shared" ca="1" si="366"/>
        <v>0</v>
      </c>
    </row>
    <row r="445" spans="5:19" x14ac:dyDescent="0.75">
      <c r="E445">
        <v>440</v>
      </c>
      <c r="F445">
        <f t="shared" si="362"/>
        <v>100</v>
      </c>
      <c r="G445">
        <f t="shared" ca="1" si="363"/>
        <v>105.10869756692782</v>
      </c>
      <c r="H445">
        <f t="shared" ca="1" si="363"/>
        <v>100.99997764315961</v>
      </c>
      <c r="I445">
        <f t="shared" ca="1" si="363"/>
        <v>99.347273746654892</v>
      </c>
      <c r="J445">
        <f t="shared" ref="J445:P445" ca="1" si="412">I445*EXP(($C$6-0.5*$C$7^2)*$C$12+$C$7*SQRT($C$12)*NORMINV(RAND(),0,1))</f>
        <v>105.16950019979853</v>
      </c>
      <c r="K445">
        <f t="shared" ca="1" si="412"/>
        <v>101.68874832711114</v>
      </c>
      <c r="L445">
        <f t="shared" ca="1" si="412"/>
        <v>99.939991304171585</v>
      </c>
      <c r="M445">
        <f t="shared" ca="1" si="412"/>
        <v>95.017559480319932</v>
      </c>
      <c r="N445">
        <f t="shared" ca="1" si="412"/>
        <v>98.289789623769821</v>
      </c>
      <c r="O445">
        <f t="shared" ca="1" si="412"/>
        <v>96.349194562432743</v>
      </c>
      <c r="P445">
        <f t="shared" ca="1" si="412"/>
        <v>102.40894553490966</v>
      </c>
      <c r="Q445">
        <f t="shared" ca="1" si="364"/>
        <v>105.16950019979853</v>
      </c>
      <c r="R445">
        <f t="shared" ca="1" si="365"/>
        <v>0.40894553490966246</v>
      </c>
      <c r="S445">
        <f t="shared" ca="1" si="366"/>
        <v>0.39884863367712231</v>
      </c>
    </row>
    <row r="446" spans="5:19" x14ac:dyDescent="0.75">
      <c r="E446">
        <v>441</v>
      </c>
      <c r="F446">
        <f t="shared" si="362"/>
        <v>100</v>
      </c>
      <c r="G446">
        <f t="shared" ca="1" si="363"/>
        <v>105.42060275828875</v>
      </c>
      <c r="H446">
        <f t="shared" ca="1" si="363"/>
        <v>105.15532656026463</v>
      </c>
      <c r="I446">
        <f t="shared" ca="1" si="363"/>
        <v>103.27505972229449</v>
      </c>
      <c r="J446">
        <f t="shared" ref="J446:P446" ca="1" si="413">I446*EXP(($C$6-0.5*$C$7^2)*$C$12+$C$7*SQRT($C$12)*NORMINV(RAND(),0,1))</f>
        <v>99.606006595413263</v>
      </c>
      <c r="K446">
        <f t="shared" ca="1" si="413"/>
        <v>96.508214223942019</v>
      </c>
      <c r="L446">
        <f t="shared" ca="1" si="413"/>
        <v>98.728445091159699</v>
      </c>
      <c r="M446">
        <f t="shared" ca="1" si="413"/>
        <v>99.396645814661255</v>
      </c>
      <c r="N446">
        <f t="shared" ca="1" si="413"/>
        <v>101.4258113234453</v>
      </c>
      <c r="O446">
        <f t="shared" ca="1" si="413"/>
        <v>103.61310986564646</v>
      </c>
      <c r="P446">
        <f t="shared" ca="1" si="413"/>
        <v>119.49539227414651</v>
      </c>
      <c r="Q446">
        <f t="shared" ca="1" si="364"/>
        <v>119.49539227414651</v>
      </c>
      <c r="R446">
        <f t="shared" ca="1" si="365"/>
        <v>0</v>
      </c>
      <c r="S446">
        <f t="shared" ca="1" si="366"/>
        <v>0</v>
      </c>
    </row>
    <row r="447" spans="5:19" x14ac:dyDescent="0.75">
      <c r="E447">
        <v>442</v>
      </c>
      <c r="F447">
        <f t="shared" si="362"/>
        <v>100</v>
      </c>
      <c r="G447">
        <f t="shared" ca="1" si="363"/>
        <v>103.53622272141105</v>
      </c>
      <c r="H447">
        <f t="shared" ca="1" si="363"/>
        <v>104.76439371959732</v>
      </c>
      <c r="I447">
        <f t="shared" ca="1" si="363"/>
        <v>98.743493968057294</v>
      </c>
      <c r="J447">
        <f t="shared" ref="J447:P447" ca="1" si="414">I447*EXP(($C$6-0.5*$C$7^2)*$C$12+$C$7*SQRT($C$12)*NORMINV(RAND(),0,1))</f>
        <v>96.491857264427594</v>
      </c>
      <c r="K447">
        <f t="shared" ca="1" si="414"/>
        <v>93.459853321163848</v>
      </c>
      <c r="L447">
        <f t="shared" ca="1" si="414"/>
        <v>98.337495148683942</v>
      </c>
      <c r="M447">
        <f t="shared" ca="1" si="414"/>
        <v>95.979442972309045</v>
      </c>
      <c r="N447">
        <f t="shared" ca="1" si="414"/>
        <v>91.687258604431591</v>
      </c>
      <c r="O447">
        <f t="shared" ca="1" si="414"/>
        <v>86.859672443999386</v>
      </c>
      <c r="P447">
        <f t="shared" ca="1" si="414"/>
        <v>86.323164984033795</v>
      </c>
      <c r="Q447">
        <f t="shared" ca="1" si="364"/>
        <v>104.76439371959732</v>
      </c>
      <c r="R447">
        <f t="shared" ca="1" si="365"/>
        <v>0</v>
      </c>
      <c r="S447">
        <f t="shared" ca="1" si="366"/>
        <v>0</v>
      </c>
    </row>
    <row r="448" spans="5:19" x14ac:dyDescent="0.75">
      <c r="E448">
        <v>443</v>
      </c>
      <c r="F448">
        <f t="shared" si="362"/>
        <v>100</v>
      </c>
      <c r="G448">
        <f t="shared" ca="1" si="363"/>
        <v>97.624535152121027</v>
      </c>
      <c r="H448">
        <f t="shared" ca="1" si="363"/>
        <v>91.277020923646376</v>
      </c>
      <c r="I448">
        <f t="shared" ca="1" si="363"/>
        <v>89.350016764700953</v>
      </c>
      <c r="J448">
        <f t="shared" ref="J448:P448" ca="1" si="415">I448*EXP(($C$6-0.5*$C$7^2)*$C$12+$C$7*SQRT($C$12)*NORMINV(RAND(),0,1))</f>
        <v>87.873351176287983</v>
      </c>
      <c r="K448">
        <f t="shared" ca="1" si="415"/>
        <v>91.503617076235443</v>
      </c>
      <c r="L448">
        <f t="shared" ca="1" si="415"/>
        <v>85.483861956979979</v>
      </c>
      <c r="M448">
        <f t="shared" ca="1" si="415"/>
        <v>84.382011818547539</v>
      </c>
      <c r="N448">
        <f t="shared" ca="1" si="415"/>
        <v>90.653982666259211</v>
      </c>
      <c r="O448">
        <f t="shared" ca="1" si="415"/>
        <v>84.625055278239458</v>
      </c>
      <c r="P448">
        <f t="shared" ca="1" si="415"/>
        <v>85.565020363636179</v>
      </c>
      <c r="Q448">
        <f t="shared" ca="1" si="364"/>
        <v>97.624535152121027</v>
      </c>
      <c r="R448">
        <f t="shared" ca="1" si="365"/>
        <v>0</v>
      </c>
      <c r="S448">
        <f t="shared" ca="1" si="366"/>
        <v>0</v>
      </c>
    </row>
    <row r="449" spans="5:19" x14ac:dyDescent="0.75">
      <c r="E449">
        <v>444</v>
      </c>
      <c r="F449">
        <f t="shared" si="362"/>
        <v>100</v>
      </c>
      <c r="G449">
        <f t="shared" ca="1" si="363"/>
        <v>92.43149401107209</v>
      </c>
      <c r="H449">
        <f t="shared" ca="1" si="363"/>
        <v>79.98553972121961</v>
      </c>
      <c r="I449">
        <f t="shared" ca="1" si="363"/>
        <v>79.49729833980544</v>
      </c>
      <c r="J449">
        <f t="shared" ref="J449:P449" ca="1" si="416">I449*EXP(($C$6-0.5*$C$7^2)*$C$12+$C$7*SQRT($C$12)*NORMINV(RAND(),0,1))</f>
        <v>79.392154717246129</v>
      </c>
      <c r="K449">
        <f t="shared" ca="1" si="416"/>
        <v>74.189109061466326</v>
      </c>
      <c r="L449">
        <f t="shared" ca="1" si="416"/>
        <v>78.860560777945864</v>
      </c>
      <c r="M449">
        <f t="shared" ca="1" si="416"/>
        <v>76.719736218111763</v>
      </c>
      <c r="N449">
        <f t="shared" ca="1" si="416"/>
        <v>74.655884233797892</v>
      </c>
      <c r="O449">
        <f t="shared" ca="1" si="416"/>
        <v>79.49028089925217</v>
      </c>
      <c r="P449">
        <f t="shared" ca="1" si="416"/>
        <v>77.749086575103618</v>
      </c>
      <c r="Q449">
        <f t="shared" ca="1" si="364"/>
        <v>92.43149401107209</v>
      </c>
      <c r="R449">
        <f t="shared" ca="1" si="365"/>
        <v>0</v>
      </c>
      <c r="S449">
        <f t="shared" ca="1" si="366"/>
        <v>0</v>
      </c>
    </row>
    <row r="450" spans="5:19" x14ac:dyDescent="0.75">
      <c r="E450">
        <v>445</v>
      </c>
      <c r="F450">
        <f t="shared" si="362"/>
        <v>100</v>
      </c>
      <c r="G450">
        <f t="shared" ca="1" si="363"/>
        <v>97.162479605236001</v>
      </c>
      <c r="H450">
        <f t="shared" ca="1" si="363"/>
        <v>103.5944862036403</v>
      </c>
      <c r="I450">
        <f t="shared" ca="1" si="363"/>
        <v>98.247584228533128</v>
      </c>
      <c r="J450">
        <f t="shared" ref="J450:P450" ca="1" si="417">I450*EXP(($C$6-0.5*$C$7^2)*$C$12+$C$7*SQRT($C$12)*NORMINV(RAND(),0,1))</f>
        <v>102.78110548855385</v>
      </c>
      <c r="K450">
        <f t="shared" ca="1" si="417"/>
        <v>110.9836363081307</v>
      </c>
      <c r="L450">
        <f t="shared" ca="1" si="417"/>
        <v>116.02116273432776</v>
      </c>
      <c r="M450">
        <f t="shared" ca="1" si="417"/>
        <v>115.67182835851709</v>
      </c>
      <c r="N450">
        <f t="shared" ca="1" si="417"/>
        <v>118.52492336392159</v>
      </c>
      <c r="O450">
        <f t="shared" ca="1" si="417"/>
        <v>116.12923490994314</v>
      </c>
      <c r="P450">
        <f t="shared" ca="1" si="417"/>
        <v>120.94726074748303</v>
      </c>
      <c r="Q450">
        <f t="shared" ca="1" si="364"/>
        <v>120.94726074748303</v>
      </c>
      <c r="R450">
        <f t="shared" ca="1" si="365"/>
        <v>0</v>
      </c>
      <c r="S450">
        <f t="shared" ca="1" si="366"/>
        <v>0</v>
      </c>
    </row>
    <row r="451" spans="5:19" x14ac:dyDescent="0.75">
      <c r="E451">
        <v>446</v>
      </c>
      <c r="F451">
        <f t="shared" si="362"/>
        <v>100</v>
      </c>
      <c r="G451">
        <f t="shared" ca="1" si="363"/>
        <v>91.955209505675498</v>
      </c>
      <c r="H451">
        <f t="shared" ca="1" si="363"/>
        <v>90.161750060391924</v>
      </c>
      <c r="I451">
        <f t="shared" ca="1" si="363"/>
        <v>95.68110425443102</v>
      </c>
      <c r="J451">
        <f t="shared" ref="J451:P451" ca="1" si="418">I451*EXP(($C$6-0.5*$C$7^2)*$C$12+$C$7*SQRT($C$12)*NORMINV(RAND(),0,1))</f>
        <v>99.341127210617671</v>
      </c>
      <c r="K451">
        <f t="shared" ca="1" si="418"/>
        <v>104.16005712156539</v>
      </c>
      <c r="L451">
        <f t="shared" ca="1" si="418"/>
        <v>103.00793013880946</v>
      </c>
      <c r="M451">
        <f t="shared" ca="1" si="418"/>
        <v>104.4046657520643</v>
      </c>
      <c r="N451">
        <f t="shared" ca="1" si="418"/>
        <v>109.70297561270426</v>
      </c>
      <c r="O451">
        <f t="shared" ca="1" si="418"/>
        <v>111.88297562170574</v>
      </c>
      <c r="P451">
        <f t="shared" ca="1" si="418"/>
        <v>116.64255859482411</v>
      </c>
      <c r="Q451">
        <f t="shared" ca="1" si="364"/>
        <v>116.64255859482411</v>
      </c>
      <c r="R451">
        <f t="shared" ca="1" si="365"/>
        <v>0</v>
      </c>
      <c r="S451">
        <f t="shared" ca="1" si="366"/>
        <v>0</v>
      </c>
    </row>
    <row r="452" spans="5:19" x14ac:dyDescent="0.75">
      <c r="E452">
        <v>447</v>
      </c>
      <c r="F452">
        <f t="shared" si="362"/>
        <v>100</v>
      </c>
      <c r="G452">
        <f t="shared" ca="1" si="363"/>
        <v>94.601560699436504</v>
      </c>
      <c r="H452">
        <f t="shared" ca="1" si="363"/>
        <v>90.968403755226262</v>
      </c>
      <c r="I452">
        <f t="shared" ca="1" si="363"/>
        <v>95.170283270295499</v>
      </c>
      <c r="J452">
        <f t="shared" ref="J452:P452" ca="1" si="419">I452*EXP(($C$6-0.5*$C$7^2)*$C$12+$C$7*SQRT($C$12)*NORMINV(RAND(),0,1))</f>
        <v>97.47648539823561</v>
      </c>
      <c r="K452">
        <f t="shared" ca="1" si="419"/>
        <v>96.751216120046266</v>
      </c>
      <c r="L452">
        <f t="shared" ca="1" si="419"/>
        <v>103.57574909199927</v>
      </c>
      <c r="M452">
        <f t="shared" ca="1" si="419"/>
        <v>107.37221532689725</v>
      </c>
      <c r="N452">
        <f t="shared" ca="1" si="419"/>
        <v>111.75618901136502</v>
      </c>
      <c r="O452">
        <f t="shared" ca="1" si="419"/>
        <v>111.83051331370631</v>
      </c>
      <c r="P452">
        <f t="shared" ca="1" si="419"/>
        <v>110.44128116373037</v>
      </c>
      <c r="Q452">
        <f t="shared" ca="1" si="364"/>
        <v>111.83051331370631</v>
      </c>
      <c r="R452">
        <f t="shared" ca="1" si="365"/>
        <v>0</v>
      </c>
      <c r="S452">
        <f t="shared" ca="1" si="366"/>
        <v>0</v>
      </c>
    </row>
    <row r="453" spans="5:19" x14ac:dyDescent="0.75">
      <c r="E453">
        <v>448</v>
      </c>
      <c r="F453">
        <f t="shared" si="362"/>
        <v>100</v>
      </c>
      <c r="G453">
        <f t="shared" ca="1" si="363"/>
        <v>98.772518719932478</v>
      </c>
      <c r="H453">
        <f t="shared" ca="1" si="363"/>
        <v>99.777663729619348</v>
      </c>
      <c r="I453">
        <f t="shared" ca="1" si="363"/>
        <v>100.85632590809556</v>
      </c>
      <c r="J453">
        <f t="shared" ref="J453:P453" ca="1" si="420">I453*EXP(($C$6-0.5*$C$7^2)*$C$12+$C$7*SQRT($C$12)*NORMINV(RAND(),0,1))</f>
        <v>101.67108176398892</v>
      </c>
      <c r="K453">
        <f t="shared" ca="1" si="420"/>
        <v>103.99638608191717</v>
      </c>
      <c r="L453">
        <f t="shared" ca="1" si="420"/>
        <v>102.05804921147552</v>
      </c>
      <c r="M453">
        <f t="shared" ca="1" si="420"/>
        <v>102.57041813445551</v>
      </c>
      <c r="N453">
        <f t="shared" ca="1" si="420"/>
        <v>108.66101863036744</v>
      </c>
      <c r="O453">
        <f t="shared" ca="1" si="420"/>
        <v>113.16888201347884</v>
      </c>
      <c r="P453">
        <f t="shared" ca="1" si="420"/>
        <v>118.13352547079563</v>
      </c>
      <c r="Q453">
        <f t="shared" ca="1" si="364"/>
        <v>118.13352547079563</v>
      </c>
      <c r="R453">
        <f t="shared" ca="1" si="365"/>
        <v>0</v>
      </c>
      <c r="S453">
        <f t="shared" ca="1" si="366"/>
        <v>0</v>
      </c>
    </row>
    <row r="454" spans="5:19" x14ac:dyDescent="0.75">
      <c r="E454">
        <v>449</v>
      </c>
      <c r="F454">
        <f t="shared" si="362"/>
        <v>100</v>
      </c>
      <c r="G454">
        <f t="shared" ca="1" si="363"/>
        <v>94.072450148266711</v>
      </c>
      <c r="H454">
        <f t="shared" ca="1" si="363"/>
        <v>86.690722605638882</v>
      </c>
      <c r="I454">
        <f t="shared" ca="1" si="363"/>
        <v>93.007519046433274</v>
      </c>
      <c r="J454">
        <f t="shared" ref="J454:P454" ca="1" si="421">I454*EXP(($C$6-0.5*$C$7^2)*$C$12+$C$7*SQRT($C$12)*NORMINV(RAND(),0,1))</f>
        <v>94.837695455263272</v>
      </c>
      <c r="K454">
        <f t="shared" ca="1" si="421"/>
        <v>96.647893698351126</v>
      </c>
      <c r="L454">
        <f t="shared" ca="1" si="421"/>
        <v>92.564259177054282</v>
      </c>
      <c r="M454">
        <f t="shared" ca="1" si="421"/>
        <v>92.459005101427451</v>
      </c>
      <c r="N454">
        <f t="shared" ca="1" si="421"/>
        <v>98.53970398257637</v>
      </c>
      <c r="O454">
        <f t="shared" ca="1" si="421"/>
        <v>93.03240756661404</v>
      </c>
      <c r="P454">
        <f t="shared" ca="1" si="421"/>
        <v>89.703652182231082</v>
      </c>
      <c r="Q454">
        <f t="shared" ca="1" si="364"/>
        <v>98.53970398257637</v>
      </c>
      <c r="R454">
        <f t="shared" ca="1" si="365"/>
        <v>0</v>
      </c>
      <c r="S454">
        <f t="shared" ca="1" si="366"/>
        <v>0</v>
      </c>
    </row>
    <row r="455" spans="5:19" x14ac:dyDescent="0.75">
      <c r="E455">
        <v>450</v>
      </c>
      <c r="F455">
        <f t="shared" ref="F455:F518" si="422">$C$5</f>
        <v>100</v>
      </c>
      <c r="G455">
        <f t="shared" ref="G455:P518" ca="1" si="423">F455*EXP(($C$6-0.5*$C$7^2)*$C$12+$C$7*SQRT($C$12)*NORMINV(RAND(),0,1))</f>
        <v>99.198481293051771</v>
      </c>
      <c r="H455">
        <f t="shared" ca="1" si="423"/>
        <v>95.904668272478659</v>
      </c>
      <c r="I455">
        <f t="shared" ca="1" si="423"/>
        <v>94.159009492396493</v>
      </c>
      <c r="J455">
        <f t="shared" ca="1" si="423"/>
        <v>87.897416991086558</v>
      </c>
      <c r="K455">
        <f t="shared" ca="1" si="423"/>
        <v>89.672564716994771</v>
      </c>
      <c r="L455">
        <f t="shared" ca="1" si="423"/>
        <v>83.945763905041176</v>
      </c>
      <c r="M455">
        <f t="shared" ca="1" si="423"/>
        <v>83.771836375049787</v>
      </c>
      <c r="N455">
        <f t="shared" ca="1" si="423"/>
        <v>78.849959315915299</v>
      </c>
      <c r="O455">
        <f t="shared" ca="1" si="423"/>
        <v>82.334431793986582</v>
      </c>
      <c r="P455">
        <f t="shared" ca="1" si="423"/>
        <v>85.202524420402895</v>
      </c>
      <c r="Q455">
        <f t="shared" ref="Q455:Q518" ca="1" si="424">MAX(G455:P455)</f>
        <v>99.198481293051771</v>
      </c>
      <c r="R455">
        <f t="shared" ref="R455:R518" ca="1" si="425">IF(Q455&gt;=$C$13,0, MAX(P455-$C$9,0))</f>
        <v>0</v>
      </c>
      <c r="S455">
        <f t="shared" ref="S455:S518" ca="1" si="426">EXP(-$C$6*$C$8)*R455</f>
        <v>0</v>
      </c>
    </row>
    <row r="456" spans="5:19" x14ac:dyDescent="0.75">
      <c r="E456">
        <v>451</v>
      </c>
      <c r="F456">
        <f t="shared" si="422"/>
        <v>100</v>
      </c>
      <c r="G456">
        <f t="shared" ca="1" si="423"/>
        <v>94.445294955670093</v>
      </c>
      <c r="H456">
        <f t="shared" ca="1" si="423"/>
        <v>90.049354657157238</v>
      </c>
      <c r="I456">
        <f t="shared" ca="1" si="423"/>
        <v>87.428633418649483</v>
      </c>
      <c r="J456">
        <f t="shared" ca="1" si="423"/>
        <v>88.638087229252562</v>
      </c>
      <c r="K456">
        <f t="shared" ca="1" si="423"/>
        <v>92.321943682232487</v>
      </c>
      <c r="L456">
        <f t="shared" ca="1" si="423"/>
        <v>90.259046256003771</v>
      </c>
      <c r="M456">
        <f t="shared" ca="1" si="423"/>
        <v>92.618492273862913</v>
      </c>
      <c r="N456">
        <f t="shared" ca="1" si="423"/>
        <v>96.301734996981892</v>
      </c>
      <c r="O456">
        <f t="shared" ca="1" si="423"/>
        <v>88.258111192533008</v>
      </c>
      <c r="P456">
        <f t="shared" ca="1" si="423"/>
        <v>85.30253617461139</v>
      </c>
      <c r="Q456">
        <f t="shared" ca="1" si="424"/>
        <v>96.301734996981892</v>
      </c>
      <c r="R456">
        <f t="shared" ca="1" si="425"/>
        <v>0</v>
      </c>
      <c r="S456">
        <f t="shared" ca="1" si="426"/>
        <v>0</v>
      </c>
    </row>
    <row r="457" spans="5:19" x14ac:dyDescent="0.75">
      <c r="E457">
        <v>452</v>
      </c>
      <c r="F457">
        <f t="shared" si="422"/>
        <v>100</v>
      </c>
      <c r="G457">
        <f t="shared" ca="1" si="423"/>
        <v>93.893801551012842</v>
      </c>
      <c r="H457">
        <f t="shared" ca="1" si="423"/>
        <v>89.215717482589042</v>
      </c>
      <c r="I457">
        <f t="shared" ca="1" si="423"/>
        <v>92.709079315623129</v>
      </c>
      <c r="J457">
        <f t="shared" ca="1" si="423"/>
        <v>92.581511266297341</v>
      </c>
      <c r="K457">
        <f t="shared" ca="1" si="423"/>
        <v>85.834660307988941</v>
      </c>
      <c r="L457">
        <f t="shared" ca="1" si="423"/>
        <v>90.924180505580949</v>
      </c>
      <c r="M457">
        <f t="shared" ca="1" si="423"/>
        <v>88.141078756970572</v>
      </c>
      <c r="N457">
        <f t="shared" ca="1" si="423"/>
        <v>83.336422302063255</v>
      </c>
      <c r="O457">
        <f t="shared" ca="1" si="423"/>
        <v>85.109979505155039</v>
      </c>
      <c r="P457">
        <f t="shared" ca="1" si="423"/>
        <v>91.368240097310746</v>
      </c>
      <c r="Q457">
        <f t="shared" ca="1" si="424"/>
        <v>93.893801551012842</v>
      </c>
      <c r="R457">
        <f t="shared" ca="1" si="425"/>
        <v>0</v>
      </c>
      <c r="S457">
        <f t="shared" ca="1" si="426"/>
        <v>0</v>
      </c>
    </row>
    <row r="458" spans="5:19" x14ac:dyDescent="0.75">
      <c r="E458">
        <v>453</v>
      </c>
      <c r="F458">
        <f t="shared" si="422"/>
        <v>100</v>
      </c>
      <c r="G458">
        <f t="shared" ca="1" si="423"/>
        <v>100.56869019046628</v>
      </c>
      <c r="H458">
        <f t="shared" ca="1" si="423"/>
        <v>104.91589896992724</v>
      </c>
      <c r="I458">
        <f t="shared" ca="1" si="423"/>
        <v>112.20095492197292</v>
      </c>
      <c r="J458">
        <f t="shared" ca="1" si="423"/>
        <v>109.29755143985813</v>
      </c>
      <c r="K458">
        <f t="shared" ca="1" si="423"/>
        <v>109.91509555130453</v>
      </c>
      <c r="L458">
        <f t="shared" ca="1" si="423"/>
        <v>114.34171344972938</v>
      </c>
      <c r="M458">
        <f t="shared" ca="1" si="423"/>
        <v>109.81310190756072</v>
      </c>
      <c r="N458">
        <f t="shared" ca="1" si="423"/>
        <v>108.90715847584254</v>
      </c>
      <c r="O458">
        <f t="shared" ca="1" si="423"/>
        <v>107.20620608362435</v>
      </c>
      <c r="P458">
        <f t="shared" ca="1" si="423"/>
        <v>112.1097570267581</v>
      </c>
      <c r="Q458">
        <f t="shared" ca="1" si="424"/>
        <v>114.34171344972938</v>
      </c>
      <c r="R458">
        <f t="shared" ca="1" si="425"/>
        <v>0</v>
      </c>
      <c r="S458">
        <f t="shared" ca="1" si="426"/>
        <v>0</v>
      </c>
    </row>
    <row r="459" spans="5:19" x14ac:dyDescent="0.75">
      <c r="E459">
        <v>454</v>
      </c>
      <c r="F459">
        <f t="shared" si="422"/>
        <v>100</v>
      </c>
      <c r="G459">
        <f t="shared" ca="1" si="423"/>
        <v>93.511466468256771</v>
      </c>
      <c r="H459">
        <f t="shared" ca="1" si="423"/>
        <v>100.61419434531359</v>
      </c>
      <c r="I459">
        <f t="shared" ca="1" si="423"/>
        <v>101.55613804958091</v>
      </c>
      <c r="J459">
        <f t="shared" ca="1" si="423"/>
        <v>94.720967915028254</v>
      </c>
      <c r="K459">
        <f t="shared" ca="1" si="423"/>
        <v>91.745183746878581</v>
      </c>
      <c r="L459">
        <f t="shared" ca="1" si="423"/>
        <v>91.221121213249504</v>
      </c>
      <c r="M459">
        <f t="shared" ca="1" si="423"/>
        <v>90.652104768150494</v>
      </c>
      <c r="N459">
        <f t="shared" ca="1" si="423"/>
        <v>88.030520049021504</v>
      </c>
      <c r="O459">
        <f t="shared" ca="1" si="423"/>
        <v>82.901414901501752</v>
      </c>
      <c r="P459">
        <f t="shared" ca="1" si="423"/>
        <v>85.102888302033179</v>
      </c>
      <c r="Q459">
        <f t="shared" ca="1" si="424"/>
        <v>101.55613804958091</v>
      </c>
      <c r="R459">
        <f t="shared" ca="1" si="425"/>
        <v>0</v>
      </c>
      <c r="S459">
        <f t="shared" ca="1" si="426"/>
        <v>0</v>
      </c>
    </row>
    <row r="460" spans="5:19" x14ac:dyDescent="0.75">
      <c r="E460">
        <v>455</v>
      </c>
      <c r="F460">
        <f t="shared" si="422"/>
        <v>100</v>
      </c>
      <c r="G460">
        <f t="shared" ca="1" si="423"/>
        <v>94.180074479337591</v>
      </c>
      <c r="H460">
        <f t="shared" ca="1" si="423"/>
        <v>96.865288454120943</v>
      </c>
      <c r="I460">
        <f t="shared" ca="1" si="423"/>
        <v>101.77457353894816</v>
      </c>
      <c r="J460">
        <f t="shared" ca="1" si="423"/>
        <v>98.119111224150359</v>
      </c>
      <c r="K460">
        <f t="shared" ca="1" si="423"/>
        <v>88.233757149706562</v>
      </c>
      <c r="L460">
        <f t="shared" ca="1" si="423"/>
        <v>86.774814568212122</v>
      </c>
      <c r="M460">
        <f t="shared" ca="1" si="423"/>
        <v>87.835117874133189</v>
      </c>
      <c r="N460">
        <f t="shared" ca="1" si="423"/>
        <v>81.446669935762444</v>
      </c>
      <c r="O460">
        <f t="shared" ca="1" si="423"/>
        <v>89.030662784796704</v>
      </c>
      <c r="P460">
        <f t="shared" ca="1" si="423"/>
        <v>90.756687513509149</v>
      </c>
      <c r="Q460">
        <f t="shared" ca="1" si="424"/>
        <v>101.77457353894816</v>
      </c>
      <c r="R460">
        <f t="shared" ca="1" si="425"/>
        <v>0</v>
      </c>
      <c r="S460">
        <f t="shared" ca="1" si="426"/>
        <v>0</v>
      </c>
    </row>
    <row r="461" spans="5:19" x14ac:dyDescent="0.75">
      <c r="E461">
        <v>456</v>
      </c>
      <c r="F461">
        <f t="shared" si="422"/>
        <v>100</v>
      </c>
      <c r="G461">
        <f t="shared" ca="1" si="423"/>
        <v>94.446834699382421</v>
      </c>
      <c r="H461">
        <f t="shared" ca="1" si="423"/>
        <v>97.408612794643261</v>
      </c>
      <c r="I461">
        <f t="shared" ca="1" si="423"/>
        <v>104.7261233272191</v>
      </c>
      <c r="J461">
        <f t="shared" ca="1" si="423"/>
        <v>105.77763519703305</v>
      </c>
      <c r="K461">
        <f t="shared" ca="1" si="423"/>
        <v>106.43667060332436</v>
      </c>
      <c r="L461">
        <f t="shared" ca="1" si="423"/>
        <v>104.55605815906895</v>
      </c>
      <c r="M461">
        <f t="shared" ca="1" si="423"/>
        <v>103.90785596221791</v>
      </c>
      <c r="N461">
        <f t="shared" ca="1" si="423"/>
        <v>106.74648467069871</v>
      </c>
      <c r="O461">
        <f t="shared" ca="1" si="423"/>
        <v>110.39906681292059</v>
      </c>
      <c r="P461">
        <f t="shared" ca="1" si="423"/>
        <v>109.07203315299104</v>
      </c>
      <c r="Q461">
        <f t="shared" ca="1" si="424"/>
        <v>110.39906681292059</v>
      </c>
      <c r="R461">
        <f t="shared" ca="1" si="425"/>
        <v>0</v>
      </c>
      <c r="S461">
        <f t="shared" ca="1" si="426"/>
        <v>0</v>
      </c>
    </row>
    <row r="462" spans="5:19" x14ac:dyDescent="0.75">
      <c r="E462">
        <v>457</v>
      </c>
      <c r="F462">
        <f t="shared" si="422"/>
        <v>100</v>
      </c>
      <c r="G462">
        <f t="shared" ca="1" si="423"/>
        <v>106.58139259334649</v>
      </c>
      <c r="H462">
        <f t="shared" ca="1" si="423"/>
        <v>110.65213021481041</v>
      </c>
      <c r="I462">
        <f t="shared" ca="1" si="423"/>
        <v>106.69097127767049</v>
      </c>
      <c r="J462">
        <f t="shared" ca="1" si="423"/>
        <v>99.447158140790222</v>
      </c>
      <c r="K462">
        <f t="shared" ca="1" si="423"/>
        <v>99.258462955718358</v>
      </c>
      <c r="L462">
        <f t="shared" ca="1" si="423"/>
        <v>98.067625330273017</v>
      </c>
      <c r="M462">
        <f t="shared" ca="1" si="423"/>
        <v>94.201812560592387</v>
      </c>
      <c r="N462">
        <f t="shared" ca="1" si="423"/>
        <v>94.707617312059455</v>
      </c>
      <c r="O462">
        <f t="shared" ca="1" si="423"/>
        <v>89.126403642005386</v>
      </c>
      <c r="P462">
        <f t="shared" ca="1" si="423"/>
        <v>89.760683616305883</v>
      </c>
      <c r="Q462">
        <f t="shared" ca="1" si="424"/>
        <v>110.65213021481041</v>
      </c>
      <c r="R462">
        <f t="shared" ca="1" si="425"/>
        <v>0</v>
      </c>
      <c r="S462">
        <f t="shared" ca="1" si="426"/>
        <v>0</v>
      </c>
    </row>
    <row r="463" spans="5:19" x14ac:dyDescent="0.75">
      <c r="E463">
        <v>458</v>
      </c>
      <c r="F463">
        <f t="shared" si="422"/>
        <v>100</v>
      </c>
      <c r="G463">
        <f t="shared" ca="1" si="423"/>
        <v>103.84026455029942</v>
      </c>
      <c r="H463">
        <f t="shared" ca="1" si="423"/>
        <v>107.78017204368849</v>
      </c>
      <c r="I463">
        <f t="shared" ca="1" si="423"/>
        <v>107.17082940998368</v>
      </c>
      <c r="J463">
        <f t="shared" ca="1" si="423"/>
        <v>106.82621145646546</v>
      </c>
      <c r="K463">
        <f t="shared" ca="1" si="423"/>
        <v>111.23035773497013</v>
      </c>
      <c r="L463">
        <f t="shared" ca="1" si="423"/>
        <v>117.84664321811414</v>
      </c>
      <c r="M463">
        <f t="shared" ca="1" si="423"/>
        <v>110.87273207874631</v>
      </c>
      <c r="N463">
        <f t="shared" ca="1" si="423"/>
        <v>117.6258298823908</v>
      </c>
      <c r="O463">
        <f t="shared" ca="1" si="423"/>
        <v>125.95723735260236</v>
      </c>
      <c r="P463">
        <f t="shared" ca="1" si="423"/>
        <v>128.98470032207294</v>
      </c>
      <c r="Q463">
        <f t="shared" ca="1" si="424"/>
        <v>128.98470032207294</v>
      </c>
      <c r="R463">
        <f t="shared" ca="1" si="425"/>
        <v>0</v>
      </c>
      <c r="S463">
        <f t="shared" ca="1" si="426"/>
        <v>0</v>
      </c>
    </row>
    <row r="464" spans="5:19" x14ac:dyDescent="0.75">
      <c r="E464">
        <v>459</v>
      </c>
      <c r="F464">
        <f t="shared" si="422"/>
        <v>100</v>
      </c>
      <c r="G464">
        <f t="shared" ca="1" si="423"/>
        <v>92.50627972748805</v>
      </c>
      <c r="H464">
        <f t="shared" ca="1" si="423"/>
        <v>90.854378526088141</v>
      </c>
      <c r="I464">
        <f t="shared" ca="1" si="423"/>
        <v>99.111203329192421</v>
      </c>
      <c r="J464">
        <f t="shared" ref="J464:P464" ca="1" si="427">I464*EXP(($C$6-0.5*$C$7^2)*$C$12+$C$7*SQRT($C$12)*NORMINV(RAND(),0,1))</f>
        <v>94.559305818446632</v>
      </c>
      <c r="K464">
        <f t="shared" ca="1" si="427"/>
        <v>102.02750601932995</v>
      </c>
      <c r="L464">
        <f t="shared" ca="1" si="427"/>
        <v>97.960138978767688</v>
      </c>
      <c r="M464">
        <f t="shared" ca="1" si="427"/>
        <v>90.067112573544748</v>
      </c>
      <c r="N464">
        <f t="shared" ca="1" si="427"/>
        <v>87.702506186481642</v>
      </c>
      <c r="O464">
        <f t="shared" ca="1" si="427"/>
        <v>86.539440378689093</v>
      </c>
      <c r="P464">
        <f t="shared" ca="1" si="427"/>
        <v>94.76794671691728</v>
      </c>
      <c r="Q464">
        <f t="shared" ca="1" si="424"/>
        <v>102.02750601932995</v>
      </c>
      <c r="R464">
        <f t="shared" ca="1" si="425"/>
        <v>0</v>
      </c>
      <c r="S464">
        <f t="shared" ca="1" si="426"/>
        <v>0</v>
      </c>
    </row>
    <row r="465" spans="5:19" x14ac:dyDescent="0.75">
      <c r="E465">
        <v>460</v>
      </c>
      <c r="F465">
        <f t="shared" si="422"/>
        <v>100</v>
      </c>
      <c r="G465">
        <f t="shared" ca="1" si="423"/>
        <v>97.828494293181649</v>
      </c>
      <c r="H465">
        <f t="shared" ca="1" si="423"/>
        <v>95.064315490786427</v>
      </c>
      <c r="I465">
        <f t="shared" ca="1" si="423"/>
        <v>98.489402935757354</v>
      </c>
      <c r="J465">
        <f t="shared" ref="J465:P465" ca="1" si="428">I465*EXP(($C$6-0.5*$C$7^2)*$C$12+$C$7*SQRT($C$12)*NORMINV(RAND(),0,1))</f>
        <v>103.89939405543257</v>
      </c>
      <c r="K465">
        <f t="shared" ca="1" si="428"/>
        <v>103.61387268791782</v>
      </c>
      <c r="L465">
        <f t="shared" ca="1" si="428"/>
        <v>106.12099169286238</v>
      </c>
      <c r="M465">
        <f t="shared" ca="1" si="428"/>
        <v>104.84065643671822</v>
      </c>
      <c r="N465">
        <f t="shared" ca="1" si="428"/>
        <v>110.57133558778364</v>
      </c>
      <c r="O465">
        <f t="shared" ca="1" si="428"/>
        <v>116.23095717836374</v>
      </c>
      <c r="P465">
        <f t="shared" ca="1" si="428"/>
        <v>109.28826411027912</v>
      </c>
      <c r="Q465">
        <f t="shared" ca="1" si="424"/>
        <v>116.23095717836374</v>
      </c>
      <c r="R465">
        <f t="shared" ca="1" si="425"/>
        <v>0</v>
      </c>
      <c r="S465">
        <f t="shared" ca="1" si="426"/>
        <v>0</v>
      </c>
    </row>
    <row r="466" spans="5:19" x14ac:dyDescent="0.75">
      <c r="E466">
        <v>461</v>
      </c>
      <c r="F466">
        <f t="shared" si="422"/>
        <v>100</v>
      </c>
      <c r="G466">
        <f t="shared" ca="1" si="423"/>
        <v>102.79229220744325</v>
      </c>
      <c r="H466">
        <f t="shared" ca="1" si="423"/>
        <v>97.520417103821813</v>
      </c>
      <c r="I466">
        <f t="shared" ca="1" si="423"/>
        <v>98.090643368628221</v>
      </c>
      <c r="J466">
        <f t="shared" ref="J466:P466" ca="1" si="429">I466*EXP(($C$6-0.5*$C$7^2)*$C$12+$C$7*SQRT($C$12)*NORMINV(RAND(),0,1))</f>
        <v>102.33996490575247</v>
      </c>
      <c r="K466">
        <f t="shared" ca="1" si="429"/>
        <v>100.10251963656367</v>
      </c>
      <c r="L466">
        <f t="shared" ca="1" si="429"/>
        <v>109.34518862377166</v>
      </c>
      <c r="M466">
        <f t="shared" ca="1" si="429"/>
        <v>103.95577278193001</v>
      </c>
      <c r="N466">
        <f t="shared" ca="1" si="429"/>
        <v>103.20310581014984</v>
      </c>
      <c r="O466">
        <f t="shared" ca="1" si="429"/>
        <v>106.81231137291846</v>
      </c>
      <c r="P466">
        <f t="shared" ca="1" si="429"/>
        <v>104.6439253813875</v>
      </c>
      <c r="Q466">
        <f t="shared" ca="1" si="424"/>
        <v>109.34518862377166</v>
      </c>
      <c r="R466">
        <f t="shared" ca="1" si="425"/>
        <v>2.6439253813875041</v>
      </c>
      <c r="S466">
        <f t="shared" ca="1" si="426"/>
        <v>2.5786466311305225</v>
      </c>
    </row>
    <row r="467" spans="5:19" x14ac:dyDescent="0.75">
      <c r="E467">
        <v>462</v>
      </c>
      <c r="F467">
        <f t="shared" si="422"/>
        <v>100</v>
      </c>
      <c r="G467">
        <f t="shared" ca="1" si="423"/>
        <v>99.278848547595828</v>
      </c>
      <c r="H467">
        <f t="shared" ca="1" si="423"/>
        <v>96.479803587249052</v>
      </c>
      <c r="I467">
        <f t="shared" ca="1" si="423"/>
        <v>93.899604365074538</v>
      </c>
      <c r="J467">
        <f t="shared" ref="J467:P467" ca="1" si="430">I467*EXP(($C$6-0.5*$C$7^2)*$C$12+$C$7*SQRT($C$12)*NORMINV(RAND(),0,1))</f>
        <v>91.814578701864107</v>
      </c>
      <c r="K467">
        <f t="shared" ca="1" si="430"/>
        <v>97.372897082465926</v>
      </c>
      <c r="L467">
        <f t="shared" ca="1" si="430"/>
        <v>90.913764624360496</v>
      </c>
      <c r="M467">
        <f t="shared" ca="1" si="430"/>
        <v>92.207388640200747</v>
      </c>
      <c r="N467">
        <f t="shared" ca="1" si="430"/>
        <v>95.288322396363213</v>
      </c>
      <c r="O467">
        <f t="shared" ca="1" si="430"/>
        <v>93.267896389989716</v>
      </c>
      <c r="P467">
        <f t="shared" ca="1" si="430"/>
        <v>85.525614798914859</v>
      </c>
      <c r="Q467">
        <f t="shared" ca="1" si="424"/>
        <v>99.278848547595828</v>
      </c>
      <c r="R467">
        <f t="shared" ca="1" si="425"/>
        <v>0</v>
      </c>
      <c r="S467">
        <f t="shared" ca="1" si="426"/>
        <v>0</v>
      </c>
    </row>
    <row r="468" spans="5:19" x14ac:dyDescent="0.75">
      <c r="E468">
        <v>463</v>
      </c>
      <c r="F468">
        <f t="shared" si="422"/>
        <v>100</v>
      </c>
      <c r="G468">
        <f t="shared" ca="1" si="423"/>
        <v>104.07162553566143</v>
      </c>
      <c r="H468">
        <f t="shared" ca="1" si="423"/>
        <v>103.24769203985855</v>
      </c>
      <c r="I468">
        <f t="shared" ca="1" si="423"/>
        <v>102.13507117378769</v>
      </c>
      <c r="J468">
        <f t="shared" ref="J468:P468" ca="1" si="431">I468*EXP(($C$6-0.5*$C$7^2)*$C$12+$C$7*SQRT($C$12)*NORMINV(RAND(),0,1))</f>
        <v>104.57018080622919</v>
      </c>
      <c r="K468">
        <f t="shared" ca="1" si="431"/>
        <v>112.60931044234718</v>
      </c>
      <c r="L468">
        <f t="shared" ca="1" si="431"/>
        <v>118.35691464350725</v>
      </c>
      <c r="M468">
        <f t="shared" ca="1" si="431"/>
        <v>122.47651129692294</v>
      </c>
      <c r="N468">
        <f t="shared" ca="1" si="431"/>
        <v>122.31061775082732</v>
      </c>
      <c r="O468">
        <f t="shared" ca="1" si="431"/>
        <v>123.29108601652948</v>
      </c>
      <c r="P468">
        <f t="shared" ca="1" si="431"/>
        <v>132.46958775356219</v>
      </c>
      <c r="Q468">
        <f t="shared" ca="1" si="424"/>
        <v>132.46958775356219</v>
      </c>
      <c r="R468">
        <f t="shared" ca="1" si="425"/>
        <v>0</v>
      </c>
      <c r="S468">
        <f t="shared" ca="1" si="426"/>
        <v>0</v>
      </c>
    </row>
    <row r="469" spans="5:19" x14ac:dyDescent="0.75">
      <c r="E469">
        <v>464</v>
      </c>
      <c r="F469">
        <f t="shared" si="422"/>
        <v>100</v>
      </c>
      <c r="G469">
        <f t="shared" ca="1" si="423"/>
        <v>93.832768816193635</v>
      </c>
      <c r="H469">
        <f t="shared" ca="1" si="423"/>
        <v>97.210947008486073</v>
      </c>
      <c r="I469">
        <f t="shared" ca="1" si="423"/>
        <v>93.335245917887363</v>
      </c>
      <c r="J469">
        <f t="shared" ref="J469:P469" ca="1" si="432">I469*EXP(($C$6-0.5*$C$7^2)*$C$12+$C$7*SQRT($C$12)*NORMINV(RAND(),0,1))</f>
        <v>98.205736361880767</v>
      </c>
      <c r="K469">
        <f t="shared" ca="1" si="432"/>
        <v>100.30339350309346</v>
      </c>
      <c r="L469">
        <f t="shared" ca="1" si="432"/>
        <v>95.044111020239143</v>
      </c>
      <c r="M469">
        <f t="shared" ca="1" si="432"/>
        <v>90.39317131264616</v>
      </c>
      <c r="N469">
        <f t="shared" ca="1" si="432"/>
        <v>98.462768160103224</v>
      </c>
      <c r="O469">
        <f t="shared" ca="1" si="432"/>
        <v>95.709148533022201</v>
      </c>
      <c r="P469">
        <f t="shared" ca="1" si="432"/>
        <v>91.993193219261968</v>
      </c>
      <c r="Q469">
        <f t="shared" ca="1" si="424"/>
        <v>100.30339350309346</v>
      </c>
      <c r="R469">
        <f t="shared" ca="1" si="425"/>
        <v>0</v>
      </c>
      <c r="S469">
        <f t="shared" ca="1" si="426"/>
        <v>0</v>
      </c>
    </row>
    <row r="470" spans="5:19" x14ac:dyDescent="0.75">
      <c r="E470">
        <v>465</v>
      </c>
      <c r="F470">
        <f t="shared" si="422"/>
        <v>100</v>
      </c>
      <c r="G470">
        <f t="shared" ca="1" si="423"/>
        <v>102.54804394064536</v>
      </c>
      <c r="H470">
        <f t="shared" ca="1" si="423"/>
        <v>100.74059479165798</v>
      </c>
      <c r="I470">
        <f t="shared" ca="1" si="423"/>
        <v>101.50187172363393</v>
      </c>
      <c r="J470">
        <f t="shared" ref="J470:P470" ca="1" si="433">I470*EXP(($C$6-0.5*$C$7^2)*$C$12+$C$7*SQRT($C$12)*NORMINV(RAND(),0,1))</f>
        <v>104.16309028073624</v>
      </c>
      <c r="K470">
        <f t="shared" ca="1" si="433"/>
        <v>104.66626468028996</v>
      </c>
      <c r="L470">
        <f t="shared" ca="1" si="433"/>
        <v>106.14459535314839</v>
      </c>
      <c r="M470">
        <f t="shared" ca="1" si="433"/>
        <v>96.224697041181528</v>
      </c>
      <c r="N470">
        <f t="shared" ca="1" si="433"/>
        <v>103.1885778908257</v>
      </c>
      <c r="O470">
        <f t="shared" ca="1" si="433"/>
        <v>111.79966448964601</v>
      </c>
      <c r="P470">
        <f t="shared" ca="1" si="433"/>
        <v>102.94222917274011</v>
      </c>
      <c r="Q470">
        <f t="shared" ca="1" si="424"/>
        <v>111.79966448964601</v>
      </c>
      <c r="R470">
        <f t="shared" ca="1" si="425"/>
        <v>0</v>
      </c>
      <c r="S470">
        <f t="shared" ca="1" si="426"/>
        <v>0</v>
      </c>
    </row>
    <row r="471" spans="5:19" x14ac:dyDescent="0.75">
      <c r="E471">
        <v>466</v>
      </c>
      <c r="F471">
        <f t="shared" si="422"/>
        <v>100</v>
      </c>
      <c r="G471">
        <f t="shared" ca="1" si="423"/>
        <v>105.17254459025527</v>
      </c>
      <c r="H471">
        <f t="shared" ca="1" si="423"/>
        <v>101.38289611617721</v>
      </c>
      <c r="I471">
        <f t="shared" ca="1" si="423"/>
        <v>103.57372274861977</v>
      </c>
      <c r="J471">
        <f t="shared" ref="J471:P471" ca="1" si="434">I471*EXP(($C$6-0.5*$C$7^2)*$C$12+$C$7*SQRT($C$12)*NORMINV(RAND(),0,1))</f>
        <v>97.275790929151498</v>
      </c>
      <c r="K471">
        <f t="shared" ca="1" si="434"/>
        <v>98.044938835113001</v>
      </c>
      <c r="L471">
        <f t="shared" ca="1" si="434"/>
        <v>98.47841116513537</v>
      </c>
      <c r="M471">
        <f t="shared" ca="1" si="434"/>
        <v>101.36850419595331</v>
      </c>
      <c r="N471">
        <f t="shared" ca="1" si="434"/>
        <v>97.771405468427943</v>
      </c>
      <c r="O471">
        <f t="shared" ca="1" si="434"/>
        <v>95.317219547207927</v>
      </c>
      <c r="P471">
        <f t="shared" ca="1" si="434"/>
        <v>97.21780323351193</v>
      </c>
      <c r="Q471">
        <f t="shared" ca="1" si="424"/>
        <v>105.17254459025527</v>
      </c>
      <c r="R471">
        <f t="shared" ca="1" si="425"/>
        <v>0</v>
      </c>
      <c r="S471">
        <f t="shared" ca="1" si="426"/>
        <v>0</v>
      </c>
    </row>
    <row r="472" spans="5:19" x14ac:dyDescent="0.75">
      <c r="E472">
        <v>467</v>
      </c>
      <c r="F472">
        <f t="shared" si="422"/>
        <v>100</v>
      </c>
      <c r="G472">
        <f t="shared" ca="1" si="423"/>
        <v>98.100366206170051</v>
      </c>
      <c r="H472">
        <f t="shared" ca="1" si="423"/>
        <v>97.504263645637153</v>
      </c>
      <c r="I472">
        <f t="shared" ca="1" si="423"/>
        <v>91.150600705495464</v>
      </c>
      <c r="J472">
        <f t="shared" ref="J472:P472" ca="1" si="435">I472*EXP(($C$6-0.5*$C$7^2)*$C$12+$C$7*SQRT($C$12)*NORMINV(RAND(),0,1))</f>
        <v>91.400310250925259</v>
      </c>
      <c r="K472">
        <f t="shared" ca="1" si="435"/>
        <v>90.696380446401221</v>
      </c>
      <c r="L472">
        <f t="shared" ca="1" si="435"/>
        <v>87.141219284974113</v>
      </c>
      <c r="M472">
        <f t="shared" ca="1" si="435"/>
        <v>84.178299458233724</v>
      </c>
      <c r="N472">
        <f t="shared" ca="1" si="435"/>
        <v>83.230909975262051</v>
      </c>
      <c r="O472">
        <f t="shared" ca="1" si="435"/>
        <v>82.304109970315153</v>
      </c>
      <c r="P472">
        <f t="shared" ca="1" si="435"/>
        <v>82.701001736291303</v>
      </c>
      <c r="Q472">
        <f t="shared" ca="1" si="424"/>
        <v>98.100366206170051</v>
      </c>
      <c r="R472">
        <f t="shared" ca="1" si="425"/>
        <v>0</v>
      </c>
      <c r="S472">
        <f t="shared" ca="1" si="426"/>
        <v>0</v>
      </c>
    </row>
    <row r="473" spans="5:19" x14ac:dyDescent="0.75">
      <c r="E473">
        <v>468</v>
      </c>
      <c r="F473">
        <f t="shared" si="422"/>
        <v>100</v>
      </c>
      <c r="G473">
        <f t="shared" ca="1" si="423"/>
        <v>100.7916643651743</v>
      </c>
      <c r="H473">
        <f t="shared" ca="1" si="423"/>
        <v>106.05132832569647</v>
      </c>
      <c r="I473">
        <f t="shared" ca="1" si="423"/>
        <v>107.13266275052359</v>
      </c>
      <c r="J473">
        <f t="shared" ref="J473:P473" ca="1" si="436">I473*EXP(($C$6-0.5*$C$7^2)*$C$12+$C$7*SQRT($C$12)*NORMINV(RAND(),0,1))</f>
        <v>102.61239726100564</v>
      </c>
      <c r="K473">
        <f t="shared" ca="1" si="436"/>
        <v>98.667310391640839</v>
      </c>
      <c r="L473">
        <f t="shared" ca="1" si="436"/>
        <v>99.125955374694612</v>
      </c>
      <c r="M473">
        <f t="shared" ca="1" si="436"/>
        <v>98.348925033075417</v>
      </c>
      <c r="N473">
        <f t="shared" ca="1" si="436"/>
        <v>103.00987351593987</v>
      </c>
      <c r="O473">
        <f t="shared" ca="1" si="436"/>
        <v>107.33452592145248</v>
      </c>
      <c r="P473">
        <f t="shared" ca="1" si="436"/>
        <v>109.77775078809313</v>
      </c>
      <c r="Q473">
        <f t="shared" ca="1" si="424"/>
        <v>109.77775078809313</v>
      </c>
      <c r="R473">
        <f t="shared" ca="1" si="425"/>
        <v>7.7777507880931296</v>
      </c>
      <c r="S473">
        <f t="shared" ca="1" si="426"/>
        <v>7.5857174369134048</v>
      </c>
    </row>
    <row r="474" spans="5:19" x14ac:dyDescent="0.75">
      <c r="E474">
        <v>469</v>
      </c>
      <c r="F474">
        <f t="shared" si="422"/>
        <v>100</v>
      </c>
      <c r="G474">
        <f t="shared" ca="1" si="423"/>
        <v>94.887025951036506</v>
      </c>
      <c r="H474">
        <f t="shared" ca="1" si="423"/>
        <v>96.100258824404392</v>
      </c>
      <c r="I474">
        <f t="shared" ca="1" si="423"/>
        <v>102.25916216619054</v>
      </c>
      <c r="J474">
        <f t="shared" ref="J474:P474" ca="1" si="437">I474*EXP(($C$6-0.5*$C$7^2)*$C$12+$C$7*SQRT($C$12)*NORMINV(RAND(),0,1))</f>
        <v>105.10774025146654</v>
      </c>
      <c r="K474">
        <f t="shared" ca="1" si="437"/>
        <v>107.23796513118532</v>
      </c>
      <c r="L474">
        <f t="shared" ca="1" si="437"/>
        <v>112.84053924210424</v>
      </c>
      <c r="M474">
        <f t="shared" ca="1" si="437"/>
        <v>111.18340546506809</v>
      </c>
      <c r="N474">
        <f t="shared" ca="1" si="437"/>
        <v>102.4050084102455</v>
      </c>
      <c r="O474">
        <f t="shared" ca="1" si="437"/>
        <v>103.59201709941678</v>
      </c>
      <c r="P474">
        <f t="shared" ca="1" si="437"/>
        <v>103.36789371826616</v>
      </c>
      <c r="Q474">
        <f t="shared" ca="1" si="424"/>
        <v>112.84053924210424</v>
      </c>
      <c r="R474">
        <f t="shared" ca="1" si="425"/>
        <v>0</v>
      </c>
      <c r="S474">
        <f t="shared" ca="1" si="426"/>
        <v>0</v>
      </c>
    </row>
    <row r="475" spans="5:19" x14ac:dyDescent="0.75">
      <c r="E475">
        <v>470</v>
      </c>
      <c r="F475">
        <f t="shared" si="422"/>
        <v>100</v>
      </c>
      <c r="G475">
        <f t="shared" ca="1" si="423"/>
        <v>101.98551436221916</v>
      </c>
      <c r="H475">
        <f t="shared" ca="1" si="423"/>
        <v>101.96578994210107</v>
      </c>
      <c r="I475">
        <f t="shared" ca="1" si="423"/>
        <v>105.31513937714429</v>
      </c>
      <c r="J475">
        <f t="shared" ref="J475:P475" ca="1" si="438">I475*EXP(($C$6-0.5*$C$7^2)*$C$12+$C$7*SQRT($C$12)*NORMINV(RAND(),0,1))</f>
        <v>104.57285675921261</v>
      </c>
      <c r="K475">
        <f t="shared" ca="1" si="438"/>
        <v>108.37541945769796</v>
      </c>
      <c r="L475">
        <f t="shared" ca="1" si="438"/>
        <v>112.56527094677313</v>
      </c>
      <c r="M475">
        <f t="shared" ca="1" si="438"/>
        <v>116.8080293971281</v>
      </c>
      <c r="N475">
        <f t="shared" ca="1" si="438"/>
        <v>117.20459706894479</v>
      </c>
      <c r="O475">
        <f t="shared" ca="1" si="438"/>
        <v>122.05794595546723</v>
      </c>
      <c r="P475">
        <f t="shared" ca="1" si="438"/>
        <v>123.17111062782483</v>
      </c>
      <c r="Q475">
        <f t="shared" ca="1" si="424"/>
        <v>123.17111062782483</v>
      </c>
      <c r="R475">
        <f t="shared" ca="1" si="425"/>
        <v>0</v>
      </c>
      <c r="S475">
        <f t="shared" ca="1" si="426"/>
        <v>0</v>
      </c>
    </row>
    <row r="476" spans="5:19" x14ac:dyDescent="0.75">
      <c r="E476">
        <v>471</v>
      </c>
      <c r="F476">
        <f t="shared" si="422"/>
        <v>100</v>
      </c>
      <c r="G476">
        <f t="shared" ca="1" si="423"/>
        <v>101.07154735447585</v>
      </c>
      <c r="H476">
        <f t="shared" ca="1" si="423"/>
        <v>100.19369466819504</v>
      </c>
      <c r="I476">
        <f t="shared" ca="1" si="423"/>
        <v>100.85493487439045</v>
      </c>
      <c r="J476">
        <f t="shared" ref="J476:P476" ca="1" si="439">I476*EXP(($C$6-0.5*$C$7^2)*$C$12+$C$7*SQRT($C$12)*NORMINV(RAND(),0,1))</f>
        <v>99.1119252085863</v>
      </c>
      <c r="K476">
        <f t="shared" ca="1" si="439"/>
        <v>100.60688135778386</v>
      </c>
      <c r="L476">
        <f t="shared" ca="1" si="439"/>
        <v>98.890274372947147</v>
      </c>
      <c r="M476">
        <f t="shared" ca="1" si="439"/>
        <v>105.36735189272341</v>
      </c>
      <c r="N476">
        <f t="shared" ca="1" si="439"/>
        <v>102.28510101826629</v>
      </c>
      <c r="O476">
        <f t="shared" ca="1" si="439"/>
        <v>100.85111116397661</v>
      </c>
      <c r="P476">
        <f t="shared" ca="1" si="439"/>
        <v>109.24983336070602</v>
      </c>
      <c r="Q476">
        <f t="shared" ca="1" si="424"/>
        <v>109.24983336070602</v>
      </c>
      <c r="R476">
        <f t="shared" ca="1" si="425"/>
        <v>7.2498333607060204</v>
      </c>
      <c r="S476">
        <f t="shared" ca="1" si="426"/>
        <v>7.0708343372502593</v>
      </c>
    </row>
    <row r="477" spans="5:19" x14ac:dyDescent="0.75">
      <c r="E477">
        <v>472</v>
      </c>
      <c r="F477">
        <f t="shared" si="422"/>
        <v>100</v>
      </c>
      <c r="G477">
        <f t="shared" ca="1" si="423"/>
        <v>99.361702405540882</v>
      </c>
      <c r="H477">
        <f t="shared" ca="1" si="423"/>
        <v>96.976561988282569</v>
      </c>
      <c r="I477">
        <f t="shared" ca="1" si="423"/>
        <v>101.86879985098616</v>
      </c>
      <c r="J477">
        <f t="shared" ref="J477:P477" ca="1" si="440">I477*EXP(($C$6-0.5*$C$7^2)*$C$12+$C$7*SQRT($C$12)*NORMINV(RAND(),0,1))</f>
        <v>98.593713144652199</v>
      </c>
      <c r="K477">
        <f t="shared" ca="1" si="440"/>
        <v>98.77851771807579</v>
      </c>
      <c r="L477">
        <f t="shared" ca="1" si="440"/>
        <v>106.01164800012721</v>
      </c>
      <c r="M477">
        <f t="shared" ca="1" si="440"/>
        <v>105.68697240641573</v>
      </c>
      <c r="N477">
        <f t="shared" ca="1" si="440"/>
        <v>105.42313723311715</v>
      </c>
      <c r="O477">
        <f t="shared" ca="1" si="440"/>
        <v>98.986018085584519</v>
      </c>
      <c r="P477">
        <f t="shared" ca="1" si="440"/>
        <v>97.981797201490011</v>
      </c>
      <c r="Q477">
        <f t="shared" ca="1" si="424"/>
        <v>106.01164800012721</v>
      </c>
      <c r="R477">
        <f t="shared" ca="1" si="425"/>
        <v>0</v>
      </c>
      <c r="S477">
        <f t="shared" ca="1" si="426"/>
        <v>0</v>
      </c>
    </row>
    <row r="478" spans="5:19" x14ac:dyDescent="0.75">
      <c r="E478">
        <v>473</v>
      </c>
      <c r="F478">
        <f t="shared" si="422"/>
        <v>100</v>
      </c>
      <c r="G478">
        <f t="shared" ca="1" si="423"/>
        <v>94.576467784878133</v>
      </c>
      <c r="H478">
        <f t="shared" ca="1" si="423"/>
        <v>103.28397058513265</v>
      </c>
      <c r="I478">
        <f t="shared" ca="1" si="423"/>
        <v>111.89063441936055</v>
      </c>
      <c r="J478">
        <f t="shared" ref="J478:P478" ca="1" si="441">I478*EXP(($C$6-0.5*$C$7^2)*$C$12+$C$7*SQRT($C$12)*NORMINV(RAND(),0,1))</f>
        <v>107.10538560064533</v>
      </c>
      <c r="K478">
        <f t="shared" ca="1" si="441"/>
        <v>105.36687663007966</v>
      </c>
      <c r="L478">
        <f t="shared" ca="1" si="441"/>
        <v>97.63116382433742</v>
      </c>
      <c r="M478">
        <f t="shared" ca="1" si="441"/>
        <v>98.458256825908848</v>
      </c>
      <c r="N478">
        <f t="shared" ca="1" si="441"/>
        <v>95.613069700635194</v>
      </c>
      <c r="O478">
        <f t="shared" ca="1" si="441"/>
        <v>97.856964306008621</v>
      </c>
      <c r="P478">
        <f t="shared" ca="1" si="441"/>
        <v>99.821151048053906</v>
      </c>
      <c r="Q478">
        <f t="shared" ca="1" si="424"/>
        <v>111.89063441936055</v>
      </c>
      <c r="R478">
        <f t="shared" ca="1" si="425"/>
        <v>0</v>
      </c>
      <c r="S478">
        <f t="shared" ca="1" si="426"/>
        <v>0</v>
      </c>
    </row>
    <row r="479" spans="5:19" x14ac:dyDescent="0.75">
      <c r="E479">
        <v>474</v>
      </c>
      <c r="F479">
        <f t="shared" si="422"/>
        <v>100</v>
      </c>
      <c r="G479">
        <f t="shared" ca="1" si="423"/>
        <v>105.08746246383045</v>
      </c>
      <c r="H479">
        <f t="shared" ca="1" si="423"/>
        <v>106.82567426583817</v>
      </c>
      <c r="I479">
        <f t="shared" ca="1" si="423"/>
        <v>115.5827200245236</v>
      </c>
      <c r="J479">
        <f t="shared" ref="J479:P479" ca="1" si="442">I479*EXP(($C$6-0.5*$C$7^2)*$C$12+$C$7*SQRT($C$12)*NORMINV(RAND(),0,1))</f>
        <v>118.051802670116</v>
      </c>
      <c r="K479">
        <f t="shared" ca="1" si="442"/>
        <v>119.24734294206719</v>
      </c>
      <c r="L479">
        <f t="shared" ca="1" si="442"/>
        <v>113.22321336127425</v>
      </c>
      <c r="M479">
        <f t="shared" ca="1" si="442"/>
        <v>110.10661411574881</v>
      </c>
      <c r="N479">
        <f t="shared" ca="1" si="442"/>
        <v>109.86531216105207</v>
      </c>
      <c r="O479">
        <f t="shared" ca="1" si="442"/>
        <v>115.6402740487201</v>
      </c>
      <c r="P479">
        <f t="shared" ca="1" si="442"/>
        <v>116.48723404857289</v>
      </c>
      <c r="Q479">
        <f t="shared" ca="1" si="424"/>
        <v>119.24734294206719</v>
      </c>
      <c r="R479">
        <f t="shared" ca="1" si="425"/>
        <v>0</v>
      </c>
      <c r="S479">
        <f t="shared" ca="1" si="426"/>
        <v>0</v>
      </c>
    </row>
    <row r="480" spans="5:19" x14ac:dyDescent="0.75">
      <c r="E480">
        <v>475</v>
      </c>
      <c r="F480">
        <f t="shared" si="422"/>
        <v>100</v>
      </c>
      <c r="G480">
        <f t="shared" ca="1" si="423"/>
        <v>93.597543891860184</v>
      </c>
      <c r="H480">
        <f t="shared" ca="1" si="423"/>
        <v>91.762802284627227</v>
      </c>
      <c r="I480">
        <f t="shared" ca="1" si="423"/>
        <v>92.628889490020711</v>
      </c>
      <c r="J480">
        <f t="shared" ref="J480:P480" ca="1" si="443">I480*EXP(($C$6-0.5*$C$7^2)*$C$12+$C$7*SQRT($C$12)*NORMINV(RAND(),0,1))</f>
        <v>101.30299493047376</v>
      </c>
      <c r="K480">
        <f t="shared" ca="1" si="443"/>
        <v>108.17805674319288</v>
      </c>
      <c r="L480">
        <f t="shared" ca="1" si="443"/>
        <v>108.80532666394234</v>
      </c>
      <c r="M480">
        <f t="shared" ca="1" si="443"/>
        <v>104.10541546376572</v>
      </c>
      <c r="N480">
        <f t="shared" ca="1" si="443"/>
        <v>103.55945986669913</v>
      </c>
      <c r="O480">
        <f t="shared" ca="1" si="443"/>
        <v>105.67766789409444</v>
      </c>
      <c r="P480">
        <f t="shared" ca="1" si="443"/>
        <v>105.19740980386008</v>
      </c>
      <c r="Q480">
        <f t="shared" ca="1" si="424"/>
        <v>108.80532666394234</v>
      </c>
      <c r="R480">
        <f t="shared" ca="1" si="425"/>
        <v>3.1974098038600829</v>
      </c>
      <c r="S480">
        <f t="shared" ca="1" si="426"/>
        <v>3.1184654745213058</v>
      </c>
    </row>
    <row r="481" spans="5:19" x14ac:dyDescent="0.75">
      <c r="E481">
        <v>476</v>
      </c>
      <c r="F481">
        <f t="shared" si="422"/>
        <v>100</v>
      </c>
      <c r="G481">
        <f t="shared" ca="1" si="423"/>
        <v>95.43936119982169</v>
      </c>
      <c r="H481">
        <f t="shared" ca="1" si="423"/>
        <v>90.920173025920136</v>
      </c>
      <c r="I481">
        <f t="shared" ca="1" si="423"/>
        <v>88.169395838183419</v>
      </c>
      <c r="J481">
        <f t="shared" ref="J481:P481" ca="1" si="444">I481*EXP(($C$6-0.5*$C$7^2)*$C$12+$C$7*SQRT($C$12)*NORMINV(RAND(),0,1))</f>
        <v>86.270747825980138</v>
      </c>
      <c r="K481">
        <f t="shared" ca="1" si="444"/>
        <v>84.239032835992731</v>
      </c>
      <c r="L481">
        <f t="shared" ca="1" si="444"/>
        <v>83.897971424771384</v>
      </c>
      <c r="M481">
        <f t="shared" ca="1" si="444"/>
        <v>75.810430586181695</v>
      </c>
      <c r="N481">
        <f t="shared" ca="1" si="444"/>
        <v>71.053555553955718</v>
      </c>
      <c r="O481">
        <f t="shared" ca="1" si="444"/>
        <v>69.934794772274316</v>
      </c>
      <c r="P481">
        <f t="shared" ca="1" si="444"/>
        <v>64.203364900423153</v>
      </c>
      <c r="Q481">
        <f t="shared" ca="1" si="424"/>
        <v>95.43936119982169</v>
      </c>
      <c r="R481">
        <f t="shared" ca="1" si="425"/>
        <v>0</v>
      </c>
      <c r="S481">
        <f t="shared" ca="1" si="426"/>
        <v>0</v>
      </c>
    </row>
    <row r="482" spans="5:19" x14ac:dyDescent="0.75">
      <c r="E482">
        <v>477</v>
      </c>
      <c r="F482">
        <f t="shared" si="422"/>
        <v>100</v>
      </c>
      <c r="G482">
        <f t="shared" ca="1" si="423"/>
        <v>94.261278982689888</v>
      </c>
      <c r="H482">
        <f t="shared" ca="1" si="423"/>
        <v>91.717946998019116</v>
      </c>
      <c r="I482">
        <f t="shared" ca="1" si="423"/>
        <v>93.667955152648275</v>
      </c>
      <c r="J482">
        <f t="shared" ref="J482:P482" ca="1" si="445">I482*EXP(($C$6-0.5*$C$7^2)*$C$12+$C$7*SQRT($C$12)*NORMINV(RAND(),0,1))</f>
        <v>99.526879202938204</v>
      </c>
      <c r="K482">
        <f t="shared" ca="1" si="445"/>
        <v>100.68867452401423</v>
      </c>
      <c r="L482">
        <f t="shared" ca="1" si="445"/>
        <v>101.69308976417756</v>
      </c>
      <c r="M482">
        <f t="shared" ca="1" si="445"/>
        <v>96.248047278731136</v>
      </c>
      <c r="N482">
        <f t="shared" ca="1" si="445"/>
        <v>93.793061694286322</v>
      </c>
      <c r="O482">
        <f t="shared" ca="1" si="445"/>
        <v>92.747233885772445</v>
      </c>
      <c r="P482">
        <f t="shared" ca="1" si="445"/>
        <v>90.674109131955944</v>
      </c>
      <c r="Q482">
        <f t="shared" ca="1" si="424"/>
        <v>101.69308976417756</v>
      </c>
      <c r="R482">
        <f t="shared" ca="1" si="425"/>
        <v>0</v>
      </c>
      <c r="S482">
        <f t="shared" ca="1" si="426"/>
        <v>0</v>
      </c>
    </row>
    <row r="483" spans="5:19" x14ac:dyDescent="0.75">
      <c r="E483">
        <v>478</v>
      </c>
      <c r="F483">
        <f t="shared" si="422"/>
        <v>100</v>
      </c>
      <c r="G483">
        <f t="shared" ca="1" si="423"/>
        <v>93.132753518292574</v>
      </c>
      <c r="H483">
        <f t="shared" ca="1" si="423"/>
        <v>99.291576483087624</v>
      </c>
      <c r="I483">
        <f t="shared" ca="1" si="423"/>
        <v>101.37832070978948</v>
      </c>
      <c r="J483">
        <f t="shared" ref="J483:P483" ca="1" si="446">I483*EXP(($C$6-0.5*$C$7^2)*$C$12+$C$7*SQRT($C$12)*NORMINV(RAND(),0,1))</f>
        <v>108.99394020375392</v>
      </c>
      <c r="K483">
        <f t="shared" ca="1" si="446"/>
        <v>112.47770245356756</v>
      </c>
      <c r="L483">
        <f t="shared" ca="1" si="446"/>
        <v>104.61826115488022</v>
      </c>
      <c r="M483">
        <f t="shared" ca="1" si="446"/>
        <v>104.60915207469004</v>
      </c>
      <c r="N483">
        <f t="shared" ca="1" si="446"/>
        <v>107.16255449352245</v>
      </c>
      <c r="O483">
        <f t="shared" ca="1" si="446"/>
        <v>106.8260734925835</v>
      </c>
      <c r="P483">
        <f t="shared" ca="1" si="446"/>
        <v>108.56651598845711</v>
      </c>
      <c r="Q483">
        <f t="shared" ca="1" si="424"/>
        <v>112.47770245356756</v>
      </c>
      <c r="R483">
        <f t="shared" ca="1" si="425"/>
        <v>0</v>
      </c>
      <c r="S483">
        <f t="shared" ca="1" si="426"/>
        <v>0</v>
      </c>
    </row>
    <row r="484" spans="5:19" x14ac:dyDescent="0.75">
      <c r="E484">
        <v>479</v>
      </c>
      <c r="F484">
        <f t="shared" si="422"/>
        <v>100</v>
      </c>
      <c r="G484">
        <f t="shared" ca="1" si="423"/>
        <v>104.666471986264</v>
      </c>
      <c r="H484">
        <f t="shared" ca="1" si="423"/>
        <v>107.17746756818364</v>
      </c>
      <c r="I484">
        <f t="shared" ca="1" si="423"/>
        <v>113.77884984445679</v>
      </c>
      <c r="J484">
        <f t="shared" ref="J484:P484" ca="1" si="447">I484*EXP(($C$6-0.5*$C$7^2)*$C$12+$C$7*SQRT($C$12)*NORMINV(RAND(),0,1))</f>
        <v>111.56108436886302</v>
      </c>
      <c r="K484">
        <f t="shared" ca="1" si="447"/>
        <v>114.21545983281261</v>
      </c>
      <c r="L484">
        <f t="shared" ca="1" si="447"/>
        <v>116.03554726516404</v>
      </c>
      <c r="M484">
        <f t="shared" ca="1" si="447"/>
        <v>126.92555951417442</v>
      </c>
      <c r="N484">
        <f t="shared" ca="1" si="447"/>
        <v>124.5880118547794</v>
      </c>
      <c r="O484">
        <f t="shared" ca="1" si="447"/>
        <v>124.02670347728046</v>
      </c>
      <c r="P484">
        <f t="shared" ca="1" si="447"/>
        <v>128.16935235211932</v>
      </c>
      <c r="Q484">
        <f t="shared" ca="1" si="424"/>
        <v>128.16935235211932</v>
      </c>
      <c r="R484">
        <f t="shared" ca="1" si="425"/>
        <v>0</v>
      </c>
      <c r="S484">
        <f t="shared" ca="1" si="426"/>
        <v>0</v>
      </c>
    </row>
    <row r="485" spans="5:19" x14ac:dyDescent="0.75">
      <c r="E485">
        <v>480</v>
      </c>
      <c r="F485">
        <f t="shared" si="422"/>
        <v>100</v>
      </c>
      <c r="G485">
        <f t="shared" ca="1" si="423"/>
        <v>99.284783563067677</v>
      </c>
      <c r="H485">
        <f t="shared" ca="1" si="423"/>
        <v>95.915989410295566</v>
      </c>
      <c r="I485">
        <f t="shared" ca="1" si="423"/>
        <v>90.554981157992614</v>
      </c>
      <c r="J485">
        <f t="shared" ref="J485:P485" ca="1" si="448">I485*EXP(($C$6-0.5*$C$7^2)*$C$12+$C$7*SQRT($C$12)*NORMINV(RAND(),0,1))</f>
        <v>94.848389156688768</v>
      </c>
      <c r="K485">
        <f t="shared" ca="1" si="448"/>
        <v>97.221091921211027</v>
      </c>
      <c r="L485">
        <f t="shared" ca="1" si="448"/>
        <v>95.145311151333928</v>
      </c>
      <c r="M485">
        <f t="shared" ca="1" si="448"/>
        <v>96.055231282382238</v>
      </c>
      <c r="N485">
        <f t="shared" ca="1" si="448"/>
        <v>89.510056678952608</v>
      </c>
      <c r="O485">
        <f t="shared" ca="1" si="448"/>
        <v>90.521341447313475</v>
      </c>
      <c r="P485">
        <f t="shared" ca="1" si="448"/>
        <v>89.755134996880614</v>
      </c>
      <c r="Q485">
        <f t="shared" ca="1" si="424"/>
        <v>99.284783563067677</v>
      </c>
      <c r="R485">
        <f t="shared" ca="1" si="425"/>
        <v>0</v>
      </c>
      <c r="S485">
        <f t="shared" ca="1" si="426"/>
        <v>0</v>
      </c>
    </row>
    <row r="486" spans="5:19" x14ac:dyDescent="0.75">
      <c r="E486">
        <v>481</v>
      </c>
      <c r="F486">
        <f t="shared" si="422"/>
        <v>100</v>
      </c>
      <c r="G486">
        <f t="shared" ca="1" si="423"/>
        <v>96.205059746281449</v>
      </c>
      <c r="H486">
        <f t="shared" ca="1" si="423"/>
        <v>101.07532921627771</v>
      </c>
      <c r="I486">
        <f t="shared" ca="1" si="423"/>
        <v>111.96435436736051</v>
      </c>
      <c r="J486">
        <f t="shared" ref="J486:P486" ca="1" si="449">I486*EXP(($C$6-0.5*$C$7^2)*$C$12+$C$7*SQRT($C$12)*NORMINV(RAND(),0,1))</f>
        <v>112.33077312478336</v>
      </c>
      <c r="K486">
        <f t="shared" ca="1" si="449"/>
        <v>110.78050776618039</v>
      </c>
      <c r="L486">
        <f t="shared" ca="1" si="449"/>
        <v>120.6283613416516</v>
      </c>
      <c r="M486">
        <f t="shared" ca="1" si="449"/>
        <v>123.41149917631843</v>
      </c>
      <c r="N486">
        <f t="shared" ca="1" si="449"/>
        <v>127.37076068341989</v>
      </c>
      <c r="O486">
        <f t="shared" ca="1" si="449"/>
        <v>136.43065992329903</v>
      </c>
      <c r="P486">
        <f t="shared" ca="1" si="449"/>
        <v>139.37837955428</v>
      </c>
      <c r="Q486">
        <f t="shared" ca="1" si="424"/>
        <v>139.37837955428</v>
      </c>
      <c r="R486">
        <f t="shared" ca="1" si="425"/>
        <v>0</v>
      </c>
      <c r="S486">
        <f t="shared" ca="1" si="426"/>
        <v>0</v>
      </c>
    </row>
    <row r="487" spans="5:19" x14ac:dyDescent="0.75">
      <c r="E487">
        <v>482</v>
      </c>
      <c r="F487">
        <f t="shared" si="422"/>
        <v>100</v>
      </c>
      <c r="G487">
        <f t="shared" ca="1" si="423"/>
        <v>103.58005291856784</v>
      </c>
      <c r="H487">
        <f t="shared" ca="1" si="423"/>
        <v>99.603169087193365</v>
      </c>
      <c r="I487">
        <f t="shared" ca="1" si="423"/>
        <v>111.97352499608857</v>
      </c>
      <c r="J487">
        <f t="shared" ref="J487:P487" ca="1" si="450">I487*EXP(($C$6-0.5*$C$7^2)*$C$12+$C$7*SQRT($C$12)*NORMINV(RAND(),0,1))</f>
        <v>116.12590018310216</v>
      </c>
      <c r="K487">
        <f t="shared" ca="1" si="450"/>
        <v>113.23368700356743</v>
      </c>
      <c r="L487">
        <f t="shared" ca="1" si="450"/>
        <v>117.39065273644336</v>
      </c>
      <c r="M487">
        <f t="shared" ca="1" si="450"/>
        <v>120.57446197821609</v>
      </c>
      <c r="N487">
        <f t="shared" ca="1" si="450"/>
        <v>118.21512417667205</v>
      </c>
      <c r="O487">
        <f t="shared" ca="1" si="450"/>
        <v>125.7864414735479</v>
      </c>
      <c r="P487">
        <f t="shared" ca="1" si="450"/>
        <v>128.86260487591613</v>
      </c>
      <c r="Q487">
        <f t="shared" ca="1" si="424"/>
        <v>128.86260487591613</v>
      </c>
      <c r="R487">
        <f t="shared" ca="1" si="425"/>
        <v>0</v>
      </c>
      <c r="S487">
        <f t="shared" ca="1" si="426"/>
        <v>0</v>
      </c>
    </row>
    <row r="488" spans="5:19" x14ac:dyDescent="0.75">
      <c r="E488">
        <v>483</v>
      </c>
      <c r="F488">
        <f t="shared" si="422"/>
        <v>100</v>
      </c>
      <c r="G488">
        <f t="shared" ca="1" si="423"/>
        <v>100.80810784597809</v>
      </c>
      <c r="H488">
        <f t="shared" ca="1" si="423"/>
        <v>99.112298618914451</v>
      </c>
      <c r="I488">
        <f t="shared" ca="1" si="423"/>
        <v>100.60367840327434</v>
      </c>
      <c r="J488">
        <f t="shared" ref="J488:P488" ca="1" si="451">I488*EXP(($C$6-0.5*$C$7^2)*$C$12+$C$7*SQRT($C$12)*NORMINV(RAND(),0,1))</f>
        <v>103.38600601803354</v>
      </c>
      <c r="K488">
        <f t="shared" ca="1" si="451"/>
        <v>102.26826780575061</v>
      </c>
      <c r="L488">
        <f t="shared" ca="1" si="451"/>
        <v>112.16299309910706</v>
      </c>
      <c r="M488">
        <f t="shared" ca="1" si="451"/>
        <v>106.23830262237136</v>
      </c>
      <c r="N488">
        <f t="shared" ca="1" si="451"/>
        <v>108.84950299146364</v>
      </c>
      <c r="O488">
        <f t="shared" ca="1" si="451"/>
        <v>116.8551407903247</v>
      </c>
      <c r="P488">
        <f t="shared" ca="1" si="451"/>
        <v>119.7975163212231</v>
      </c>
      <c r="Q488">
        <f t="shared" ca="1" si="424"/>
        <v>119.7975163212231</v>
      </c>
      <c r="R488">
        <f t="shared" ca="1" si="425"/>
        <v>0</v>
      </c>
      <c r="S488">
        <f t="shared" ca="1" si="426"/>
        <v>0</v>
      </c>
    </row>
    <row r="489" spans="5:19" x14ac:dyDescent="0.75">
      <c r="E489">
        <v>484</v>
      </c>
      <c r="F489">
        <f t="shared" si="422"/>
        <v>100</v>
      </c>
      <c r="G489">
        <f t="shared" ca="1" si="423"/>
        <v>86.882294788924725</v>
      </c>
      <c r="H489">
        <f t="shared" ca="1" si="423"/>
        <v>87.488796596530634</v>
      </c>
      <c r="I489">
        <f t="shared" ca="1" si="423"/>
        <v>87.669721165080986</v>
      </c>
      <c r="J489">
        <f t="shared" ref="J489:P489" ca="1" si="452">I489*EXP(($C$6-0.5*$C$7^2)*$C$12+$C$7*SQRT($C$12)*NORMINV(RAND(),0,1))</f>
        <v>85.214928214788486</v>
      </c>
      <c r="K489">
        <f t="shared" ca="1" si="452"/>
        <v>83.271109369394949</v>
      </c>
      <c r="L489">
        <f t="shared" ca="1" si="452"/>
        <v>85.920941770125509</v>
      </c>
      <c r="M489">
        <f t="shared" ca="1" si="452"/>
        <v>85.160541299309131</v>
      </c>
      <c r="N489">
        <f t="shared" ca="1" si="452"/>
        <v>85.615396776895366</v>
      </c>
      <c r="O489">
        <f t="shared" ca="1" si="452"/>
        <v>89.833173208314619</v>
      </c>
      <c r="P489">
        <f t="shared" ca="1" si="452"/>
        <v>92.151277637326757</v>
      </c>
      <c r="Q489">
        <f t="shared" ca="1" si="424"/>
        <v>92.151277637326757</v>
      </c>
      <c r="R489">
        <f t="shared" ca="1" si="425"/>
        <v>0</v>
      </c>
      <c r="S489">
        <f t="shared" ca="1" si="426"/>
        <v>0</v>
      </c>
    </row>
    <row r="490" spans="5:19" x14ac:dyDescent="0.75">
      <c r="E490">
        <v>485</v>
      </c>
      <c r="F490">
        <f t="shared" si="422"/>
        <v>100</v>
      </c>
      <c r="G490">
        <f t="shared" ca="1" si="423"/>
        <v>96.641896854669326</v>
      </c>
      <c r="H490">
        <f t="shared" ca="1" si="423"/>
        <v>104.62205040472968</v>
      </c>
      <c r="I490">
        <f t="shared" ca="1" si="423"/>
        <v>107.89596004905445</v>
      </c>
      <c r="J490">
        <f t="shared" ref="J490:P490" ca="1" si="453">I490*EXP(($C$6-0.5*$C$7^2)*$C$12+$C$7*SQRT($C$12)*NORMINV(RAND(),0,1))</f>
        <v>106.99424699383997</v>
      </c>
      <c r="K490">
        <f t="shared" ca="1" si="453"/>
        <v>98.579072751232815</v>
      </c>
      <c r="L490">
        <f t="shared" ca="1" si="453"/>
        <v>90.847731236553045</v>
      </c>
      <c r="M490">
        <f t="shared" ca="1" si="453"/>
        <v>91.82576235216311</v>
      </c>
      <c r="N490">
        <f t="shared" ca="1" si="453"/>
        <v>97.205255894341036</v>
      </c>
      <c r="O490">
        <f t="shared" ca="1" si="453"/>
        <v>100.92366544883505</v>
      </c>
      <c r="P490">
        <f t="shared" ca="1" si="453"/>
        <v>99.761541673952777</v>
      </c>
      <c r="Q490">
        <f t="shared" ca="1" si="424"/>
        <v>107.89596004905445</v>
      </c>
      <c r="R490">
        <f t="shared" ca="1" si="425"/>
        <v>0</v>
      </c>
      <c r="S490">
        <f t="shared" ca="1" si="426"/>
        <v>0</v>
      </c>
    </row>
    <row r="491" spans="5:19" x14ac:dyDescent="0.75">
      <c r="E491">
        <v>486</v>
      </c>
      <c r="F491">
        <f t="shared" si="422"/>
        <v>100</v>
      </c>
      <c r="G491">
        <f t="shared" ca="1" si="423"/>
        <v>100.34766273053724</v>
      </c>
      <c r="H491">
        <f t="shared" ca="1" si="423"/>
        <v>91.732776500302279</v>
      </c>
      <c r="I491">
        <f t="shared" ca="1" si="423"/>
        <v>97.036205774088316</v>
      </c>
      <c r="J491">
        <f t="shared" ref="J491:P491" ca="1" si="454">I491*EXP(($C$6-0.5*$C$7^2)*$C$12+$C$7*SQRT($C$12)*NORMINV(RAND(),0,1))</f>
        <v>94.315317081250527</v>
      </c>
      <c r="K491">
        <f t="shared" ca="1" si="454"/>
        <v>98.75921901119851</v>
      </c>
      <c r="L491">
        <f t="shared" ca="1" si="454"/>
        <v>107.16530815932956</v>
      </c>
      <c r="M491">
        <f t="shared" ca="1" si="454"/>
        <v>101.363415797382</v>
      </c>
      <c r="N491">
        <f t="shared" ca="1" si="454"/>
        <v>100.10242645467653</v>
      </c>
      <c r="O491">
        <f t="shared" ca="1" si="454"/>
        <v>95.904843452368453</v>
      </c>
      <c r="P491">
        <f t="shared" ca="1" si="454"/>
        <v>103.93264795295825</v>
      </c>
      <c r="Q491">
        <f t="shared" ca="1" si="424"/>
        <v>107.16530815932956</v>
      </c>
      <c r="R491">
        <f t="shared" ca="1" si="425"/>
        <v>1.9326479529582485</v>
      </c>
      <c r="S491">
        <f t="shared" ca="1" si="426"/>
        <v>1.8849307049814465</v>
      </c>
    </row>
    <row r="492" spans="5:19" x14ac:dyDescent="0.75">
      <c r="E492">
        <v>487</v>
      </c>
      <c r="F492">
        <f t="shared" si="422"/>
        <v>100</v>
      </c>
      <c r="G492">
        <f t="shared" ca="1" si="423"/>
        <v>94.90434178153933</v>
      </c>
      <c r="H492">
        <f t="shared" ca="1" si="423"/>
        <v>91.699941928646936</v>
      </c>
      <c r="I492">
        <f t="shared" ca="1" si="423"/>
        <v>95.925514034980424</v>
      </c>
      <c r="J492">
        <f t="shared" ref="J492:P492" ca="1" si="455">I492*EXP(($C$6-0.5*$C$7^2)*$C$12+$C$7*SQRT($C$12)*NORMINV(RAND(),0,1))</f>
        <v>97.500598328568245</v>
      </c>
      <c r="K492">
        <f t="shared" ca="1" si="455"/>
        <v>96.804314417972293</v>
      </c>
      <c r="L492">
        <f t="shared" ca="1" si="455"/>
        <v>95.95515118285968</v>
      </c>
      <c r="M492">
        <f t="shared" ca="1" si="455"/>
        <v>97.700975967913905</v>
      </c>
      <c r="N492">
        <f t="shared" ca="1" si="455"/>
        <v>107.66109338992888</v>
      </c>
      <c r="O492">
        <f t="shared" ca="1" si="455"/>
        <v>108.03044820335771</v>
      </c>
      <c r="P492">
        <f t="shared" ca="1" si="455"/>
        <v>102.29067876622295</v>
      </c>
      <c r="Q492">
        <f t="shared" ca="1" si="424"/>
        <v>108.03044820335771</v>
      </c>
      <c r="R492">
        <f t="shared" ca="1" si="425"/>
        <v>0.2906787662229533</v>
      </c>
      <c r="S492">
        <f t="shared" ca="1" si="426"/>
        <v>0.28350188191341286</v>
      </c>
    </row>
    <row r="493" spans="5:19" x14ac:dyDescent="0.75">
      <c r="E493">
        <v>488</v>
      </c>
      <c r="F493">
        <f t="shared" si="422"/>
        <v>100</v>
      </c>
      <c r="G493">
        <f t="shared" ca="1" si="423"/>
        <v>99.488686591511438</v>
      </c>
      <c r="H493">
        <f t="shared" ca="1" si="423"/>
        <v>96.018045045166602</v>
      </c>
      <c r="I493">
        <f t="shared" ca="1" si="423"/>
        <v>95.138295790030398</v>
      </c>
      <c r="J493">
        <f t="shared" ref="J493:P493" ca="1" si="456">I493*EXP(($C$6-0.5*$C$7^2)*$C$12+$C$7*SQRT($C$12)*NORMINV(RAND(),0,1))</f>
        <v>99.301325123875927</v>
      </c>
      <c r="K493">
        <f t="shared" ca="1" si="456"/>
        <v>96.535108591621068</v>
      </c>
      <c r="L493">
        <f t="shared" ca="1" si="456"/>
        <v>104.3158822655564</v>
      </c>
      <c r="M493">
        <f t="shared" ca="1" si="456"/>
        <v>106.29617147675403</v>
      </c>
      <c r="N493">
        <f t="shared" ca="1" si="456"/>
        <v>106.97414661231808</v>
      </c>
      <c r="O493">
        <f t="shared" ca="1" si="456"/>
        <v>101.62746432430714</v>
      </c>
      <c r="P493">
        <f t="shared" ca="1" si="456"/>
        <v>101.24652870186971</v>
      </c>
      <c r="Q493">
        <f t="shared" ca="1" si="424"/>
        <v>106.97414661231808</v>
      </c>
      <c r="R493">
        <f t="shared" ca="1" si="425"/>
        <v>0</v>
      </c>
      <c r="S493">
        <f t="shared" ca="1" si="426"/>
        <v>0</v>
      </c>
    </row>
    <row r="494" spans="5:19" x14ac:dyDescent="0.75">
      <c r="E494">
        <v>489</v>
      </c>
      <c r="F494">
        <f t="shared" si="422"/>
        <v>100</v>
      </c>
      <c r="G494">
        <f t="shared" ca="1" si="423"/>
        <v>101.78290088206741</v>
      </c>
      <c r="H494">
        <f t="shared" ca="1" si="423"/>
        <v>104.23742785030555</v>
      </c>
      <c r="I494">
        <f t="shared" ca="1" si="423"/>
        <v>105.01196313519478</v>
      </c>
      <c r="J494">
        <f t="shared" ref="J494:P494" ca="1" si="457">I494*EXP(($C$6-0.5*$C$7^2)*$C$12+$C$7*SQRT($C$12)*NORMINV(RAND(),0,1))</f>
        <v>99.813885299167154</v>
      </c>
      <c r="K494">
        <f t="shared" ca="1" si="457"/>
        <v>98.256280918836367</v>
      </c>
      <c r="L494">
        <f t="shared" ca="1" si="457"/>
        <v>94.34609716364011</v>
      </c>
      <c r="M494">
        <f t="shared" ca="1" si="457"/>
        <v>93.350031078403234</v>
      </c>
      <c r="N494">
        <f t="shared" ca="1" si="457"/>
        <v>93.250807667907367</v>
      </c>
      <c r="O494">
        <f t="shared" ca="1" si="457"/>
        <v>100.94987355722931</v>
      </c>
      <c r="P494">
        <f t="shared" ca="1" si="457"/>
        <v>107.09987036590459</v>
      </c>
      <c r="Q494">
        <f t="shared" ca="1" si="424"/>
        <v>107.09987036590459</v>
      </c>
      <c r="R494">
        <f t="shared" ca="1" si="425"/>
        <v>5.099870365904593</v>
      </c>
      <c r="S494">
        <f t="shared" ca="1" si="426"/>
        <v>4.9739541179263087</v>
      </c>
    </row>
    <row r="495" spans="5:19" x14ac:dyDescent="0.75">
      <c r="E495">
        <v>490</v>
      </c>
      <c r="F495">
        <f t="shared" si="422"/>
        <v>100</v>
      </c>
      <c r="G495">
        <f t="shared" ca="1" si="423"/>
        <v>91.734620510474386</v>
      </c>
      <c r="H495">
        <f t="shared" ca="1" si="423"/>
        <v>92.767254960759672</v>
      </c>
      <c r="I495">
        <f t="shared" ca="1" si="423"/>
        <v>97.760952745233411</v>
      </c>
      <c r="J495">
        <f t="shared" ref="J495:P495" ca="1" si="458">I495*EXP(($C$6-0.5*$C$7^2)*$C$12+$C$7*SQRT($C$12)*NORMINV(RAND(),0,1))</f>
        <v>96.865343106299008</v>
      </c>
      <c r="K495">
        <f t="shared" ca="1" si="458"/>
        <v>92.612557536969931</v>
      </c>
      <c r="L495">
        <f t="shared" ca="1" si="458"/>
        <v>93.655340760915294</v>
      </c>
      <c r="M495">
        <f t="shared" ca="1" si="458"/>
        <v>97.864160451139895</v>
      </c>
      <c r="N495">
        <f t="shared" ca="1" si="458"/>
        <v>98.791161068506071</v>
      </c>
      <c r="O495">
        <f t="shared" ca="1" si="458"/>
        <v>101.33977485055104</v>
      </c>
      <c r="P495">
        <f t="shared" ca="1" si="458"/>
        <v>105.9891113938659</v>
      </c>
      <c r="Q495">
        <f t="shared" ca="1" si="424"/>
        <v>105.9891113938659</v>
      </c>
      <c r="R495">
        <f t="shared" ca="1" si="425"/>
        <v>3.9891113938658975</v>
      </c>
      <c r="S495">
        <f t="shared" ca="1" si="426"/>
        <v>3.890619882622568</v>
      </c>
    </row>
    <row r="496" spans="5:19" x14ac:dyDescent="0.75">
      <c r="E496">
        <v>491</v>
      </c>
      <c r="F496">
        <f t="shared" si="422"/>
        <v>100</v>
      </c>
      <c r="G496">
        <f t="shared" ca="1" si="423"/>
        <v>103.06015251398722</v>
      </c>
      <c r="H496">
        <f t="shared" ca="1" si="423"/>
        <v>113.0656706435886</v>
      </c>
      <c r="I496">
        <f t="shared" ca="1" si="423"/>
        <v>110.25239634489395</v>
      </c>
      <c r="J496">
        <f t="shared" ref="J496:P496" ca="1" si="459">I496*EXP(($C$6-0.5*$C$7^2)*$C$12+$C$7*SQRT($C$12)*NORMINV(RAND(),0,1))</f>
        <v>107.54617004671611</v>
      </c>
      <c r="K496">
        <f t="shared" ca="1" si="459"/>
        <v>109.08014814056536</v>
      </c>
      <c r="L496">
        <f t="shared" ca="1" si="459"/>
        <v>103.77620892359742</v>
      </c>
      <c r="M496">
        <f t="shared" ca="1" si="459"/>
        <v>106.48070140452752</v>
      </c>
      <c r="N496">
        <f t="shared" ca="1" si="459"/>
        <v>102.17918045551713</v>
      </c>
      <c r="O496">
        <f t="shared" ca="1" si="459"/>
        <v>94.882438967458057</v>
      </c>
      <c r="P496">
        <f t="shared" ca="1" si="459"/>
        <v>97.298427277860995</v>
      </c>
      <c r="Q496">
        <f t="shared" ca="1" si="424"/>
        <v>113.0656706435886</v>
      </c>
      <c r="R496">
        <f t="shared" ca="1" si="425"/>
        <v>0</v>
      </c>
      <c r="S496">
        <f t="shared" ca="1" si="426"/>
        <v>0</v>
      </c>
    </row>
    <row r="497" spans="5:19" x14ac:dyDescent="0.75">
      <c r="E497">
        <v>492</v>
      </c>
      <c r="F497">
        <f t="shared" si="422"/>
        <v>100</v>
      </c>
      <c r="G497">
        <f t="shared" ca="1" si="423"/>
        <v>96.163095367800324</v>
      </c>
      <c r="H497">
        <f t="shared" ca="1" si="423"/>
        <v>92.97718494339324</v>
      </c>
      <c r="I497">
        <f t="shared" ca="1" si="423"/>
        <v>91.713322210225968</v>
      </c>
      <c r="J497">
        <f t="shared" ref="J497:P497" ca="1" si="460">I497*EXP(($C$6-0.5*$C$7^2)*$C$12+$C$7*SQRT($C$12)*NORMINV(RAND(),0,1))</f>
        <v>91.130190844103012</v>
      </c>
      <c r="K497">
        <f t="shared" ca="1" si="460"/>
        <v>97.587140368362455</v>
      </c>
      <c r="L497">
        <f t="shared" ca="1" si="460"/>
        <v>104.12897704623754</v>
      </c>
      <c r="M497">
        <f t="shared" ca="1" si="460"/>
        <v>105.1370390970533</v>
      </c>
      <c r="N497">
        <f t="shared" ca="1" si="460"/>
        <v>103.42862576156747</v>
      </c>
      <c r="O497">
        <f t="shared" ca="1" si="460"/>
        <v>95.0022892129806</v>
      </c>
      <c r="P497">
        <f t="shared" ca="1" si="460"/>
        <v>94.780319441143646</v>
      </c>
      <c r="Q497">
        <f t="shared" ca="1" si="424"/>
        <v>105.1370390970533</v>
      </c>
      <c r="R497">
        <f t="shared" ca="1" si="425"/>
        <v>0</v>
      </c>
      <c r="S497">
        <f t="shared" ca="1" si="426"/>
        <v>0</v>
      </c>
    </row>
    <row r="498" spans="5:19" x14ac:dyDescent="0.75">
      <c r="E498">
        <v>493</v>
      </c>
      <c r="F498">
        <f t="shared" si="422"/>
        <v>100</v>
      </c>
      <c r="G498">
        <f t="shared" ca="1" si="423"/>
        <v>97.383378993591947</v>
      </c>
      <c r="H498">
        <f t="shared" ca="1" si="423"/>
        <v>98.5827105455311</v>
      </c>
      <c r="I498">
        <f t="shared" ca="1" si="423"/>
        <v>107.35659390655998</v>
      </c>
      <c r="J498">
        <f t="shared" ref="J498:P498" ca="1" si="461">I498*EXP(($C$6-0.5*$C$7^2)*$C$12+$C$7*SQRT($C$12)*NORMINV(RAND(),0,1))</f>
        <v>114.35787084790456</v>
      </c>
      <c r="K498">
        <f t="shared" ca="1" si="461"/>
        <v>110.35439390168915</v>
      </c>
      <c r="L498">
        <f t="shared" ca="1" si="461"/>
        <v>109.7899171166188</v>
      </c>
      <c r="M498">
        <f t="shared" ca="1" si="461"/>
        <v>122.67855372913775</v>
      </c>
      <c r="N498">
        <f t="shared" ca="1" si="461"/>
        <v>121.50527298039886</v>
      </c>
      <c r="O498">
        <f t="shared" ca="1" si="461"/>
        <v>124.49495216493565</v>
      </c>
      <c r="P498">
        <f t="shared" ca="1" si="461"/>
        <v>111.98465289784842</v>
      </c>
      <c r="Q498">
        <f t="shared" ca="1" si="424"/>
        <v>124.49495216493565</v>
      </c>
      <c r="R498">
        <f t="shared" ca="1" si="425"/>
        <v>0</v>
      </c>
      <c r="S498">
        <f t="shared" ca="1" si="426"/>
        <v>0</v>
      </c>
    </row>
    <row r="499" spans="5:19" x14ac:dyDescent="0.75">
      <c r="E499">
        <v>494</v>
      </c>
      <c r="F499">
        <f t="shared" si="422"/>
        <v>100</v>
      </c>
      <c r="G499">
        <f t="shared" ca="1" si="423"/>
        <v>119.65278039411118</v>
      </c>
      <c r="H499">
        <f t="shared" ca="1" si="423"/>
        <v>108.68061545768062</v>
      </c>
      <c r="I499">
        <f t="shared" ca="1" si="423"/>
        <v>117.97600817025133</v>
      </c>
      <c r="J499">
        <f t="shared" ref="J499:P499" ca="1" si="462">I499*EXP(($C$6-0.5*$C$7^2)*$C$12+$C$7*SQRT($C$12)*NORMINV(RAND(),0,1))</f>
        <v>115.95668241117663</v>
      </c>
      <c r="K499">
        <f t="shared" ca="1" si="462"/>
        <v>111.88804346010464</v>
      </c>
      <c r="L499">
        <f t="shared" ca="1" si="462"/>
        <v>120.09357800331441</v>
      </c>
      <c r="M499">
        <f t="shared" ca="1" si="462"/>
        <v>128.53773551886334</v>
      </c>
      <c r="N499">
        <f t="shared" ca="1" si="462"/>
        <v>135.75532972805598</v>
      </c>
      <c r="O499">
        <f t="shared" ca="1" si="462"/>
        <v>141.71697328978294</v>
      </c>
      <c r="P499">
        <f t="shared" ca="1" si="462"/>
        <v>138.19604649815679</v>
      </c>
      <c r="Q499">
        <f t="shared" ca="1" si="424"/>
        <v>141.71697328978294</v>
      </c>
      <c r="R499">
        <f t="shared" ca="1" si="425"/>
        <v>0</v>
      </c>
      <c r="S499">
        <f t="shared" ca="1" si="426"/>
        <v>0</v>
      </c>
    </row>
    <row r="500" spans="5:19" x14ac:dyDescent="0.75">
      <c r="E500">
        <v>495</v>
      </c>
      <c r="F500">
        <f t="shared" si="422"/>
        <v>100</v>
      </c>
      <c r="G500">
        <f t="shared" ca="1" si="423"/>
        <v>94.55671484507468</v>
      </c>
      <c r="H500">
        <f t="shared" ca="1" si="423"/>
        <v>93.937782491441098</v>
      </c>
      <c r="I500">
        <f t="shared" ca="1" si="423"/>
        <v>92.760180120054358</v>
      </c>
      <c r="J500">
        <f t="shared" ref="J500:P500" ca="1" si="463">I500*EXP(($C$6-0.5*$C$7^2)*$C$12+$C$7*SQRT($C$12)*NORMINV(RAND(),0,1))</f>
        <v>88.990834995525844</v>
      </c>
      <c r="K500">
        <f t="shared" ca="1" si="463"/>
        <v>81.69448792755523</v>
      </c>
      <c r="L500">
        <f t="shared" ca="1" si="463"/>
        <v>81.188233968767378</v>
      </c>
      <c r="M500">
        <f t="shared" ca="1" si="463"/>
        <v>75.635416960699033</v>
      </c>
      <c r="N500">
        <f t="shared" ca="1" si="463"/>
        <v>72.761180598159513</v>
      </c>
      <c r="O500">
        <f t="shared" ca="1" si="463"/>
        <v>72.548182734523991</v>
      </c>
      <c r="P500">
        <f t="shared" ca="1" si="463"/>
        <v>76.148408564779913</v>
      </c>
      <c r="Q500">
        <f t="shared" ca="1" si="424"/>
        <v>94.55671484507468</v>
      </c>
      <c r="R500">
        <f t="shared" ca="1" si="425"/>
        <v>0</v>
      </c>
      <c r="S500">
        <f t="shared" ca="1" si="426"/>
        <v>0</v>
      </c>
    </row>
    <row r="501" spans="5:19" x14ac:dyDescent="0.75">
      <c r="E501">
        <v>496</v>
      </c>
      <c r="F501">
        <f t="shared" si="422"/>
        <v>100</v>
      </c>
      <c r="G501">
        <f t="shared" ca="1" si="423"/>
        <v>106.10823652187304</v>
      </c>
      <c r="H501">
        <f t="shared" ca="1" si="423"/>
        <v>108.60478910897962</v>
      </c>
      <c r="I501">
        <f t="shared" ca="1" si="423"/>
        <v>103.8374612561645</v>
      </c>
      <c r="J501">
        <f t="shared" ref="J501:P501" ca="1" si="464">I501*EXP(($C$6-0.5*$C$7^2)*$C$12+$C$7*SQRT($C$12)*NORMINV(RAND(),0,1))</f>
        <v>106.20531642992503</v>
      </c>
      <c r="K501">
        <f t="shared" ca="1" si="464"/>
        <v>106.36896635869437</v>
      </c>
      <c r="L501">
        <f t="shared" ca="1" si="464"/>
        <v>103.24585736333493</v>
      </c>
      <c r="M501">
        <f t="shared" ca="1" si="464"/>
        <v>99.45806188775002</v>
      </c>
      <c r="N501">
        <f t="shared" ca="1" si="464"/>
        <v>92.424306128397376</v>
      </c>
      <c r="O501">
        <f t="shared" ca="1" si="464"/>
        <v>98.789106238958354</v>
      </c>
      <c r="P501">
        <f t="shared" ca="1" si="464"/>
        <v>91.466982360718546</v>
      </c>
      <c r="Q501">
        <f t="shared" ca="1" si="424"/>
        <v>108.60478910897962</v>
      </c>
      <c r="R501">
        <f t="shared" ca="1" si="425"/>
        <v>0</v>
      </c>
      <c r="S501">
        <f t="shared" ca="1" si="426"/>
        <v>0</v>
      </c>
    </row>
    <row r="502" spans="5:19" x14ac:dyDescent="0.75">
      <c r="E502">
        <v>497</v>
      </c>
      <c r="F502">
        <f t="shared" si="422"/>
        <v>100</v>
      </c>
      <c r="G502">
        <f t="shared" ca="1" si="423"/>
        <v>99.588764075600494</v>
      </c>
      <c r="H502">
        <f t="shared" ca="1" si="423"/>
        <v>99.643433868087399</v>
      </c>
      <c r="I502">
        <f t="shared" ca="1" si="423"/>
        <v>93.078694985854014</v>
      </c>
      <c r="J502">
        <f t="shared" ref="J502:P502" ca="1" si="465">I502*EXP(($C$6-0.5*$C$7^2)*$C$12+$C$7*SQRT($C$12)*NORMINV(RAND(),0,1))</f>
        <v>92.688684198967124</v>
      </c>
      <c r="K502">
        <f t="shared" ca="1" si="465"/>
        <v>87.533426397706648</v>
      </c>
      <c r="L502">
        <f t="shared" ca="1" si="465"/>
        <v>86.776877445157822</v>
      </c>
      <c r="M502">
        <f t="shared" ca="1" si="465"/>
        <v>83.842571224082363</v>
      </c>
      <c r="N502">
        <f t="shared" ca="1" si="465"/>
        <v>79.364354924784493</v>
      </c>
      <c r="O502">
        <f t="shared" ca="1" si="465"/>
        <v>80.848786636514973</v>
      </c>
      <c r="P502">
        <f t="shared" ca="1" si="465"/>
        <v>80.642080315257672</v>
      </c>
      <c r="Q502">
        <f t="shared" ca="1" si="424"/>
        <v>99.643433868087399</v>
      </c>
      <c r="R502">
        <f t="shared" ca="1" si="425"/>
        <v>0</v>
      </c>
      <c r="S502">
        <f t="shared" ca="1" si="426"/>
        <v>0</v>
      </c>
    </row>
    <row r="503" spans="5:19" x14ac:dyDescent="0.75">
      <c r="E503">
        <v>498</v>
      </c>
      <c r="F503">
        <f t="shared" si="422"/>
        <v>100</v>
      </c>
      <c r="G503">
        <f t="shared" ca="1" si="423"/>
        <v>89.910469663730225</v>
      </c>
      <c r="H503">
        <f t="shared" ca="1" si="423"/>
        <v>81.755144805983022</v>
      </c>
      <c r="I503">
        <f t="shared" ca="1" si="423"/>
        <v>86.201201566137016</v>
      </c>
      <c r="J503">
        <f t="shared" ref="J503:P503" ca="1" si="466">I503*EXP(($C$6-0.5*$C$7^2)*$C$12+$C$7*SQRT($C$12)*NORMINV(RAND(),0,1))</f>
        <v>89.003943455190665</v>
      </c>
      <c r="K503">
        <f t="shared" ca="1" si="466"/>
        <v>88.186355038519807</v>
      </c>
      <c r="L503">
        <f t="shared" ca="1" si="466"/>
        <v>85.485888148700425</v>
      </c>
      <c r="M503">
        <f t="shared" ca="1" si="466"/>
        <v>78.393315979409508</v>
      </c>
      <c r="N503">
        <f t="shared" ca="1" si="466"/>
        <v>80.5449752423756</v>
      </c>
      <c r="O503">
        <f t="shared" ca="1" si="466"/>
        <v>79.632581574333443</v>
      </c>
      <c r="P503">
        <f t="shared" ca="1" si="466"/>
        <v>82.411683933325676</v>
      </c>
      <c r="Q503">
        <f t="shared" ca="1" si="424"/>
        <v>89.910469663730225</v>
      </c>
      <c r="R503">
        <f t="shared" ca="1" si="425"/>
        <v>0</v>
      </c>
      <c r="S503">
        <f t="shared" ca="1" si="426"/>
        <v>0</v>
      </c>
    </row>
    <row r="504" spans="5:19" x14ac:dyDescent="0.75">
      <c r="E504">
        <v>499</v>
      </c>
      <c r="F504">
        <f t="shared" si="422"/>
        <v>100</v>
      </c>
      <c r="G504">
        <f t="shared" ca="1" si="423"/>
        <v>101.82817829964199</v>
      </c>
      <c r="H504">
        <f t="shared" ca="1" si="423"/>
        <v>100.3256808761036</v>
      </c>
      <c r="I504">
        <f t="shared" ca="1" si="423"/>
        <v>100.37395476912818</v>
      </c>
      <c r="J504">
        <f t="shared" ref="J504:P504" ca="1" si="467">I504*EXP(($C$6-0.5*$C$7^2)*$C$12+$C$7*SQRT($C$12)*NORMINV(RAND(),0,1))</f>
        <v>103.09250751238703</v>
      </c>
      <c r="K504">
        <f t="shared" ca="1" si="467"/>
        <v>102.49690583897946</v>
      </c>
      <c r="L504">
        <f t="shared" ca="1" si="467"/>
        <v>99.133282865648042</v>
      </c>
      <c r="M504">
        <f t="shared" ca="1" si="467"/>
        <v>92.320584227670054</v>
      </c>
      <c r="N504">
        <f t="shared" ca="1" si="467"/>
        <v>94.213665727722216</v>
      </c>
      <c r="O504">
        <f t="shared" ca="1" si="467"/>
        <v>94.468084474164272</v>
      </c>
      <c r="P504">
        <f t="shared" ca="1" si="467"/>
        <v>91.350786883426878</v>
      </c>
      <c r="Q504">
        <f t="shared" ca="1" si="424"/>
        <v>103.09250751238703</v>
      </c>
      <c r="R504">
        <f t="shared" ca="1" si="425"/>
        <v>0</v>
      </c>
      <c r="S504">
        <f t="shared" ca="1" si="426"/>
        <v>0</v>
      </c>
    </row>
    <row r="505" spans="5:19" x14ac:dyDescent="0.75">
      <c r="E505">
        <v>500</v>
      </c>
      <c r="F505">
        <f t="shared" si="422"/>
        <v>100</v>
      </c>
      <c r="G505">
        <f t="shared" ca="1" si="423"/>
        <v>97.080794026274646</v>
      </c>
      <c r="H505">
        <f t="shared" ca="1" si="423"/>
        <v>96.114290969393522</v>
      </c>
      <c r="I505">
        <f t="shared" ca="1" si="423"/>
        <v>91.702987384942958</v>
      </c>
      <c r="J505">
        <f t="shared" ref="J505:P505" ca="1" si="468">I505*EXP(($C$6-0.5*$C$7^2)*$C$12+$C$7*SQRT($C$12)*NORMINV(RAND(),0,1))</f>
        <v>86.543928266425809</v>
      </c>
      <c r="K505">
        <f t="shared" ca="1" si="468"/>
        <v>94.433628467701112</v>
      </c>
      <c r="L505">
        <f t="shared" ca="1" si="468"/>
        <v>98.65495912414498</v>
      </c>
      <c r="M505">
        <f t="shared" ca="1" si="468"/>
        <v>96.524491204507555</v>
      </c>
      <c r="N505">
        <f t="shared" ca="1" si="468"/>
        <v>102.13693416604634</v>
      </c>
      <c r="O505">
        <f t="shared" ca="1" si="468"/>
        <v>99.209089706781938</v>
      </c>
      <c r="P505">
        <f t="shared" ca="1" si="468"/>
        <v>99.882785656270514</v>
      </c>
      <c r="Q505">
        <f t="shared" ca="1" si="424"/>
        <v>102.13693416604634</v>
      </c>
      <c r="R505">
        <f t="shared" ca="1" si="425"/>
        <v>0</v>
      </c>
      <c r="S505">
        <f t="shared" ca="1" si="426"/>
        <v>0</v>
      </c>
    </row>
    <row r="506" spans="5:19" x14ac:dyDescent="0.75">
      <c r="E506">
        <v>501</v>
      </c>
      <c r="F506">
        <f t="shared" si="422"/>
        <v>100</v>
      </c>
      <c r="G506">
        <f t="shared" ca="1" si="423"/>
        <v>96.24261044753635</v>
      </c>
      <c r="H506">
        <f t="shared" ca="1" si="423"/>
        <v>96.947401197402584</v>
      </c>
      <c r="I506">
        <f t="shared" ca="1" si="423"/>
        <v>99.688758646424006</v>
      </c>
      <c r="J506">
        <f t="shared" ref="J506:P506" ca="1" si="469">I506*EXP(($C$6-0.5*$C$7^2)*$C$12+$C$7*SQRT($C$12)*NORMINV(RAND(),0,1))</f>
        <v>95.620634751729042</v>
      </c>
      <c r="K506">
        <f t="shared" ca="1" si="469"/>
        <v>96.356148762160487</v>
      </c>
      <c r="L506">
        <f t="shared" ca="1" si="469"/>
        <v>94.426644500816153</v>
      </c>
      <c r="M506">
        <f t="shared" ca="1" si="469"/>
        <v>94.330594242153182</v>
      </c>
      <c r="N506">
        <f t="shared" ca="1" si="469"/>
        <v>91.015507971493506</v>
      </c>
      <c r="O506">
        <f t="shared" ca="1" si="469"/>
        <v>94.600060971502458</v>
      </c>
      <c r="P506">
        <f t="shared" ca="1" si="469"/>
        <v>89.01955069243246</v>
      </c>
      <c r="Q506">
        <f t="shared" ca="1" si="424"/>
        <v>99.688758646424006</v>
      </c>
      <c r="R506">
        <f t="shared" ca="1" si="425"/>
        <v>0</v>
      </c>
      <c r="S506">
        <f t="shared" ca="1" si="426"/>
        <v>0</v>
      </c>
    </row>
    <row r="507" spans="5:19" x14ac:dyDescent="0.75">
      <c r="E507">
        <v>502</v>
      </c>
      <c r="F507">
        <f t="shared" si="422"/>
        <v>100</v>
      </c>
      <c r="G507">
        <f t="shared" ca="1" si="423"/>
        <v>102.19431078167165</v>
      </c>
      <c r="H507">
        <f t="shared" ca="1" si="423"/>
        <v>102.11365123210753</v>
      </c>
      <c r="I507">
        <f t="shared" ca="1" si="423"/>
        <v>108.19333431317503</v>
      </c>
      <c r="J507">
        <f t="shared" ref="J507:P507" ca="1" si="470">I507*EXP(($C$6-0.5*$C$7^2)*$C$12+$C$7*SQRT($C$12)*NORMINV(RAND(),0,1))</f>
        <v>116.14177224729406</v>
      </c>
      <c r="K507">
        <f t="shared" ca="1" si="470"/>
        <v>112.48297796486952</v>
      </c>
      <c r="L507">
        <f t="shared" ca="1" si="470"/>
        <v>116.90721594240215</v>
      </c>
      <c r="M507">
        <f t="shared" ca="1" si="470"/>
        <v>120.73516207159162</v>
      </c>
      <c r="N507">
        <f t="shared" ca="1" si="470"/>
        <v>117.09610808413356</v>
      </c>
      <c r="O507">
        <f t="shared" ca="1" si="470"/>
        <v>118.93031273825042</v>
      </c>
      <c r="P507">
        <f t="shared" ca="1" si="470"/>
        <v>114.29018206416535</v>
      </c>
      <c r="Q507">
        <f t="shared" ca="1" si="424"/>
        <v>120.73516207159162</v>
      </c>
      <c r="R507">
        <f t="shared" ca="1" si="425"/>
        <v>0</v>
      </c>
      <c r="S507">
        <f t="shared" ca="1" si="426"/>
        <v>0</v>
      </c>
    </row>
    <row r="508" spans="5:19" x14ac:dyDescent="0.75">
      <c r="E508">
        <v>503</v>
      </c>
      <c r="F508">
        <f t="shared" si="422"/>
        <v>100</v>
      </c>
      <c r="G508">
        <f t="shared" ca="1" si="423"/>
        <v>102.43077704312613</v>
      </c>
      <c r="H508">
        <f t="shared" ca="1" si="423"/>
        <v>106.07468116471073</v>
      </c>
      <c r="I508">
        <f t="shared" ca="1" si="423"/>
        <v>112.36942524447247</v>
      </c>
      <c r="J508">
        <f t="shared" ref="J508:P508" ca="1" si="471">I508*EXP(($C$6-0.5*$C$7^2)*$C$12+$C$7*SQRT($C$12)*NORMINV(RAND(),0,1))</f>
        <v>110.2358875301847</v>
      </c>
      <c r="K508">
        <f t="shared" ca="1" si="471"/>
        <v>110.87972362465065</v>
      </c>
      <c r="L508">
        <f t="shared" ca="1" si="471"/>
        <v>111.52179436862293</v>
      </c>
      <c r="M508">
        <f t="shared" ca="1" si="471"/>
        <v>111.90051779553154</v>
      </c>
      <c r="N508">
        <f t="shared" ca="1" si="471"/>
        <v>122.00381947753779</v>
      </c>
      <c r="O508">
        <f t="shared" ca="1" si="471"/>
        <v>124.84194277120655</v>
      </c>
      <c r="P508">
        <f t="shared" ca="1" si="471"/>
        <v>125.42066805144368</v>
      </c>
      <c r="Q508">
        <f t="shared" ca="1" si="424"/>
        <v>125.42066805144368</v>
      </c>
      <c r="R508">
        <f t="shared" ca="1" si="425"/>
        <v>0</v>
      </c>
      <c r="S508">
        <f t="shared" ca="1" si="426"/>
        <v>0</v>
      </c>
    </row>
    <row r="509" spans="5:19" x14ac:dyDescent="0.75">
      <c r="E509">
        <v>504</v>
      </c>
      <c r="F509">
        <f t="shared" si="422"/>
        <v>100</v>
      </c>
      <c r="G509">
        <f t="shared" ca="1" si="423"/>
        <v>98.62237520224258</v>
      </c>
      <c r="H509">
        <f t="shared" ca="1" si="423"/>
        <v>100.00098827148997</v>
      </c>
      <c r="I509">
        <f t="shared" ca="1" si="423"/>
        <v>104.32045148810417</v>
      </c>
      <c r="J509">
        <f t="shared" ref="J509:P509" ca="1" si="472">I509*EXP(($C$6-0.5*$C$7^2)*$C$12+$C$7*SQRT($C$12)*NORMINV(RAND(),0,1))</f>
        <v>110.81125584968862</v>
      </c>
      <c r="K509">
        <f t="shared" ca="1" si="472"/>
        <v>106.13177779981793</v>
      </c>
      <c r="L509">
        <f t="shared" ca="1" si="472"/>
        <v>113.86189062811715</v>
      </c>
      <c r="M509">
        <f t="shared" ca="1" si="472"/>
        <v>114.53290442946683</v>
      </c>
      <c r="N509">
        <f t="shared" ca="1" si="472"/>
        <v>118.63288148000989</v>
      </c>
      <c r="O509">
        <f t="shared" ca="1" si="472"/>
        <v>110.18867433288929</v>
      </c>
      <c r="P509">
        <f t="shared" ca="1" si="472"/>
        <v>109.45496548795647</v>
      </c>
      <c r="Q509">
        <f t="shared" ca="1" si="424"/>
        <v>118.63288148000989</v>
      </c>
      <c r="R509">
        <f t="shared" ca="1" si="425"/>
        <v>0</v>
      </c>
      <c r="S509">
        <f t="shared" ca="1" si="426"/>
        <v>0</v>
      </c>
    </row>
    <row r="510" spans="5:19" x14ac:dyDescent="0.75">
      <c r="E510">
        <v>505</v>
      </c>
      <c r="F510">
        <f t="shared" si="422"/>
        <v>100</v>
      </c>
      <c r="G510">
        <f t="shared" ca="1" si="423"/>
        <v>99.386968520726143</v>
      </c>
      <c r="H510">
        <f t="shared" ca="1" si="423"/>
        <v>99.923054203615436</v>
      </c>
      <c r="I510">
        <f t="shared" ca="1" si="423"/>
        <v>99.962181949702938</v>
      </c>
      <c r="J510">
        <f t="shared" ref="J510:P510" ca="1" si="473">I510*EXP(($C$6-0.5*$C$7^2)*$C$12+$C$7*SQRT($C$12)*NORMINV(RAND(),0,1))</f>
        <v>98.543403139852629</v>
      </c>
      <c r="K510">
        <f t="shared" ca="1" si="473"/>
        <v>93.098343491647952</v>
      </c>
      <c r="L510">
        <f t="shared" ca="1" si="473"/>
        <v>98.000917301134976</v>
      </c>
      <c r="M510">
        <f t="shared" ca="1" si="473"/>
        <v>108.40195377687927</v>
      </c>
      <c r="N510">
        <f t="shared" ca="1" si="473"/>
        <v>105.55479593693647</v>
      </c>
      <c r="O510">
        <f t="shared" ca="1" si="473"/>
        <v>96.240466903511518</v>
      </c>
      <c r="P510">
        <f t="shared" ca="1" si="473"/>
        <v>88.729034070190153</v>
      </c>
      <c r="Q510">
        <f t="shared" ca="1" si="424"/>
        <v>108.40195377687927</v>
      </c>
      <c r="R510">
        <f t="shared" ca="1" si="425"/>
        <v>0</v>
      </c>
      <c r="S510">
        <f t="shared" ca="1" si="426"/>
        <v>0</v>
      </c>
    </row>
    <row r="511" spans="5:19" x14ac:dyDescent="0.75">
      <c r="E511">
        <v>506</v>
      </c>
      <c r="F511">
        <f t="shared" si="422"/>
        <v>100</v>
      </c>
      <c r="G511">
        <f t="shared" ca="1" si="423"/>
        <v>105.88729479187653</v>
      </c>
      <c r="H511">
        <f t="shared" ca="1" si="423"/>
        <v>107.99104007269106</v>
      </c>
      <c r="I511">
        <f t="shared" ca="1" si="423"/>
        <v>118.66587130087424</v>
      </c>
      <c r="J511">
        <f t="shared" ref="J511:P511" ca="1" si="474">I511*EXP(($C$6-0.5*$C$7^2)*$C$12+$C$7*SQRT($C$12)*NORMINV(RAND(),0,1))</f>
        <v>126.84007508081321</v>
      </c>
      <c r="K511">
        <f t="shared" ca="1" si="474"/>
        <v>136.71614055171082</v>
      </c>
      <c r="L511">
        <f t="shared" ca="1" si="474"/>
        <v>133.11321228740252</v>
      </c>
      <c r="M511">
        <f t="shared" ca="1" si="474"/>
        <v>124.14880317037412</v>
      </c>
      <c r="N511">
        <f t="shared" ca="1" si="474"/>
        <v>119.68062936562185</v>
      </c>
      <c r="O511">
        <f t="shared" ca="1" si="474"/>
        <v>111.70895976261542</v>
      </c>
      <c r="P511">
        <f t="shared" ca="1" si="474"/>
        <v>113.94271751341978</v>
      </c>
      <c r="Q511">
        <f t="shared" ca="1" si="424"/>
        <v>136.71614055171082</v>
      </c>
      <c r="R511">
        <f t="shared" ca="1" si="425"/>
        <v>0</v>
      </c>
      <c r="S511">
        <f t="shared" ca="1" si="426"/>
        <v>0</v>
      </c>
    </row>
    <row r="512" spans="5:19" x14ac:dyDescent="0.75">
      <c r="E512">
        <v>507</v>
      </c>
      <c r="F512">
        <f t="shared" si="422"/>
        <v>100</v>
      </c>
      <c r="G512">
        <f t="shared" ca="1" si="423"/>
        <v>100.36206579770717</v>
      </c>
      <c r="H512">
        <f t="shared" ca="1" si="423"/>
        <v>99.881180202932498</v>
      </c>
      <c r="I512">
        <f t="shared" ca="1" si="423"/>
        <v>96.247303759183112</v>
      </c>
      <c r="J512">
        <f t="shared" ref="J512:P512" ca="1" si="475">I512*EXP(($C$6-0.5*$C$7^2)*$C$12+$C$7*SQRT($C$12)*NORMINV(RAND(),0,1))</f>
        <v>94.843084017894427</v>
      </c>
      <c r="K512">
        <f t="shared" ca="1" si="475"/>
        <v>100.01978228582608</v>
      </c>
      <c r="L512">
        <f t="shared" ca="1" si="475"/>
        <v>98.697864822540197</v>
      </c>
      <c r="M512">
        <f t="shared" ca="1" si="475"/>
        <v>101.93244626323053</v>
      </c>
      <c r="N512">
        <f t="shared" ca="1" si="475"/>
        <v>100.23038938932386</v>
      </c>
      <c r="O512">
        <f t="shared" ca="1" si="475"/>
        <v>105.36337479702149</v>
      </c>
      <c r="P512">
        <f t="shared" ca="1" si="475"/>
        <v>103.81688362919057</v>
      </c>
      <c r="Q512">
        <f t="shared" ca="1" si="424"/>
        <v>105.36337479702149</v>
      </c>
      <c r="R512">
        <f t="shared" ca="1" si="425"/>
        <v>1.8168836291905706</v>
      </c>
      <c r="S512">
        <f t="shared" ca="1" si="426"/>
        <v>1.7720246125515731</v>
      </c>
    </row>
    <row r="513" spans="5:19" x14ac:dyDescent="0.75">
      <c r="E513">
        <v>508</v>
      </c>
      <c r="F513">
        <f t="shared" si="422"/>
        <v>100</v>
      </c>
      <c r="G513">
        <f t="shared" ca="1" si="423"/>
        <v>98.684310748769434</v>
      </c>
      <c r="H513">
        <f t="shared" ca="1" si="423"/>
        <v>91.133833242374848</v>
      </c>
      <c r="I513">
        <f t="shared" ca="1" si="423"/>
        <v>92.79538358079057</v>
      </c>
      <c r="J513">
        <f t="shared" ref="J513:P513" ca="1" si="476">I513*EXP(($C$6-0.5*$C$7^2)*$C$12+$C$7*SQRT($C$12)*NORMINV(RAND(),0,1))</f>
        <v>97.806465287658384</v>
      </c>
      <c r="K513">
        <f t="shared" ca="1" si="476"/>
        <v>96.034706662179957</v>
      </c>
      <c r="L513">
        <f t="shared" ca="1" si="476"/>
        <v>88.05903410017693</v>
      </c>
      <c r="M513">
        <f t="shared" ca="1" si="476"/>
        <v>83.853268469649151</v>
      </c>
      <c r="N513">
        <f t="shared" ca="1" si="476"/>
        <v>83.471328858481144</v>
      </c>
      <c r="O513">
        <f t="shared" ca="1" si="476"/>
        <v>80.798039073390868</v>
      </c>
      <c r="P513">
        <f t="shared" ca="1" si="476"/>
        <v>83.982137240311687</v>
      </c>
      <c r="Q513">
        <f t="shared" ca="1" si="424"/>
        <v>98.684310748769434</v>
      </c>
      <c r="R513">
        <f t="shared" ca="1" si="425"/>
        <v>0</v>
      </c>
      <c r="S513">
        <f t="shared" ca="1" si="426"/>
        <v>0</v>
      </c>
    </row>
    <row r="514" spans="5:19" x14ac:dyDescent="0.75">
      <c r="E514">
        <v>509</v>
      </c>
      <c r="F514">
        <f t="shared" si="422"/>
        <v>100</v>
      </c>
      <c r="G514">
        <f t="shared" ca="1" si="423"/>
        <v>97.573691811359822</v>
      </c>
      <c r="H514">
        <f t="shared" ca="1" si="423"/>
        <v>99.263912858983375</v>
      </c>
      <c r="I514">
        <f t="shared" ca="1" si="423"/>
        <v>99.042307218486371</v>
      </c>
      <c r="J514">
        <f t="shared" ref="J514:P514" ca="1" si="477">I514*EXP(($C$6-0.5*$C$7^2)*$C$12+$C$7*SQRT($C$12)*NORMINV(RAND(),0,1))</f>
        <v>91.251198905046735</v>
      </c>
      <c r="K514">
        <f t="shared" ca="1" si="477"/>
        <v>85.505021103927561</v>
      </c>
      <c r="L514">
        <f t="shared" ca="1" si="477"/>
        <v>87.446267162007985</v>
      </c>
      <c r="M514">
        <f t="shared" ca="1" si="477"/>
        <v>96.935110899658554</v>
      </c>
      <c r="N514">
        <f t="shared" ca="1" si="477"/>
        <v>98.769140202283324</v>
      </c>
      <c r="O514">
        <f t="shared" ca="1" si="477"/>
        <v>94.587307488576215</v>
      </c>
      <c r="P514">
        <f t="shared" ca="1" si="477"/>
        <v>95.627957936073201</v>
      </c>
      <c r="Q514">
        <f t="shared" ca="1" si="424"/>
        <v>99.263912858983375</v>
      </c>
      <c r="R514">
        <f t="shared" ca="1" si="425"/>
        <v>0</v>
      </c>
      <c r="S514">
        <f t="shared" ca="1" si="426"/>
        <v>0</v>
      </c>
    </row>
    <row r="515" spans="5:19" x14ac:dyDescent="0.75">
      <c r="E515">
        <v>510</v>
      </c>
      <c r="F515">
        <f t="shared" si="422"/>
        <v>100</v>
      </c>
      <c r="G515">
        <f t="shared" ca="1" si="423"/>
        <v>95.713253230420349</v>
      </c>
      <c r="H515">
        <f t="shared" ca="1" si="423"/>
        <v>94.274873488420582</v>
      </c>
      <c r="I515">
        <f t="shared" ca="1" si="423"/>
        <v>98.683246796786875</v>
      </c>
      <c r="J515">
        <f t="shared" ref="J515:P515" ca="1" si="478">I515*EXP(($C$6-0.5*$C$7^2)*$C$12+$C$7*SQRT($C$12)*NORMINV(RAND(),0,1))</f>
        <v>93.794291404937127</v>
      </c>
      <c r="K515">
        <f t="shared" ca="1" si="478"/>
        <v>90.484497064157026</v>
      </c>
      <c r="L515">
        <f t="shared" ca="1" si="478"/>
        <v>83.454028672657714</v>
      </c>
      <c r="M515">
        <f t="shared" ca="1" si="478"/>
        <v>84.436630967843328</v>
      </c>
      <c r="N515">
        <f t="shared" ca="1" si="478"/>
        <v>83.209364114651876</v>
      </c>
      <c r="O515">
        <f t="shared" ca="1" si="478"/>
        <v>86.785828997661383</v>
      </c>
      <c r="P515">
        <f t="shared" ca="1" si="478"/>
        <v>84.320027681833025</v>
      </c>
      <c r="Q515">
        <f t="shared" ca="1" si="424"/>
        <v>98.683246796786875</v>
      </c>
      <c r="R515">
        <f t="shared" ca="1" si="425"/>
        <v>0</v>
      </c>
      <c r="S515">
        <f t="shared" ca="1" si="426"/>
        <v>0</v>
      </c>
    </row>
    <row r="516" spans="5:19" x14ac:dyDescent="0.75">
      <c r="E516">
        <v>511</v>
      </c>
      <c r="F516">
        <f t="shared" si="422"/>
        <v>100</v>
      </c>
      <c r="G516">
        <f t="shared" ca="1" si="423"/>
        <v>106.89029931771834</v>
      </c>
      <c r="H516">
        <f t="shared" ca="1" si="423"/>
        <v>101.02648719544298</v>
      </c>
      <c r="I516">
        <f t="shared" ca="1" si="423"/>
        <v>107.12334469676389</v>
      </c>
      <c r="J516">
        <f t="shared" ref="J516:P516" ca="1" si="479">I516*EXP(($C$6-0.5*$C$7^2)*$C$12+$C$7*SQRT($C$12)*NORMINV(RAND(),0,1))</f>
        <v>107.35338208565584</v>
      </c>
      <c r="K516">
        <f t="shared" ca="1" si="479"/>
        <v>102.49356324639773</v>
      </c>
      <c r="L516">
        <f t="shared" ca="1" si="479"/>
        <v>99.161784714711587</v>
      </c>
      <c r="M516">
        <f t="shared" ca="1" si="479"/>
        <v>101.12829183728633</v>
      </c>
      <c r="N516">
        <f t="shared" ca="1" si="479"/>
        <v>97.362893359375533</v>
      </c>
      <c r="O516">
        <f t="shared" ca="1" si="479"/>
        <v>100.73825937807145</v>
      </c>
      <c r="P516">
        <f t="shared" ca="1" si="479"/>
        <v>99.984106230362357</v>
      </c>
      <c r="Q516">
        <f t="shared" ca="1" si="424"/>
        <v>107.35338208565584</v>
      </c>
      <c r="R516">
        <f t="shared" ca="1" si="425"/>
        <v>0</v>
      </c>
      <c r="S516">
        <f t="shared" ca="1" si="426"/>
        <v>0</v>
      </c>
    </row>
    <row r="517" spans="5:19" x14ac:dyDescent="0.75">
      <c r="E517">
        <v>512</v>
      </c>
      <c r="F517">
        <f t="shared" si="422"/>
        <v>100</v>
      </c>
      <c r="G517">
        <f t="shared" ca="1" si="423"/>
        <v>94.790569647946583</v>
      </c>
      <c r="H517">
        <f t="shared" ca="1" si="423"/>
        <v>92.450273573710319</v>
      </c>
      <c r="I517">
        <f t="shared" ca="1" si="423"/>
        <v>90.877568266138866</v>
      </c>
      <c r="J517">
        <f t="shared" ref="J517:P517" ca="1" si="480">I517*EXP(($C$6-0.5*$C$7^2)*$C$12+$C$7*SQRT($C$12)*NORMINV(RAND(),0,1))</f>
        <v>86.066873725452496</v>
      </c>
      <c r="K517">
        <f t="shared" ca="1" si="480"/>
        <v>88.937454308137177</v>
      </c>
      <c r="L517">
        <f t="shared" ca="1" si="480"/>
        <v>91.870238432567291</v>
      </c>
      <c r="M517">
        <f t="shared" ca="1" si="480"/>
        <v>82.283056403831182</v>
      </c>
      <c r="N517">
        <f t="shared" ca="1" si="480"/>
        <v>87.142984999333308</v>
      </c>
      <c r="O517">
        <f t="shared" ca="1" si="480"/>
        <v>86.457231662174181</v>
      </c>
      <c r="P517">
        <f t="shared" ca="1" si="480"/>
        <v>84.651861574071575</v>
      </c>
      <c r="Q517">
        <f t="shared" ca="1" si="424"/>
        <v>94.790569647946583</v>
      </c>
      <c r="R517">
        <f t="shared" ca="1" si="425"/>
        <v>0</v>
      </c>
      <c r="S517">
        <f t="shared" ca="1" si="426"/>
        <v>0</v>
      </c>
    </row>
    <row r="518" spans="5:19" x14ac:dyDescent="0.75">
      <c r="E518">
        <v>513</v>
      </c>
      <c r="F518">
        <f t="shared" si="422"/>
        <v>100</v>
      </c>
      <c r="G518">
        <f t="shared" ca="1" si="423"/>
        <v>100.65049379748214</v>
      </c>
      <c r="H518">
        <f t="shared" ca="1" si="423"/>
        <v>106.38543960202308</v>
      </c>
      <c r="I518">
        <f t="shared" ca="1" si="423"/>
        <v>104.93269068469344</v>
      </c>
      <c r="J518">
        <f t="shared" ref="J518:P518" ca="1" si="481">I518*EXP(($C$6-0.5*$C$7^2)*$C$12+$C$7*SQRT($C$12)*NORMINV(RAND(),0,1))</f>
        <v>114.63519308348941</v>
      </c>
      <c r="K518">
        <f t="shared" ca="1" si="481"/>
        <v>111.17475255030483</v>
      </c>
      <c r="L518">
        <f t="shared" ca="1" si="481"/>
        <v>105.68308841838203</v>
      </c>
      <c r="M518">
        <f t="shared" ca="1" si="481"/>
        <v>116.54082585655695</v>
      </c>
      <c r="N518">
        <f t="shared" ca="1" si="481"/>
        <v>120.42672672225341</v>
      </c>
      <c r="O518">
        <f t="shared" ca="1" si="481"/>
        <v>114.01381247970937</v>
      </c>
      <c r="P518">
        <f t="shared" ca="1" si="481"/>
        <v>108.74450708232854</v>
      </c>
      <c r="Q518">
        <f t="shared" ca="1" si="424"/>
        <v>120.42672672225341</v>
      </c>
      <c r="R518">
        <f t="shared" ca="1" si="425"/>
        <v>0</v>
      </c>
      <c r="S518">
        <f t="shared" ca="1" si="426"/>
        <v>0</v>
      </c>
    </row>
    <row r="519" spans="5:19" x14ac:dyDescent="0.75">
      <c r="E519">
        <v>514</v>
      </c>
      <c r="F519">
        <f t="shared" ref="F519:F582" si="482">$C$5</f>
        <v>100</v>
      </c>
      <c r="G519">
        <f t="shared" ref="G519:P582" ca="1" si="483">F519*EXP(($C$6-0.5*$C$7^2)*$C$12+$C$7*SQRT($C$12)*NORMINV(RAND(),0,1))</f>
        <v>99.629746581158457</v>
      </c>
      <c r="H519">
        <f t="shared" ca="1" si="483"/>
        <v>102.67528187171997</v>
      </c>
      <c r="I519">
        <f t="shared" ca="1" si="483"/>
        <v>109.79047943978466</v>
      </c>
      <c r="J519">
        <f t="shared" ca="1" si="483"/>
        <v>103.19720682148861</v>
      </c>
      <c r="K519">
        <f t="shared" ca="1" si="483"/>
        <v>96.465419580640457</v>
      </c>
      <c r="L519">
        <f t="shared" ca="1" si="483"/>
        <v>93.788260847671964</v>
      </c>
      <c r="M519">
        <f t="shared" ca="1" si="483"/>
        <v>90.502091967954144</v>
      </c>
      <c r="N519">
        <f t="shared" ca="1" si="483"/>
        <v>94.585680237234214</v>
      </c>
      <c r="O519">
        <f t="shared" ca="1" si="483"/>
        <v>96.868175331471235</v>
      </c>
      <c r="P519">
        <f t="shared" ca="1" si="483"/>
        <v>102.78010879690629</v>
      </c>
      <c r="Q519">
        <f t="shared" ref="Q519:Q582" ca="1" si="484">MAX(G519:P519)</f>
        <v>109.79047943978466</v>
      </c>
      <c r="R519">
        <f t="shared" ref="R519:R582" ca="1" si="485">IF(Q519&gt;=$C$13,0, MAX(P519-$C$9,0))</f>
        <v>0.78010879690629054</v>
      </c>
      <c r="S519">
        <f t="shared" ref="S519:S582" ca="1" si="486">EXP(-$C$6*$C$8)*R519</f>
        <v>0.76084784208320266</v>
      </c>
    </row>
    <row r="520" spans="5:19" x14ac:dyDescent="0.75">
      <c r="E520">
        <v>515</v>
      </c>
      <c r="F520">
        <f t="shared" si="482"/>
        <v>100</v>
      </c>
      <c r="G520">
        <f t="shared" ca="1" si="483"/>
        <v>96.096418929690401</v>
      </c>
      <c r="H520">
        <f t="shared" ca="1" si="483"/>
        <v>95.716500861869108</v>
      </c>
      <c r="I520">
        <f t="shared" ca="1" si="483"/>
        <v>97.155569718408131</v>
      </c>
      <c r="J520">
        <f t="shared" ca="1" si="483"/>
        <v>90.463875743363005</v>
      </c>
      <c r="K520">
        <f t="shared" ca="1" si="483"/>
        <v>88.34940613410518</v>
      </c>
      <c r="L520">
        <f t="shared" ca="1" si="483"/>
        <v>81.010256103146901</v>
      </c>
      <c r="M520">
        <f t="shared" ca="1" si="483"/>
        <v>78.768255468345416</v>
      </c>
      <c r="N520">
        <f t="shared" ca="1" si="483"/>
        <v>83.899893904773904</v>
      </c>
      <c r="O520">
        <f t="shared" ca="1" si="483"/>
        <v>84.113217367255018</v>
      </c>
      <c r="P520">
        <f t="shared" ca="1" si="483"/>
        <v>84.213064985882284</v>
      </c>
      <c r="Q520">
        <f t="shared" ca="1" si="484"/>
        <v>97.155569718408131</v>
      </c>
      <c r="R520">
        <f t="shared" ca="1" si="485"/>
        <v>0</v>
      </c>
      <c r="S520">
        <f t="shared" ca="1" si="486"/>
        <v>0</v>
      </c>
    </row>
    <row r="521" spans="5:19" x14ac:dyDescent="0.75">
      <c r="E521">
        <v>516</v>
      </c>
      <c r="F521">
        <f t="shared" si="482"/>
        <v>100</v>
      </c>
      <c r="G521">
        <f t="shared" ca="1" si="483"/>
        <v>105.5827557717751</v>
      </c>
      <c r="H521">
        <f t="shared" ca="1" si="483"/>
        <v>102.72179414726031</v>
      </c>
      <c r="I521">
        <f t="shared" ca="1" si="483"/>
        <v>102.81876035614388</v>
      </c>
      <c r="J521">
        <f t="shared" ca="1" si="483"/>
        <v>113.40886365325764</v>
      </c>
      <c r="K521">
        <f t="shared" ca="1" si="483"/>
        <v>119.78023672774712</v>
      </c>
      <c r="L521">
        <f t="shared" ca="1" si="483"/>
        <v>123.01120382712267</v>
      </c>
      <c r="M521">
        <f t="shared" ca="1" si="483"/>
        <v>125.8391733849503</v>
      </c>
      <c r="N521">
        <f t="shared" ca="1" si="483"/>
        <v>122.54348138780158</v>
      </c>
      <c r="O521">
        <f t="shared" ca="1" si="483"/>
        <v>111.49922249196895</v>
      </c>
      <c r="P521">
        <f t="shared" ca="1" si="483"/>
        <v>106.40016522501811</v>
      </c>
      <c r="Q521">
        <f t="shared" ca="1" si="484"/>
        <v>125.8391733849503</v>
      </c>
      <c r="R521">
        <f t="shared" ca="1" si="485"/>
        <v>0</v>
      </c>
      <c r="S521">
        <f t="shared" ca="1" si="486"/>
        <v>0</v>
      </c>
    </row>
    <row r="522" spans="5:19" x14ac:dyDescent="0.75">
      <c r="E522">
        <v>517</v>
      </c>
      <c r="F522">
        <f t="shared" si="482"/>
        <v>100</v>
      </c>
      <c r="G522">
        <f t="shared" ca="1" si="483"/>
        <v>100.85854316983405</v>
      </c>
      <c r="H522">
        <f t="shared" ca="1" si="483"/>
        <v>100.76700509123972</v>
      </c>
      <c r="I522">
        <f t="shared" ca="1" si="483"/>
        <v>92.048184992695781</v>
      </c>
      <c r="J522">
        <f t="shared" ca="1" si="483"/>
        <v>94.015347389809705</v>
      </c>
      <c r="K522">
        <f t="shared" ca="1" si="483"/>
        <v>95.777060008600586</v>
      </c>
      <c r="L522">
        <f t="shared" ca="1" si="483"/>
        <v>98.360935114787026</v>
      </c>
      <c r="M522">
        <f t="shared" ca="1" si="483"/>
        <v>89.907879770926925</v>
      </c>
      <c r="N522">
        <f t="shared" ca="1" si="483"/>
        <v>91.494253426977366</v>
      </c>
      <c r="O522">
        <f t="shared" ca="1" si="483"/>
        <v>92.573733783036118</v>
      </c>
      <c r="P522">
        <f t="shared" ca="1" si="483"/>
        <v>88.120462951126243</v>
      </c>
      <c r="Q522">
        <f t="shared" ca="1" si="484"/>
        <v>100.85854316983405</v>
      </c>
      <c r="R522">
        <f t="shared" ca="1" si="485"/>
        <v>0</v>
      </c>
      <c r="S522">
        <f t="shared" ca="1" si="486"/>
        <v>0</v>
      </c>
    </row>
    <row r="523" spans="5:19" x14ac:dyDescent="0.75">
      <c r="E523">
        <v>518</v>
      </c>
      <c r="F523">
        <f t="shared" si="482"/>
        <v>100</v>
      </c>
      <c r="G523">
        <f t="shared" ca="1" si="483"/>
        <v>109.96525436814612</v>
      </c>
      <c r="H523">
        <f t="shared" ca="1" si="483"/>
        <v>105.93898981959566</v>
      </c>
      <c r="I523">
        <f t="shared" ca="1" si="483"/>
        <v>102.81684763064226</v>
      </c>
      <c r="J523">
        <f t="shared" ca="1" si="483"/>
        <v>107.38061881185126</v>
      </c>
      <c r="K523">
        <f t="shared" ca="1" si="483"/>
        <v>108.56468834261631</v>
      </c>
      <c r="L523">
        <f t="shared" ca="1" si="483"/>
        <v>112.28143297948637</v>
      </c>
      <c r="M523">
        <f t="shared" ca="1" si="483"/>
        <v>114.40640153561708</v>
      </c>
      <c r="N523">
        <f t="shared" ca="1" si="483"/>
        <v>105.953340922778</v>
      </c>
      <c r="O523">
        <f t="shared" ca="1" si="483"/>
        <v>105.61324740201314</v>
      </c>
      <c r="P523">
        <f t="shared" ca="1" si="483"/>
        <v>111.0409973348544</v>
      </c>
      <c r="Q523">
        <f t="shared" ca="1" si="484"/>
        <v>114.40640153561708</v>
      </c>
      <c r="R523">
        <f t="shared" ca="1" si="485"/>
        <v>0</v>
      </c>
      <c r="S523">
        <f t="shared" ca="1" si="486"/>
        <v>0</v>
      </c>
    </row>
    <row r="524" spans="5:19" x14ac:dyDescent="0.75">
      <c r="E524">
        <v>519</v>
      </c>
      <c r="F524">
        <f t="shared" si="482"/>
        <v>100</v>
      </c>
      <c r="G524">
        <f t="shared" ca="1" si="483"/>
        <v>99.216991908230952</v>
      </c>
      <c r="H524">
        <f t="shared" ca="1" si="483"/>
        <v>100.02721157249917</v>
      </c>
      <c r="I524">
        <f t="shared" ca="1" si="483"/>
        <v>95.209104828948171</v>
      </c>
      <c r="J524">
        <f t="shared" ca="1" si="483"/>
        <v>98.994242222611845</v>
      </c>
      <c r="K524">
        <f t="shared" ca="1" si="483"/>
        <v>96.864004814464693</v>
      </c>
      <c r="L524">
        <f t="shared" ca="1" si="483"/>
        <v>98.600662716894163</v>
      </c>
      <c r="M524">
        <f t="shared" ca="1" si="483"/>
        <v>104.14670080469202</v>
      </c>
      <c r="N524">
        <f t="shared" ca="1" si="483"/>
        <v>105.38355770751468</v>
      </c>
      <c r="O524">
        <f t="shared" ca="1" si="483"/>
        <v>105.92335632312295</v>
      </c>
      <c r="P524">
        <f t="shared" ca="1" si="483"/>
        <v>105.71599148646331</v>
      </c>
      <c r="Q524">
        <f t="shared" ca="1" si="484"/>
        <v>105.92335632312295</v>
      </c>
      <c r="R524">
        <f t="shared" ca="1" si="485"/>
        <v>3.7159914864633095</v>
      </c>
      <c r="S524">
        <f t="shared" ca="1" si="486"/>
        <v>3.6242433297605632</v>
      </c>
    </row>
    <row r="525" spans="5:19" x14ac:dyDescent="0.75">
      <c r="E525">
        <v>520</v>
      </c>
      <c r="F525">
        <f t="shared" si="482"/>
        <v>100</v>
      </c>
      <c r="G525">
        <f t="shared" ca="1" si="483"/>
        <v>105.65487371968425</v>
      </c>
      <c r="H525">
        <f t="shared" ca="1" si="483"/>
        <v>106.34541914914504</v>
      </c>
      <c r="I525">
        <f t="shared" ca="1" si="483"/>
        <v>111.58239301735446</v>
      </c>
      <c r="J525">
        <f t="shared" ca="1" si="483"/>
        <v>117.56927172985279</v>
      </c>
      <c r="K525">
        <f t="shared" ca="1" si="483"/>
        <v>118.57792959499152</v>
      </c>
      <c r="L525">
        <f t="shared" ca="1" si="483"/>
        <v>121.47564477155798</v>
      </c>
      <c r="M525">
        <f t="shared" ca="1" si="483"/>
        <v>125.2661499801048</v>
      </c>
      <c r="N525">
        <f t="shared" ca="1" si="483"/>
        <v>121.30727623411615</v>
      </c>
      <c r="O525">
        <f t="shared" ca="1" si="483"/>
        <v>125.03155720060212</v>
      </c>
      <c r="P525">
        <f t="shared" ca="1" si="483"/>
        <v>123.91539886259805</v>
      </c>
      <c r="Q525">
        <f t="shared" ca="1" si="484"/>
        <v>125.2661499801048</v>
      </c>
      <c r="R525">
        <f t="shared" ca="1" si="485"/>
        <v>0</v>
      </c>
      <c r="S525">
        <f t="shared" ca="1" si="486"/>
        <v>0</v>
      </c>
    </row>
    <row r="526" spans="5:19" x14ac:dyDescent="0.75">
      <c r="E526">
        <v>521</v>
      </c>
      <c r="F526">
        <f t="shared" si="482"/>
        <v>100</v>
      </c>
      <c r="G526">
        <f t="shared" ca="1" si="483"/>
        <v>100.67230032456661</v>
      </c>
      <c r="H526">
        <f t="shared" ca="1" si="483"/>
        <v>100.4423473766884</v>
      </c>
      <c r="I526">
        <f t="shared" ca="1" si="483"/>
        <v>102.19062722529257</v>
      </c>
      <c r="J526">
        <f t="shared" ca="1" si="483"/>
        <v>102.54057646387366</v>
      </c>
      <c r="K526">
        <f t="shared" ca="1" si="483"/>
        <v>99.89518034389549</v>
      </c>
      <c r="L526">
        <f t="shared" ca="1" si="483"/>
        <v>101.89199966115288</v>
      </c>
      <c r="M526">
        <f t="shared" ca="1" si="483"/>
        <v>104.22560968607455</v>
      </c>
      <c r="N526">
        <f t="shared" ca="1" si="483"/>
        <v>106.68076692495418</v>
      </c>
      <c r="O526">
        <f t="shared" ca="1" si="483"/>
        <v>112.04089381513124</v>
      </c>
      <c r="P526">
        <f t="shared" ca="1" si="483"/>
        <v>110.91155709765999</v>
      </c>
      <c r="Q526">
        <f t="shared" ca="1" si="484"/>
        <v>112.04089381513124</v>
      </c>
      <c r="R526">
        <f t="shared" ca="1" si="485"/>
        <v>0</v>
      </c>
      <c r="S526">
        <f t="shared" ca="1" si="486"/>
        <v>0</v>
      </c>
    </row>
    <row r="527" spans="5:19" x14ac:dyDescent="0.75">
      <c r="E527">
        <v>522</v>
      </c>
      <c r="F527">
        <f t="shared" si="482"/>
        <v>100</v>
      </c>
      <c r="G527">
        <f t="shared" ca="1" si="483"/>
        <v>98.111710662669182</v>
      </c>
      <c r="H527">
        <f t="shared" ca="1" si="483"/>
        <v>101.57627378075951</v>
      </c>
      <c r="I527">
        <f t="shared" ca="1" si="483"/>
        <v>100.48349550187754</v>
      </c>
      <c r="J527">
        <f t="shared" ca="1" si="483"/>
        <v>95.371385814547239</v>
      </c>
      <c r="K527">
        <f t="shared" ca="1" si="483"/>
        <v>96.09732732730852</v>
      </c>
      <c r="L527">
        <f t="shared" ca="1" si="483"/>
        <v>107.3314636254828</v>
      </c>
      <c r="M527">
        <f t="shared" ca="1" si="483"/>
        <v>96.092401614522331</v>
      </c>
      <c r="N527">
        <f t="shared" ca="1" si="483"/>
        <v>98.903834896939301</v>
      </c>
      <c r="O527">
        <f t="shared" ca="1" si="483"/>
        <v>95.050519625111221</v>
      </c>
      <c r="P527">
        <f t="shared" ca="1" si="483"/>
        <v>95.407662941882691</v>
      </c>
      <c r="Q527">
        <f t="shared" ca="1" si="484"/>
        <v>107.3314636254828</v>
      </c>
      <c r="R527">
        <f t="shared" ca="1" si="485"/>
        <v>0</v>
      </c>
      <c r="S527">
        <f t="shared" ca="1" si="486"/>
        <v>0</v>
      </c>
    </row>
    <row r="528" spans="5:19" x14ac:dyDescent="0.75">
      <c r="E528">
        <v>523</v>
      </c>
      <c r="F528">
        <f t="shared" si="482"/>
        <v>100</v>
      </c>
      <c r="G528">
        <f t="shared" ca="1" si="483"/>
        <v>99.816914284403836</v>
      </c>
      <c r="H528">
        <f t="shared" ca="1" si="483"/>
        <v>105.68829159929143</v>
      </c>
      <c r="I528">
        <f t="shared" ca="1" si="483"/>
        <v>111.24566082640314</v>
      </c>
      <c r="J528">
        <f t="shared" ref="J528:P528" ca="1" si="487">I528*EXP(($C$6-0.5*$C$7^2)*$C$12+$C$7*SQRT($C$12)*NORMINV(RAND(),0,1))</f>
        <v>116.03331228267695</v>
      </c>
      <c r="K528">
        <f t="shared" ca="1" si="487"/>
        <v>107.190222837845</v>
      </c>
      <c r="L528">
        <f t="shared" ca="1" si="487"/>
        <v>118.07488139418861</v>
      </c>
      <c r="M528">
        <f t="shared" ca="1" si="487"/>
        <v>122.1791432040697</v>
      </c>
      <c r="N528">
        <f t="shared" ca="1" si="487"/>
        <v>122.93610950507288</v>
      </c>
      <c r="O528">
        <f t="shared" ca="1" si="487"/>
        <v>119.20560192933858</v>
      </c>
      <c r="P528">
        <f t="shared" ca="1" si="487"/>
        <v>111.18031560950706</v>
      </c>
      <c r="Q528">
        <f t="shared" ca="1" si="484"/>
        <v>122.93610950507288</v>
      </c>
      <c r="R528">
        <f t="shared" ca="1" si="485"/>
        <v>0</v>
      </c>
      <c r="S528">
        <f t="shared" ca="1" si="486"/>
        <v>0</v>
      </c>
    </row>
    <row r="529" spans="5:19" x14ac:dyDescent="0.75">
      <c r="E529">
        <v>524</v>
      </c>
      <c r="F529">
        <f t="shared" si="482"/>
        <v>100</v>
      </c>
      <c r="G529">
        <f t="shared" ca="1" si="483"/>
        <v>108.44332595714138</v>
      </c>
      <c r="H529">
        <f t="shared" ca="1" si="483"/>
        <v>111.3350018120196</v>
      </c>
      <c r="I529">
        <f t="shared" ca="1" si="483"/>
        <v>113.33149014989385</v>
      </c>
      <c r="J529">
        <f t="shared" ref="J529:P529" ca="1" si="488">I529*EXP(($C$6-0.5*$C$7^2)*$C$12+$C$7*SQRT($C$12)*NORMINV(RAND(),0,1))</f>
        <v>110.91919798085867</v>
      </c>
      <c r="K529">
        <f t="shared" ca="1" si="488"/>
        <v>114.39381816349155</v>
      </c>
      <c r="L529">
        <f t="shared" ca="1" si="488"/>
        <v>112.7934086391318</v>
      </c>
      <c r="M529">
        <f t="shared" ca="1" si="488"/>
        <v>114.61730968289979</v>
      </c>
      <c r="N529">
        <f t="shared" ca="1" si="488"/>
        <v>108.39564816821112</v>
      </c>
      <c r="O529">
        <f t="shared" ca="1" si="488"/>
        <v>105.6260689078849</v>
      </c>
      <c r="P529">
        <f t="shared" ca="1" si="488"/>
        <v>102.57182069977905</v>
      </c>
      <c r="Q529">
        <f t="shared" ca="1" si="484"/>
        <v>114.61730968289979</v>
      </c>
      <c r="R529">
        <f t="shared" ca="1" si="485"/>
        <v>0</v>
      </c>
      <c r="S529">
        <f t="shared" ca="1" si="486"/>
        <v>0</v>
      </c>
    </row>
    <row r="530" spans="5:19" x14ac:dyDescent="0.75">
      <c r="E530">
        <v>525</v>
      </c>
      <c r="F530">
        <f t="shared" si="482"/>
        <v>100</v>
      </c>
      <c r="G530">
        <f t="shared" ca="1" si="483"/>
        <v>98.462771271806417</v>
      </c>
      <c r="H530">
        <f t="shared" ca="1" si="483"/>
        <v>103.61944029301229</v>
      </c>
      <c r="I530">
        <f t="shared" ca="1" si="483"/>
        <v>99.418802356162445</v>
      </c>
      <c r="J530">
        <f t="shared" ref="J530:P530" ca="1" si="489">I530*EXP(($C$6-0.5*$C$7^2)*$C$12+$C$7*SQRT($C$12)*NORMINV(RAND(),0,1))</f>
        <v>88.735287844971481</v>
      </c>
      <c r="K530">
        <f t="shared" ca="1" si="489"/>
        <v>93.874145595220298</v>
      </c>
      <c r="L530">
        <f t="shared" ca="1" si="489"/>
        <v>94.659257405879814</v>
      </c>
      <c r="M530">
        <f t="shared" ca="1" si="489"/>
        <v>88.031713238093943</v>
      </c>
      <c r="N530">
        <f t="shared" ca="1" si="489"/>
        <v>85.848372780250912</v>
      </c>
      <c r="O530">
        <f t="shared" ca="1" si="489"/>
        <v>90.993035563043009</v>
      </c>
      <c r="P530">
        <f t="shared" ca="1" si="489"/>
        <v>91.436019994337997</v>
      </c>
      <c r="Q530">
        <f t="shared" ca="1" si="484"/>
        <v>103.61944029301229</v>
      </c>
      <c r="R530">
        <f t="shared" ca="1" si="485"/>
        <v>0</v>
      </c>
      <c r="S530">
        <f t="shared" ca="1" si="486"/>
        <v>0</v>
      </c>
    </row>
    <row r="531" spans="5:19" x14ac:dyDescent="0.75">
      <c r="E531">
        <v>526</v>
      </c>
      <c r="F531">
        <f t="shared" si="482"/>
        <v>100</v>
      </c>
      <c r="G531">
        <f t="shared" ca="1" si="483"/>
        <v>100.71315327325803</v>
      </c>
      <c r="H531">
        <f t="shared" ca="1" si="483"/>
        <v>101.18039857212123</v>
      </c>
      <c r="I531">
        <f t="shared" ca="1" si="483"/>
        <v>103.50664123383812</v>
      </c>
      <c r="J531">
        <f t="shared" ref="J531:P531" ca="1" si="490">I531*EXP(($C$6-0.5*$C$7^2)*$C$12+$C$7*SQRT($C$12)*NORMINV(RAND(),0,1))</f>
        <v>101.03071148470971</v>
      </c>
      <c r="K531">
        <f t="shared" ca="1" si="490"/>
        <v>100.44144052755733</v>
      </c>
      <c r="L531">
        <f t="shared" ca="1" si="490"/>
        <v>95.466779861264769</v>
      </c>
      <c r="M531">
        <f t="shared" ca="1" si="490"/>
        <v>97.058194481041909</v>
      </c>
      <c r="N531">
        <f t="shared" ca="1" si="490"/>
        <v>97.851483883673495</v>
      </c>
      <c r="O531">
        <f t="shared" ca="1" si="490"/>
        <v>103.24885571742313</v>
      </c>
      <c r="P531">
        <f t="shared" ca="1" si="490"/>
        <v>102.01394940525526</v>
      </c>
      <c r="Q531">
        <f t="shared" ca="1" si="484"/>
        <v>103.50664123383812</v>
      </c>
      <c r="R531">
        <f t="shared" ca="1" si="485"/>
        <v>1.3949405255260672E-2</v>
      </c>
      <c r="S531">
        <f t="shared" ca="1" si="486"/>
        <v>1.3604993212355846E-2</v>
      </c>
    </row>
    <row r="532" spans="5:19" x14ac:dyDescent="0.75">
      <c r="E532">
        <v>527</v>
      </c>
      <c r="F532">
        <f t="shared" si="482"/>
        <v>100</v>
      </c>
      <c r="G532">
        <f t="shared" ca="1" si="483"/>
        <v>101.52572028644875</v>
      </c>
      <c r="H532">
        <f t="shared" ca="1" si="483"/>
        <v>106.32499613540369</v>
      </c>
      <c r="I532">
        <f t="shared" ca="1" si="483"/>
        <v>113.45855298538346</v>
      </c>
      <c r="J532">
        <f t="shared" ref="J532:P532" ca="1" si="491">I532*EXP(($C$6-0.5*$C$7^2)*$C$12+$C$7*SQRT($C$12)*NORMINV(RAND(),0,1))</f>
        <v>115.21491348758883</v>
      </c>
      <c r="K532">
        <f t="shared" ca="1" si="491"/>
        <v>118.0054651759354</v>
      </c>
      <c r="L532">
        <f t="shared" ca="1" si="491"/>
        <v>116.373730742996</v>
      </c>
      <c r="M532">
        <f t="shared" ca="1" si="491"/>
        <v>122.17220530364004</v>
      </c>
      <c r="N532">
        <f t="shared" ca="1" si="491"/>
        <v>130.9814556902648</v>
      </c>
      <c r="O532">
        <f t="shared" ca="1" si="491"/>
        <v>129.28599664010153</v>
      </c>
      <c r="P532">
        <f t="shared" ca="1" si="491"/>
        <v>131.56482356761964</v>
      </c>
      <c r="Q532">
        <f t="shared" ca="1" si="484"/>
        <v>131.56482356761964</v>
      </c>
      <c r="R532">
        <f t="shared" ca="1" si="485"/>
        <v>0</v>
      </c>
      <c r="S532">
        <f t="shared" ca="1" si="486"/>
        <v>0</v>
      </c>
    </row>
    <row r="533" spans="5:19" x14ac:dyDescent="0.75">
      <c r="E533">
        <v>528</v>
      </c>
      <c r="F533">
        <f t="shared" si="482"/>
        <v>100</v>
      </c>
      <c r="G533">
        <f t="shared" ca="1" si="483"/>
        <v>97.05740772936646</v>
      </c>
      <c r="H533">
        <f t="shared" ca="1" si="483"/>
        <v>98.412067190850934</v>
      </c>
      <c r="I533">
        <f t="shared" ca="1" si="483"/>
        <v>95.442241554008532</v>
      </c>
      <c r="J533">
        <f t="shared" ref="J533:P533" ca="1" si="492">I533*EXP(($C$6-0.5*$C$7^2)*$C$12+$C$7*SQRT($C$12)*NORMINV(RAND(),0,1))</f>
        <v>90.364190840035207</v>
      </c>
      <c r="K533">
        <f t="shared" ca="1" si="492"/>
        <v>89.828009689955593</v>
      </c>
      <c r="L533">
        <f t="shared" ca="1" si="492"/>
        <v>101.64933357651167</v>
      </c>
      <c r="M533">
        <f t="shared" ca="1" si="492"/>
        <v>99.096941101780686</v>
      </c>
      <c r="N533">
        <f t="shared" ca="1" si="492"/>
        <v>99.390245086730758</v>
      </c>
      <c r="O533">
        <f t="shared" ca="1" si="492"/>
        <v>99.809050167024438</v>
      </c>
      <c r="P533">
        <f t="shared" ca="1" si="492"/>
        <v>99.001569492629329</v>
      </c>
      <c r="Q533">
        <f t="shared" ca="1" si="484"/>
        <v>101.64933357651167</v>
      </c>
      <c r="R533">
        <f t="shared" ca="1" si="485"/>
        <v>0</v>
      </c>
      <c r="S533">
        <f t="shared" ca="1" si="486"/>
        <v>0</v>
      </c>
    </row>
    <row r="534" spans="5:19" x14ac:dyDescent="0.75">
      <c r="E534">
        <v>529</v>
      </c>
      <c r="F534">
        <f t="shared" si="482"/>
        <v>100</v>
      </c>
      <c r="G534">
        <f t="shared" ca="1" si="483"/>
        <v>100.80251251728325</v>
      </c>
      <c r="H534">
        <f t="shared" ca="1" si="483"/>
        <v>97.334451540879684</v>
      </c>
      <c r="I534">
        <f t="shared" ca="1" si="483"/>
        <v>96.153325654794301</v>
      </c>
      <c r="J534">
        <f t="shared" ref="J534:P534" ca="1" si="493">I534*EXP(($C$6-0.5*$C$7^2)*$C$12+$C$7*SQRT($C$12)*NORMINV(RAND(),0,1))</f>
        <v>93.369205910253498</v>
      </c>
      <c r="K534">
        <f t="shared" ca="1" si="493"/>
        <v>92.311461935553865</v>
      </c>
      <c r="L534">
        <f t="shared" ca="1" si="493"/>
        <v>95.824635141764148</v>
      </c>
      <c r="M534">
        <f t="shared" ca="1" si="493"/>
        <v>87.794405152279211</v>
      </c>
      <c r="N534">
        <f t="shared" ca="1" si="493"/>
        <v>82.927042720782097</v>
      </c>
      <c r="O534">
        <f t="shared" ca="1" si="493"/>
        <v>84.338104734014181</v>
      </c>
      <c r="P534">
        <f t="shared" ca="1" si="493"/>
        <v>82.71627876109271</v>
      </c>
      <c r="Q534">
        <f t="shared" ca="1" si="484"/>
        <v>100.80251251728325</v>
      </c>
      <c r="R534">
        <f t="shared" ca="1" si="485"/>
        <v>0</v>
      </c>
      <c r="S534">
        <f t="shared" ca="1" si="486"/>
        <v>0</v>
      </c>
    </row>
    <row r="535" spans="5:19" x14ac:dyDescent="0.75">
      <c r="E535">
        <v>530</v>
      </c>
      <c r="F535">
        <f t="shared" si="482"/>
        <v>100</v>
      </c>
      <c r="G535">
        <f t="shared" ca="1" si="483"/>
        <v>99.650120174064753</v>
      </c>
      <c r="H535">
        <f t="shared" ca="1" si="483"/>
        <v>93.730266015592974</v>
      </c>
      <c r="I535">
        <f t="shared" ca="1" si="483"/>
        <v>83.277679655271058</v>
      </c>
      <c r="J535">
        <f t="shared" ref="J535:P535" ca="1" si="494">I535*EXP(($C$6-0.5*$C$7^2)*$C$12+$C$7*SQRT($C$12)*NORMINV(RAND(),0,1))</f>
        <v>84.177564577184256</v>
      </c>
      <c r="K535">
        <f t="shared" ca="1" si="494"/>
        <v>79.205729844114529</v>
      </c>
      <c r="L535">
        <f t="shared" ca="1" si="494"/>
        <v>77.94761672975855</v>
      </c>
      <c r="M535">
        <f t="shared" ca="1" si="494"/>
        <v>79.209606384862056</v>
      </c>
      <c r="N535">
        <f t="shared" ca="1" si="494"/>
        <v>80.051607039042892</v>
      </c>
      <c r="O535">
        <f t="shared" ca="1" si="494"/>
        <v>81.560151643976781</v>
      </c>
      <c r="P535">
        <f t="shared" ca="1" si="494"/>
        <v>85.494645432049978</v>
      </c>
      <c r="Q535">
        <f t="shared" ca="1" si="484"/>
        <v>99.650120174064753</v>
      </c>
      <c r="R535">
        <f t="shared" ca="1" si="485"/>
        <v>0</v>
      </c>
      <c r="S535">
        <f t="shared" ca="1" si="486"/>
        <v>0</v>
      </c>
    </row>
    <row r="536" spans="5:19" x14ac:dyDescent="0.75">
      <c r="E536">
        <v>531</v>
      </c>
      <c r="F536">
        <f t="shared" si="482"/>
        <v>100</v>
      </c>
      <c r="G536">
        <f t="shared" ca="1" si="483"/>
        <v>101.84080684750798</v>
      </c>
      <c r="H536">
        <f t="shared" ca="1" si="483"/>
        <v>94.956403724892894</v>
      </c>
      <c r="I536">
        <f t="shared" ca="1" si="483"/>
        <v>90.601795018010179</v>
      </c>
      <c r="J536">
        <f t="shared" ref="J536:P536" ca="1" si="495">I536*EXP(($C$6-0.5*$C$7^2)*$C$12+$C$7*SQRT($C$12)*NORMINV(RAND(),0,1))</f>
        <v>88.34973309472457</v>
      </c>
      <c r="K536">
        <f t="shared" ca="1" si="495"/>
        <v>88.604076255551661</v>
      </c>
      <c r="L536">
        <f t="shared" ca="1" si="495"/>
        <v>88.444105720514642</v>
      </c>
      <c r="M536">
        <f t="shared" ca="1" si="495"/>
        <v>94.198185031640207</v>
      </c>
      <c r="N536">
        <f t="shared" ca="1" si="495"/>
        <v>93.755730097069417</v>
      </c>
      <c r="O536">
        <f t="shared" ca="1" si="495"/>
        <v>97.860681562980574</v>
      </c>
      <c r="P536">
        <f t="shared" ca="1" si="495"/>
        <v>96.366849435894849</v>
      </c>
      <c r="Q536">
        <f t="shared" ca="1" si="484"/>
        <v>101.84080684750798</v>
      </c>
      <c r="R536">
        <f t="shared" ca="1" si="485"/>
        <v>0</v>
      </c>
      <c r="S536">
        <f t="shared" ca="1" si="486"/>
        <v>0</v>
      </c>
    </row>
    <row r="537" spans="5:19" x14ac:dyDescent="0.75">
      <c r="E537">
        <v>532</v>
      </c>
      <c r="F537">
        <f t="shared" si="482"/>
        <v>100</v>
      </c>
      <c r="G537">
        <f t="shared" ca="1" si="483"/>
        <v>100.79025488963667</v>
      </c>
      <c r="H537">
        <f t="shared" ca="1" si="483"/>
        <v>101.70270972102159</v>
      </c>
      <c r="I537">
        <f t="shared" ca="1" si="483"/>
        <v>101.71843671938005</v>
      </c>
      <c r="J537">
        <f t="shared" ref="J537:P537" ca="1" si="496">I537*EXP(($C$6-0.5*$C$7^2)*$C$12+$C$7*SQRT($C$12)*NORMINV(RAND(),0,1))</f>
        <v>101.5231421503791</v>
      </c>
      <c r="K537">
        <f t="shared" ca="1" si="496"/>
        <v>103.64648888879803</v>
      </c>
      <c r="L537">
        <f t="shared" ca="1" si="496"/>
        <v>103.64704880042099</v>
      </c>
      <c r="M537">
        <f t="shared" ca="1" si="496"/>
        <v>100.80038837348569</v>
      </c>
      <c r="N537">
        <f t="shared" ca="1" si="496"/>
        <v>96.757364588401529</v>
      </c>
      <c r="O537">
        <f t="shared" ca="1" si="496"/>
        <v>103.19965941189747</v>
      </c>
      <c r="P537">
        <f t="shared" ca="1" si="496"/>
        <v>93.053579588343922</v>
      </c>
      <c r="Q537">
        <f t="shared" ca="1" si="484"/>
        <v>103.64704880042099</v>
      </c>
      <c r="R537">
        <f t="shared" ca="1" si="485"/>
        <v>0</v>
      </c>
      <c r="S537">
        <f t="shared" ca="1" si="486"/>
        <v>0</v>
      </c>
    </row>
    <row r="538" spans="5:19" x14ac:dyDescent="0.75">
      <c r="E538">
        <v>533</v>
      </c>
      <c r="F538">
        <f t="shared" si="482"/>
        <v>100</v>
      </c>
      <c r="G538">
        <f t="shared" ca="1" si="483"/>
        <v>109.96432395926578</v>
      </c>
      <c r="H538">
        <f t="shared" ca="1" si="483"/>
        <v>118.09272906869487</v>
      </c>
      <c r="I538">
        <f t="shared" ca="1" si="483"/>
        <v>105.30137893116843</v>
      </c>
      <c r="J538">
        <f t="shared" ref="J538:P538" ca="1" si="497">I538*EXP(($C$6-0.5*$C$7^2)*$C$12+$C$7*SQRT($C$12)*NORMINV(RAND(),0,1))</f>
        <v>109.27370568169489</v>
      </c>
      <c r="K538">
        <f t="shared" ca="1" si="497"/>
        <v>113.67056668855435</v>
      </c>
      <c r="L538">
        <f t="shared" ca="1" si="497"/>
        <v>114.49293406529742</v>
      </c>
      <c r="M538">
        <f t="shared" ca="1" si="497"/>
        <v>115.35898154769728</v>
      </c>
      <c r="N538">
        <f t="shared" ca="1" si="497"/>
        <v>118.86999751579361</v>
      </c>
      <c r="O538">
        <f t="shared" ca="1" si="497"/>
        <v>122.681640538907</v>
      </c>
      <c r="P538">
        <f t="shared" ca="1" si="497"/>
        <v>118.61461829452898</v>
      </c>
      <c r="Q538">
        <f t="shared" ca="1" si="484"/>
        <v>122.681640538907</v>
      </c>
      <c r="R538">
        <f t="shared" ca="1" si="485"/>
        <v>0</v>
      </c>
      <c r="S538">
        <f t="shared" ca="1" si="486"/>
        <v>0</v>
      </c>
    </row>
    <row r="539" spans="5:19" x14ac:dyDescent="0.75">
      <c r="E539">
        <v>534</v>
      </c>
      <c r="F539">
        <f t="shared" si="482"/>
        <v>100</v>
      </c>
      <c r="G539">
        <f t="shared" ca="1" si="483"/>
        <v>101.88129757653766</v>
      </c>
      <c r="H539">
        <f t="shared" ca="1" si="483"/>
        <v>103.63819599583782</v>
      </c>
      <c r="I539">
        <f t="shared" ca="1" si="483"/>
        <v>107.9477941036743</v>
      </c>
      <c r="J539">
        <f t="shared" ref="J539:P539" ca="1" si="498">I539*EXP(($C$6-0.5*$C$7^2)*$C$12+$C$7*SQRT($C$12)*NORMINV(RAND(),0,1))</f>
        <v>111.99913826652099</v>
      </c>
      <c r="K539">
        <f t="shared" ca="1" si="498"/>
        <v>111.03177076326442</v>
      </c>
      <c r="L539">
        <f t="shared" ca="1" si="498"/>
        <v>115.53444780244416</v>
      </c>
      <c r="M539">
        <f t="shared" ca="1" si="498"/>
        <v>113.1754050402194</v>
      </c>
      <c r="N539">
        <f t="shared" ca="1" si="498"/>
        <v>112.42395958698648</v>
      </c>
      <c r="O539">
        <f t="shared" ca="1" si="498"/>
        <v>116.4057776140405</v>
      </c>
      <c r="P539">
        <f t="shared" ca="1" si="498"/>
        <v>122.09250203694617</v>
      </c>
      <c r="Q539">
        <f t="shared" ca="1" si="484"/>
        <v>122.09250203694617</v>
      </c>
      <c r="R539">
        <f t="shared" ca="1" si="485"/>
        <v>0</v>
      </c>
      <c r="S539">
        <f t="shared" ca="1" si="486"/>
        <v>0</v>
      </c>
    </row>
    <row r="540" spans="5:19" x14ac:dyDescent="0.75">
      <c r="E540">
        <v>535</v>
      </c>
      <c r="F540">
        <f t="shared" si="482"/>
        <v>100</v>
      </c>
      <c r="G540">
        <f t="shared" ca="1" si="483"/>
        <v>92.289988262083938</v>
      </c>
      <c r="H540">
        <f t="shared" ca="1" si="483"/>
        <v>94.330615488405613</v>
      </c>
      <c r="I540">
        <f t="shared" ca="1" si="483"/>
        <v>92.880640625520897</v>
      </c>
      <c r="J540">
        <f t="shared" ref="J540:P540" ca="1" si="499">I540*EXP(($C$6-0.5*$C$7^2)*$C$12+$C$7*SQRT($C$12)*NORMINV(RAND(),0,1))</f>
        <v>95.291082920937512</v>
      </c>
      <c r="K540">
        <f t="shared" ca="1" si="499"/>
        <v>98.931127303517471</v>
      </c>
      <c r="L540">
        <f t="shared" ca="1" si="499"/>
        <v>95.229013565543084</v>
      </c>
      <c r="M540">
        <f t="shared" ca="1" si="499"/>
        <v>94.750977437571848</v>
      </c>
      <c r="N540">
        <f t="shared" ca="1" si="499"/>
        <v>93.853170904536597</v>
      </c>
      <c r="O540">
        <f t="shared" ca="1" si="499"/>
        <v>94.905407499944886</v>
      </c>
      <c r="P540">
        <f t="shared" ca="1" si="499"/>
        <v>88.146655926231446</v>
      </c>
      <c r="Q540">
        <f t="shared" ca="1" si="484"/>
        <v>98.931127303517471</v>
      </c>
      <c r="R540">
        <f t="shared" ca="1" si="485"/>
        <v>0</v>
      </c>
      <c r="S540">
        <f t="shared" ca="1" si="486"/>
        <v>0</v>
      </c>
    </row>
    <row r="541" spans="5:19" x14ac:dyDescent="0.75">
      <c r="E541">
        <v>536</v>
      </c>
      <c r="F541">
        <f t="shared" si="482"/>
        <v>100</v>
      </c>
      <c r="G541">
        <f t="shared" ca="1" si="483"/>
        <v>97.336983329343937</v>
      </c>
      <c r="H541">
        <f t="shared" ca="1" si="483"/>
        <v>94.441535200454496</v>
      </c>
      <c r="I541">
        <f t="shared" ca="1" si="483"/>
        <v>93.139187448977651</v>
      </c>
      <c r="J541">
        <f t="shared" ref="J541:P541" ca="1" si="500">I541*EXP(($C$6-0.5*$C$7^2)*$C$12+$C$7*SQRT($C$12)*NORMINV(RAND(),0,1))</f>
        <v>96.901442092342364</v>
      </c>
      <c r="K541">
        <f t="shared" ca="1" si="500"/>
        <v>98.273890573597498</v>
      </c>
      <c r="L541">
        <f t="shared" ca="1" si="500"/>
        <v>99.477534709549857</v>
      </c>
      <c r="M541">
        <f t="shared" ca="1" si="500"/>
        <v>100.6860252015325</v>
      </c>
      <c r="N541">
        <f t="shared" ca="1" si="500"/>
        <v>107.97430973448829</v>
      </c>
      <c r="O541">
        <f t="shared" ca="1" si="500"/>
        <v>113.07473169614377</v>
      </c>
      <c r="P541">
        <f t="shared" ca="1" si="500"/>
        <v>113.45130244564528</v>
      </c>
      <c r="Q541">
        <f t="shared" ca="1" si="484"/>
        <v>113.45130244564528</v>
      </c>
      <c r="R541">
        <f t="shared" ca="1" si="485"/>
        <v>0</v>
      </c>
      <c r="S541">
        <f t="shared" ca="1" si="486"/>
        <v>0</v>
      </c>
    </row>
    <row r="542" spans="5:19" x14ac:dyDescent="0.75">
      <c r="E542">
        <v>537</v>
      </c>
      <c r="F542">
        <f t="shared" si="482"/>
        <v>100</v>
      </c>
      <c r="G542">
        <f t="shared" ca="1" si="483"/>
        <v>106.20880640333263</v>
      </c>
      <c r="H542">
        <f t="shared" ca="1" si="483"/>
        <v>110.67077788086149</v>
      </c>
      <c r="I542">
        <f t="shared" ca="1" si="483"/>
        <v>112.43897756224941</v>
      </c>
      <c r="J542">
        <f t="shared" ref="J542:P542" ca="1" si="501">I542*EXP(($C$6-0.5*$C$7^2)*$C$12+$C$7*SQRT($C$12)*NORMINV(RAND(),0,1))</f>
        <v>114.11608427974058</v>
      </c>
      <c r="K542">
        <f t="shared" ca="1" si="501"/>
        <v>119.68990870849656</v>
      </c>
      <c r="L542">
        <f t="shared" ca="1" si="501"/>
        <v>131.08884901052238</v>
      </c>
      <c r="M542">
        <f t="shared" ca="1" si="501"/>
        <v>132.56530419175334</v>
      </c>
      <c r="N542">
        <f t="shared" ca="1" si="501"/>
        <v>128.59394059266131</v>
      </c>
      <c r="O542">
        <f t="shared" ca="1" si="501"/>
        <v>134.42521651253637</v>
      </c>
      <c r="P542">
        <f t="shared" ca="1" si="501"/>
        <v>131.78383074798154</v>
      </c>
      <c r="Q542">
        <f t="shared" ca="1" si="484"/>
        <v>134.42521651253637</v>
      </c>
      <c r="R542">
        <f t="shared" ca="1" si="485"/>
        <v>0</v>
      </c>
      <c r="S542">
        <f t="shared" ca="1" si="486"/>
        <v>0</v>
      </c>
    </row>
    <row r="543" spans="5:19" x14ac:dyDescent="0.75">
      <c r="E543">
        <v>538</v>
      </c>
      <c r="F543">
        <f t="shared" si="482"/>
        <v>100</v>
      </c>
      <c r="G543">
        <f t="shared" ca="1" si="483"/>
        <v>99.905476776554906</v>
      </c>
      <c r="H543">
        <f t="shared" ca="1" si="483"/>
        <v>99.052289012529982</v>
      </c>
      <c r="I543">
        <f t="shared" ca="1" si="483"/>
        <v>93.664110364934416</v>
      </c>
      <c r="J543">
        <f t="shared" ref="J543:P543" ca="1" si="502">I543*EXP(($C$6-0.5*$C$7^2)*$C$12+$C$7*SQRT($C$12)*NORMINV(RAND(),0,1))</f>
        <v>100.49176377508527</v>
      </c>
      <c r="K543">
        <f t="shared" ca="1" si="502"/>
        <v>94.855365028707439</v>
      </c>
      <c r="L543">
        <f t="shared" ca="1" si="502"/>
        <v>93.606556769512395</v>
      </c>
      <c r="M543">
        <f t="shared" ca="1" si="502"/>
        <v>97.148724318080966</v>
      </c>
      <c r="N543">
        <f t="shared" ca="1" si="502"/>
        <v>102.47634972339952</v>
      </c>
      <c r="O543">
        <f t="shared" ca="1" si="502"/>
        <v>107.42008530402332</v>
      </c>
      <c r="P543">
        <f t="shared" ca="1" si="502"/>
        <v>115.36549216125037</v>
      </c>
      <c r="Q543">
        <f t="shared" ca="1" si="484"/>
        <v>115.36549216125037</v>
      </c>
      <c r="R543">
        <f t="shared" ca="1" si="485"/>
        <v>0</v>
      </c>
      <c r="S543">
        <f t="shared" ca="1" si="486"/>
        <v>0</v>
      </c>
    </row>
    <row r="544" spans="5:19" x14ac:dyDescent="0.75">
      <c r="E544">
        <v>539</v>
      </c>
      <c r="F544">
        <f t="shared" si="482"/>
        <v>100</v>
      </c>
      <c r="G544">
        <f t="shared" ca="1" si="483"/>
        <v>100.03513789696727</v>
      </c>
      <c r="H544">
        <f t="shared" ca="1" si="483"/>
        <v>98.47957201544331</v>
      </c>
      <c r="I544">
        <f t="shared" ca="1" si="483"/>
        <v>104.47255482276867</v>
      </c>
      <c r="J544">
        <f t="shared" ref="J544:P544" ca="1" si="503">I544*EXP(($C$6-0.5*$C$7^2)*$C$12+$C$7*SQRT($C$12)*NORMINV(RAND(),0,1))</f>
        <v>96.780550402247499</v>
      </c>
      <c r="K544">
        <f t="shared" ca="1" si="503"/>
        <v>91.68048254764436</v>
      </c>
      <c r="L544">
        <f t="shared" ca="1" si="503"/>
        <v>90.180743453004396</v>
      </c>
      <c r="M544">
        <f t="shared" ca="1" si="503"/>
        <v>93.218928632078473</v>
      </c>
      <c r="N544">
        <f t="shared" ca="1" si="503"/>
        <v>89.327543239518633</v>
      </c>
      <c r="O544">
        <f t="shared" ca="1" si="503"/>
        <v>91.227706620637278</v>
      </c>
      <c r="P544">
        <f t="shared" ca="1" si="503"/>
        <v>87.792937791727965</v>
      </c>
      <c r="Q544">
        <f t="shared" ca="1" si="484"/>
        <v>104.47255482276867</v>
      </c>
      <c r="R544">
        <f t="shared" ca="1" si="485"/>
        <v>0</v>
      </c>
      <c r="S544">
        <f t="shared" ca="1" si="486"/>
        <v>0</v>
      </c>
    </row>
    <row r="545" spans="5:19" x14ac:dyDescent="0.75">
      <c r="E545">
        <v>540</v>
      </c>
      <c r="F545">
        <f t="shared" si="482"/>
        <v>100</v>
      </c>
      <c r="G545">
        <f t="shared" ca="1" si="483"/>
        <v>99.145899992899615</v>
      </c>
      <c r="H545">
        <f t="shared" ca="1" si="483"/>
        <v>95.9258547677465</v>
      </c>
      <c r="I545">
        <f t="shared" ca="1" si="483"/>
        <v>99.213373546111143</v>
      </c>
      <c r="J545">
        <f t="shared" ref="J545:P545" ca="1" si="504">I545*EXP(($C$6-0.5*$C$7^2)*$C$12+$C$7*SQRT($C$12)*NORMINV(RAND(),0,1))</f>
        <v>110.18668243937442</v>
      </c>
      <c r="K545">
        <f t="shared" ca="1" si="504"/>
        <v>106.66269883028527</v>
      </c>
      <c r="L545">
        <f t="shared" ca="1" si="504"/>
        <v>103.332303737823</v>
      </c>
      <c r="M545">
        <f t="shared" ca="1" si="504"/>
        <v>102.08915051012013</v>
      </c>
      <c r="N545">
        <f t="shared" ca="1" si="504"/>
        <v>105.9245703827942</v>
      </c>
      <c r="O545">
        <f t="shared" ca="1" si="504"/>
        <v>115.47801517711453</v>
      </c>
      <c r="P545">
        <f t="shared" ca="1" si="504"/>
        <v>119.09422407216432</v>
      </c>
      <c r="Q545">
        <f t="shared" ca="1" si="484"/>
        <v>119.09422407216432</v>
      </c>
      <c r="R545">
        <f t="shared" ca="1" si="485"/>
        <v>0</v>
      </c>
      <c r="S545">
        <f t="shared" ca="1" si="486"/>
        <v>0</v>
      </c>
    </row>
    <row r="546" spans="5:19" x14ac:dyDescent="0.75">
      <c r="E546">
        <v>541</v>
      </c>
      <c r="F546">
        <f t="shared" si="482"/>
        <v>100</v>
      </c>
      <c r="G546">
        <f t="shared" ca="1" si="483"/>
        <v>98.122181406665888</v>
      </c>
      <c r="H546">
        <f t="shared" ca="1" si="483"/>
        <v>94.574697726473858</v>
      </c>
      <c r="I546">
        <f t="shared" ca="1" si="483"/>
        <v>91.696454432602863</v>
      </c>
      <c r="J546">
        <f t="shared" ref="J546:P546" ca="1" si="505">I546*EXP(($C$6-0.5*$C$7^2)*$C$12+$C$7*SQRT($C$12)*NORMINV(RAND(),0,1))</f>
        <v>90.54647193170544</v>
      </c>
      <c r="K546">
        <f t="shared" ca="1" si="505"/>
        <v>96.765273042423559</v>
      </c>
      <c r="L546">
        <f t="shared" ca="1" si="505"/>
        <v>105.43373314606744</v>
      </c>
      <c r="M546">
        <f t="shared" ca="1" si="505"/>
        <v>107.71352638510484</v>
      </c>
      <c r="N546">
        <f t="shared" ca="1" si="505"/>
        <v>109.21939746232322</v>
      </c>
      <c r="O546">
        <f t="shared" ca="1" si="505"/>
        <v>108.55044284079442</v>
      </c>
      <c r="P546">
        <f t="shared" ca="1" si="505"/>
        <v>107.26313808513639</v>
      </c>
      <c r="Q546">
        <f t="shared" ca="1" si="484"/>
        <v>109.21939746232322</v>
      </c>
      <c r="R546">
        <f t="shared" ca="1" si="485"/>
        <v>5.26313808513639</v>
      </c>
      <c r="S546">
        <f t="shared" ca="1" si="486"/>
        <v>5.1331907428073391</v>
      </c>
    </row>
    <row r="547" spans="5:19" x14ac:dyDescent="0.75">
      <c r="E547">
        <v>542</v>
      </c>
      <c r="F547">
        <f t="shared" si="482"/>
        <v>100</v>
      </c>
      <c r="G547">
        <f t="shared" ca="1" si="483"/>
        <v>107.36967188940278</v>
      </c>
      <c r="H547">
        <f t="shared" ca="1" si="483"/>
        <v>111.23934930111923</v>
      </c>
      <c r="I547">
        <f t="shared" ca="1" si="483"/>
        <v>114.38118263589942</v>
      </c>
      <c r="J547">
        <f t="shared" ref="J547:P547" ca="1" si="506">I547*EXP(($C$6-0.5*$C$7^2)*$C$12+$C$7*SQRT($C$12)*NORMINV(RAND(),0,1))</f>
        <v>115.85672641945973</v>
      </c>
      <c r="K547">
        <f t="shared" ca="1" si="506"/>
        <v>112.22375613010495</v>
      </c>
      <c r="L547">
        <f t="shared" ca="1" si="506"/>
        <v>110.04326612022695</v>
      </c>
      <c r="M547">
        <f t="shared" ca="1" si="506"/>
        <v>116.67688956990307</v>
      </c>
      <c r="N547">
        <f t="shared" ca="1" si="506"/>
        <v>112.83804694553575</v>
      </c>
      <c r="O547">
        <f t="shared" ca="1" si="506"/>
        <v>122.8637731936018</v>
      </c>
      <c r="P547">
        <f t="shared" ca="1" si="506"/>
        <v>127.47507769044334</v>
      </c>
      <c r="Q547">
        <f t="shared" ca="1" si="484"/>
        <v>127.47507769044334</v>
      </c>
      <c r="R547">
        <f t="shared" ca="1" si="485"/>
        <v>0</v>
      </c>
      <c r="S547">
        <f t="shared" ca="1" si="486"/>
        <v>0</v>
      </c>
    </row>
    <row r="548" spans="5:19" x14ac:dyDescent="0.75">
      <c r="E548">
        <v>543</v>
      </c>
      <c r="F548">
        <f t="shared" si="482"/>
        <v>100</v>
      </c>
      <c r="G548">
        <f t="shared" ca="1" si="483"/>
        <v>95.871215687288341</v>
      </c>
      <c r="H548">
        <f t="shared" ca="1" si="483"/>
        <v>105.34499912524329</v>
      </c>
      <c r="I548">
        <f t="shared" ca="1" si="483"/>
        <v>101.92266252443174</v>
      </c>
      <c r="J548">
        <f t="shared" ref="J548:P548" ca="1" si="507">I548*EXP(($C$6-0.5*$C$7^2)*$C$12+$C$7*SQRT($C$12)*NORMINV(RAND(),0,1))</f>
        <v>104.86117092164255</v>
      </c>
      <c r="K548">
        <f t="shared" ca="1" si="507"/>
        <v>109.75052459876767</v>
      </c>
      <c r="L548">
        <f t="shared" ca="1" si="507"/>
        <v>109.73256657800002</v>
      </c>
      <c r="M548">
        <f t="shared" ca="1" si="507"/>
        <v>115.98091526170901</v>
      </c>
      <c r="N548">
        <f t="shared" ca="1" si="507"/>
        <v>119.63452308996759</v>
      </c>
      <c r="O548">
        <f t="shared" ca="1" si="507"/>
        <v>122.45905599663304</v>
      </c>
      <c r="P548">
        <f t="shared" ca="1" si="507"/>
        <v>116.38719601639974</v>
      </c>
      <c r="Q548">
        <f t="shared" ca="1" si="484"/>
        <v>122.45905599663304</v>
      </c>
      <c r="R548">
        <f t="shared" ca="1" si="485"/>
        <v>0</v>
      </c>
      <c r="S548">
        <f t="shared" ca="1" si="486"/>
        <v>0</v>
      </c>
    </row>
    <row r="549" spans="5:19" x14ac:dyDescent="0.75">
      <c r="E549">
        <v>544</v>
      </c>
      <c r="F549">
        <f t="shared" si="482"/>
        <v>100</v>
      </c>
      <c r="G549">
        <f t="shared" ca="1" si="483"/>
        <v>92.994626815970832</v>
      </c>
      <c r="H549">
        <f t="shared" ca="1" si="483"/>
        <v>84.596101323613922</v>
      </c>
      <c r="I549">
        <f t="shared" ca="1" si="483"/>
        <v>83.747049707557153</v>
      </c>
      <c r="J549">
        <f t="shared" ref="J549:P549" ca="1" si="508">I549*EXP(($C$6-0.5*$C$7^2)*$C$12+$C$7*SQRT($C$12)*NORMINV(RAND(),0,1))</f>
        <v>79.849092138922302</v>
      </c>
      <c r="K549">
        <f t="shared" ca="1" si="508"/>
        <v>82.295834395100357</v>
      </c>
      <c r="L549">
        <f t="shared" ca="1" si="508"/>
        <v>78.282489986253722</v>
      </c>
      <c r="M549">
        <f t="shared" ca="1" si="508"/>
        <v>77.550510262335436</v>
      </c>
      <c r="N549">
        <f t="shared" ca="1" si="508"/>
        <v>76.957484245360121</v>
      </c>
      <c r="O549">
        <f t="shared" ca="1" si="508"/>
        <v>77.063661518045123</v>
      </c>
      <c r="P549">
        <f t="shared" ca="1" si="508"/>
        <v>76.795563952696781</v>
      </c>
      <c r="Q549">
        <f t="shared" ca="1" si="484"/>
        <v>92.994626815970832</v>
      </c>
      <c r="R549">
        <f t="shared" ca="1" si="485"/>
        <v>0</v>
      </c>
      <c r="S549">
        <f t="shared" ca="1" si="486"/>
        <v>0</v>
      </c>
    </row>
    <row r="550" spans="5:19" x14ac:dyDescent="0.75">
      <c r="E550">
        <v>545</v>
      </c>
      <c r="F550">
        <f t="shared" si="482"/>
        <v>100</v>
      </c>
      <c r="G550">
        <f t="shared" ca="1" si="483"/>
        <v>99.147948986917982</v>
      </c>
      <c r="H550">
        <f t="shared" ca="1" si="483"/>
        <v>98.62059795596339</v>
      </c>
      <c r="I550">
        <f t="shared" ca="1" si="483"/>
        <v>96.047336693384409</v>
      </c>
      <c r="J550">
        <f t="shared" ref="J550:P550" ca="1" si="509">I550*EXP(($C$6-0.5*$C$7^2)*$C$12+$C$7*SQRT($C$12)*NORMINV(RAND(),0,1))</f>
        <v>98.651059308177366</v>
      </c>
      <c r="K550">
        <f t="shared" ca="1" si="509"/>
        <v>98.462063944169486</v>
      </c>
      <c r="L550">
        <f t="shared" ca="1" si="509"/>
        <v>98.712649730545891</v>
      </c>
      <c r="M550">
        <f t="shared" ca="1" si="509"/>
        <v>97.506301820602545</v>
      </c>
      <c r="N550">
        <f t="shared" ca="1" si="509"/>
        <v>96.409974501878281</v>
      </c>
      <c r="O550">
        <f t="shared" ca="1" si="509"/>
        <v>91.69248735116426</v>
      </c>
      <c r="P550">
        <f t="shared" ca="1" si="509"/>
        <v>99.38926343462866</v>
      </c>
      <c r="Q550">
        <f t="shared" ca="1" si="484"/>
        <v>99.38926343462866</v>
      </c>
      <c r="R550">
        <f t="shared" ca="1" si="485"/>
        <v>0</v>
      </c>
      <c r="S550">
        <f t="shared" ca="1" si="486"/>
        <v>0</v>
      </c>
    </row>
    <row r="551" spans="5:19" x14ac:dyDescent="0.75">
      <c r="E551">
        <v>546</v>
      </c>
      <c r="F551">
        <f t="shared" si="482"/>
        <v>100</v>
      </c>
      <c r="G551">
        <f t="shared" ca="1" si="483"/>
        <v>91.358791040444302</v>
      </c>
      <c r="H551">
        <f t="shared" ca="1" si="483"/>
        <v>95.809238337639641</v>
      </c>
      <c r="I551">
        <f t="shared" ca="1" si="483"/>
        <v>93.817604848429539</v>
      </c>
      <c r="J551">
        <f t="shared" ref="J551:P551" ca="1" si="510">I551*EXP(($C$6-0.5*$C$7^2)*$C$12+$C$7*SQRT($C$12)*NORMINV(RAND(),0,1))</f>
        <v>96.309294238873775</v>
      </c>
      <c r="K551">
        <f t="shared" ca="1" si="510"/>
        <v>98.467037612291904</v>
      </c>
      <c r="L551">
        <f t="shared" ca="1" si="510"/>
        <v>100.94867915831551</v>
      </c>
      <c r="M551">
        <f t="shared" ca="1" si="510"/>
        <v>102.11963374613242</v>
      </c>
      <c r="N551">
        <f t="shared" ca="1" si="510"/>
        <v>102.3202280180796</v>
      </c>
      <c r="O551">
        <f t="shared" ca="1" si="510"/>
        <v>105.3339171290702</v>
      </c>
      <c r="P551">
        <f t="shared" ca="1" si="510"/>
        <v>108.43799332215119</v>
      </c>
      <c r="Q551">
        <f t="shared" ca="1" si="484"/>
        <v>108.43799332215119</v>
      </c>
      <c r="R551">
        <f t="shared" ca="1" si="485"/>
        <v>6.4379933221511862</v>
      </c>
      <c r="S551">
        <f t="shared" ca="1" si="486"/>
        <v>6.2790387006662662</v>
      </c>
    </row>
    <row r="552" spans="5:19" x14ac:dyDescent="0.75">
      <c r="E552">
        <v>547</v>
      </c>
      <c r="F552">
        <f t="shared" si="482"/>
        <v>100</v>
      </c>
      <c r="G552">
        <f t="shared" ca="1" si="483"/>
        <v>89.378403647876354</v>
      </c>
      <c r="H552">
        <f t="shared" ca="1" si="483"/>
        <v>85.714490126403931</v>
      </c>
      <c r="I552">
        <f t="shared" ca="1" si="483"/>
        <v>82.842319318941691</v>
      </c>
      <c r="J552">
        <f t="shared" ref="J552:P552" ca="1" si="511">I552*EXP(($C$6-0.5*$C$7^2)*$C$12+$C$7*SQRT($C$12)*NORMINV(RAND(),0,1))</f>
        <v>80.638150154126947</v>
      </c>
      <c r="K552">
        <f t="shared" ca="1" si="511"/>
        <v>79.948532935554155</v>
      </c>
      <c r="L552">
        <f t="shared" ca="1" si="511"/>
        <v>76.357623062219787</v>
      </c>
      <c r="M552">
        <f t="shared" ca="1" si="511"/>
        <v>74.766855278120701</v>
      </c>
      <c r="N552">
        <f t="shared" ca="1" si="511"/>
        <v>78.78643999923797</v>
      </c>
      <c r="O552">
        <f t="shared" ca="1" si="511"/>
        <v>77.623032995507216</v>
      </c>
      <c r="P552">
        <f t="shared" ca="1" si="511"/>
        <v>76.247253979805024</v>
      </c>
      <c r="Q552">
        <f t="shared" ca="1" si="484"/>
        <v>89.378403647876354</v>
      </c>
      <c r="R552">
        <f t="shared" ca="1" si="485"/>
        <v>0</v>
      </c>
      <c r="S552">
        <f t="shared" ca="1" si="486"/>
        <v>0</v>
      </c>
    </row>
    <row r="553" spans="5:19" x14ac:dyDescent="0.75">
      <c r="E553">
        <v>548</v>
      </c>
      <c r="F553">
        <f t="shared" si="482"/>
        <v>100</v>
      </c>
      <c r="G553">
        <f t="shared" ca="1" si="483"/>
        <v>105.84532409683978</v>
      </c>
      <c r="H553">
        <f t="shared" ca="1" si="483"/>
        <v>111.53267547549059</v>
      </c>
      <c r="I553">
        <f t="shared" ca="1" si="483"/>
        <v>114.00454302070577</v>
      </c>
      <c r="J553">
        <f t="shared" ref="J553:P553" ca="1" si="512">I553*EXP(($C$6-0.5*$C$7^2)*$C$12+$C$7*SQRT($C$12)*NORMINV(RAND(),0,1))</f>
        <v>114.42697679024072</v>
      </c>
      <c r="K553">
        <f t="shared" ca="1" si="512"/>
        <v>119.70112382964703</v>
      </c>
      <c r="L553">
        <f t="shared" ca="1" si="512"/>
        <v>120.55353389572063</v>
      </c>
      <c r="M553">
        <f t="shared" ca="1" si="512"/>
        <v>126.13609620192415</v>
      </c>
      <c r="N553">
        <f t="shared" ca="1" si="512"/>
        <v>118.80550362085629</v>
      </c>
      <c r="O553">
        <f t="shared" ca="1" si="512"/>
        <v>119.7502010679888</v>
      </c>
      <c r="P553">
        <f t="shared" ca="1" si="512"/>
        <v>117.96720327490247</v>
      </c>
      <c r="Q553">
        <f t="shared" ca="1" si="484"/>
        <v>126.13609620192415</v>
      </c>
      <c r="R553">
        <f t="shared" ca="1" si="485"/>
        <v>0</v>
      </c>
      <c r="S553">
        <f t="shared" ca="1" si="486"/>
        <v>0</v>
      </c>
    </row>
    <row r="554" spans="5:19" x14ac:dyDescent="0.75">
      <c r="E554">
        <v>549</v>
      </c>
      <c r="F554">
        <f t="shared" si="482"/>
        <v>100</v>
      </c>
      <c r="G554">
        <f t="shared" ca="1" si="483"/>
        <v>94.32759096607478</v>
      </c>
      <c r="H554">
        <f t="shared" ca="1" si="483"/>
        <v>90.124690690099698</v>
      </c>
      <c r="I554">
        <f t="shared" ca="1" si="483"/>
        <v>90.46572878260082</v>
      </c>
      <c r="J554">
        <f t="shared" ref="J554:P554" ca="1" si="513">I554*EXP(($C$6-0.5*$C$7^2)*$C$12+$C$7*SQRT($C$12)*NORMINV(RAND(),0,1))</f>
        <v>90.089284191854361</v>
      </c>
      <c r="K554">
        <f t="shared" ca="1" si="513"/>
        <v>85.942043868349629</v>
      </c>
      <c r="L554">
        <f t="shared" ca="1" si="513"/>
        <v>87.143555613524015</v>
      </c>
      <c r="M554">
        <f t="shared" ca="1" si="513"/>
        <v>88.522502761881967</v>
      </c>
      <c r="N554">
        <f t="shared" ca="1" si="513"/>
        <v>90.252082796977149</v>
      </c>
      <c r="O554">
        <f t="shared" ca="1" si="513"/>
        <v>95.089060235239131</v>
      </c>
      <c r="P554">
        <f t="shared" ca="1" si="513"/>
        <v>94.166404147492287</v>
      </c>
      <c r="Q554">
        <f t="shared" ca="1" si="484"/>
        <v>95.089060235239131</v>
      </c>
      <c r="R554">
        <f t="shared" ca="1" si="485"/>
        <v>0</v>
      </c>
      <c r="S554">
        <f t="shared" ca="1" si="486"/>
        <v>0</v>
      </c>
    </row>
    <row r="555" spans="5:19" x14ac:dyDescent="0.75">
      <c r="E555">
        <v>550</v>
      </c>
      <c r="F555">
        <f t="shared" si="482"/>
        <v>100</v>
      </c>
      <c r="G555">
        <f t="shared" ca="1" si="483"/>
        <v>93.842862058261986</v>
      </c>
      <c r="H555">
        <f t="shared" ca="1" si="483"/>
        <v>96.308198744558112</v>
      </c>
      <c r="I555">
        <f t="shared" ca="1" si="483"/>
        <v>94.219968417060301</v>
      </c>
      <c r="J555">
        <f t="shared" ref="J555:P555" ca="1" si="514">I555*EXP(($C$6-0.5*$C$7^2)*$C$12+$C$7*SQRT($C$12)*NORMINV(RAND(),0,1))</f>
        <v>86.879289388013063</v>
      </c>
      <c r="K555">
        <f t="shared" ca="1" si="514"/>
        <v>91.212190827174524</v>
      </c>
      <c r="L555">
        <f t="shared" ca="1" si="514"/>
        <v>96.711407075115702</v>
      </c>
      <c r="M555">
        <f t="shared" ca="1" si="514"/>
        <v>101.78277110106875</v>
      </c>
      <c r="N555">
        <f t="shared" ca="1" si="514"/>
        <v>96.322037824672336</v>
      </c>
      <c r="O555">
        <f t="shared" ca="1" si="514"/>
        <v>89.529849132540321</v>
      </c>
      <c r="P555">
        <f t="shared" ca="1" si="514"/>
        <v>89.212291828781744</v>
      </c>
      <c r="Q555">
        <f t="shared" ca="1" si="484"/>
        <v>101.78277110106875</v>
      </c>
      <c r="R555">
        <f t="shared" ca="1" si="485"/>
        <v>0</v>
      </c>
      <c r="S555">
        <f t="shared" ca="1" si="486"/>
        <v>0</v>
      </c>
    </row>
    <row r="556" spans="5:19" x14ac:dyDescent="0.75">
      <c r="E556">
        <v>551</v>
      </c>
      <c r="F556">
        <f t="shared" si="482"/>
        <v>100</v>
      </c>
      <c r="G556">
        <f t="shared" ca="1" si="483"/>
        <v>104.64551048526009</v>
      </c>
      <c r="H556">
        <f t="shared" ca="1" si="483"/>
        <v>105.45355135813264</v>
      </c>
      <c r="I556">
        <f t="shared" ca="1" si="483"/>
        <v>100.6848768737327</v>
      </c>
      <c r="J556">
        <f t="shared" ref="J556:P556" ca="1" si="515">I556*EXP(($C$6-0.5*$C$7^2)*$C$12+$C$7*SQRT($C$12)*NORMINV(RAND(),0,1))</f>
        <v>103.11132021911646</v>
      </c>
      <c r="K556">
        <f t="shared" ca="1" si="515"/>
        <v>97.212788103996033</v>
      </c>
      <c r="L556">
        <f t="shared" ca="1" si="515"/>
        <v>94.521692342471567</v>
      </c>
      <c r="M556">
        <f t="shared" ca="1" si="515"/>
        <v>89.185458359486503</v>
      </c>
      <c r="N556">
        <f t="shared" ca="1" si="515"/>
        <v>91.610406452377461</v>
      </c>
      <c r="O556">
        <f t="shared" ca="1" si="515"/>
        <v>89.273655136268985</v>
      </c>
      <c r="P556">
        <f t="shared" ca="1" si="515"/>
        <v>93.050311519516825</v>
      </c>
      <c r="Q556">
        <f t="shared" ca="1" si="484"/>
        <v>105.45355135813264</v>
      </c>
      <c r="R556">
        <f t="shared" ca="1" si="485"/>
        <v>0</v>
      </c>
      <c r="S556">
        <f t="shared" ca="1" si="486"/>
        <v>0</v>
      </c>
    </row>
    <row r="557" spans="5:19" x14ac:dyDescent="0.75">
      <c r="E557">
        <v>552</v>
      </c>
      <c r="F557">
        <f t="shared" si="482"/>
        <v>100</v>
      </c>
      <c r="G557">
        <f t="shared" ca="1" si="483"/>
        <v>101.17618705439821</v>
      </c>
      <c r="H557">
        <f t="shared" ca="1" si="483"/>
        <v>97.048693209132168</v>
      </c>
      <c r="I557">
        <f t="shared" ca="1" si="483"/>
        <v>95.789884431838274</v>
      </c>
      <c r="J557">
        <f t="shared" ref="J557:P557" ca="1" si="516">I557*EXP(($C$6-0.5*$C$7^2)*$C$12+$C$7*SQRT($C$12)*NORMINV(RAND(),0,1))</f>
        <v>90.483014356320339</v>
      </c>
      <c r="K557">
        <f t="shared" ca="1" si="516"/>
        <v>91.810524205579597</v>
      </c>
      <c r="L557">
        <f t="shared" ca="1" si="516"/>
        <v>89.141251540234038</v>
      </c>
      <c r="M557">
        <f t="shared" ca="1" si="516"/>
        <v>93.524694897603226</v>
      </c>
      <c r="N557">
        <f t="shared" ca="1" si="516"/>
        <v>95.297704341115121</v>
      </c>
      <c r="O557">
        <f t="shared" ca="1" si="516"/>
        <v>96.768395961867284</v>
      </c>
      <c r="P557">
        <f t="shared" ca="1" si="516"/>
        <v>96.732309154619188</v>
      </c>
      <c r="Q557">
        <f t="shared" ca="1" si="484"/>
        <v>101.17618705439821</v>
      </c>
      <c r="R557">
        <f t="shared" ca="1" si="485"/>
        <v>0</v>
      </c>
      <c r="S557">
        <f t="shared" ca="1" si="486"/>
        <v>0</v>
      </c>
    </row>
    <row r="558" spans="5:19" x14ac:dyDescent="0.75">
      <c r="E558">
        <v>553</v>
      </c>
      <c r="F558">
        <f t="shared" si="482"/>
        <v>100</v>
      </c>
      <c r="G558">
        <f t="shared" ca="1" si="483"/>
        <v>104.43082287287734</v>
      </c>
      <c r="H558">
        <f t="shared" ca="1" si="483"/>
        <v>106.01553601989984</v>
      </c>
      <c r="I558">
        <f t="shared" ca="1" si="483"/>
        <v>108.81157011816769</v>
      </c>
      <c r="J558">
        <f t="shared" ref="J558:P558" ca="1" si="517">I558*EXP(($C$6-0.5*$C$7^2)*$C$12+$C$7*SQRT($C$12)*NORMINV(RAND(),0,1))</f>
        <v>105.38240482157032</v>
      </c>
      <c r="K558">
        <f t="shared" ca="1" si="517"/>
        <v>93.224639737151008</v>
      </c>
      <c r="L558">
        <f t="shared" ca="1" si="517"/>
        <v>97.985172783248871</v>
      </c>
      <c r="M558">
        <f t="shared" ca="1" si="517"/>
        <v>93.616560945788734</v>
      </c>
      <c r="N558">
        <f t="shared" ca="1" si="517"/>
        <v>92.174539617883227</v>
      </c>
      <c r="O558">
        <f t="shared" ca="1" si="517"/>
        <v>87.152707210767446</v>
      </c>
      <c r="P558">
        <f t="shared" ca="1" si="517"/>
        <v>83.77346546835048</v>
      </c>
      <c r="Q558">
        <f t="shared" ca="1" si="484"/>
        <v>108.81157011816769</v>
      </c>
      <c r="R558">
        <f t="shared" ca="1" si="485"/>
        <v>0</v>
      </c>
      <c r="S558">
        <f t="shared" ca="1" si="486"/>
        <v>0</v>
      </c>
    </row>
    <row r="559" spans="5:19" x14ac:dyDescent="0.75">
      <c r="E559">
        <v>554</v>
      </c>
      <c r="F559">
        <f t="shared" si="482"/>
        <v>100</v>
      </c>
      <c r="G559">
        <f t="shared" ca="1" si="483"/>
        <v>105.27609407912742</v>
      </c>
      <c r="H559">
        <f t="shared" ca="1" si="483"/>
        <v>99.713663128171632</v>
      </c>
      <c r="I559">
        <f t="shared" ca="1" si="483"/>
        <v>105.1517260863483</v>
      </c>
      <c r="J559">
        <f t="shared" ref="J559:P559" ca="1" si="518">I559*EXP(($C$6-0.5*$C$7^2)*$C$12+$C$7*SQRT($C$12)*NORMINV(RAND(),0,1))</f>
        <v>103.474348999932</v>
      </c>
      <c r="K559">
        <f t="shared" ca="1" si="518"/>
        <v>107.68183498232435</v>
      </c>
      <c r="L559">
        <f t="shared" ca="1" si="518"/>
        <v>102.39258057813106</v>
      </c>
      <c r="M559">
        <f t="shared" ca="1" si="518"/>
        <v>103.15266017030439</v>
      </c>
      <c r="N559">
        <f t="shared" ca="1" si="518"/>
        <v>101.55123721781796</v>
      </c>
      <c r="O559">
        <f t="shared" ca="1" si="518"/>
        <v>101.0638067280246</v>
      </c>
      <c r="P559">
        <f t="shared" ca="1" si="518"/>
        <v>100.39893005545306</v>
      </c>
      <c r="Q559">
        <f t="shared" ca="1" si="484"/>
        <v>107.68183498232435</v>
      </c>
      <c r="R559">
        <f t="shared" ca="1" si="485"/>
        <v>0</v>
      </c>
      <c r="S559">
        <f t="shared" ca="1" si="486"/>
        <v>0</v>
      </c>
    </row>
    <row r="560" spans="5:19" x14ac:dyDescent="0.75">
      <c r="E560">
        <v>555</v>
      </c>
      <c r="F560">
        <f t="shared" si="482"/>
        <v>100</v>
      </c>
      <c r="G560">
        <f t="shared" ca="1" si="483"/>
        <v>95.457980911480234</v>
      </c>
      <c r="H560">
        <f t="shared" ca="1" si="483"/>
        <v>97.482158355770082</v>
      </c>
      <c r="I560">
        <f t="shared" ca="1" si="483"/>
        <v>107.7767203079713</v>
      </c>
      <c r="J560">
        <f t="shared" ref="J560:P560" ca="1" si="519">I560*EXP(($C$6-0.5*$C$7^2)*$C$12+$C$7*SQRT($C$12)*NORMINV(RAND(),0,1))</f>
        <v>107.72410080267156</v>
      </c>
      <c r="K560">
        <f t="shared" ca="1" si="519"/>
        <v>113.63400229286084</v>
      </c>
      <c r="L560">
        <f t="shared" ca="1" si="519"/>
        <v>109.85212498350252</v>
      </c>
      <c r="M560">
        <f t="shared" ca="1" si="519"/>
        <v>108.24937850238501</v>
      </c>
      <c r="N560">
        <f t="shared" ca="1" si="519"/>
        <v>102.99759577792921</v>
      </c>
      <c r="O560">
        <f t="shared" ca="1" si="519"/>
        <v>93.835644740329727</v>
      </c>
      <c r="P560">
        <f t="shared" ca="1" si="519"/>
        <v>96.817274655969172</v>
      </c>
      <c r="Q560">
        <f t="shared" ca="1" si="484"/>
        <v>113.63400229286084</v>
      </c>
      <c r="R560">
        <f t="shared" ca="1" si="485"/>
        <v>0</v>
      </c>
      <c r="S560">
        <f t="shared" ca="1" si="486"/>
        <v>0</v>
      </c>
    </row>
    <row r="561" spans="5:19" x14ac:dyDescent="0.75">
      <c r="E561">
        <v>556</v>
      </c>
      <c r="F561">
        <f t="shared" si="482"/>
        <v>100</v>
      </c>
      <c r="G561">
        <f t="shared" ca="1" si="483"/>
        <v>105.57911943190726</v>
      </c>
      <c r="H561">
        <f t="shared" ca="1" si="483"/>
        <v>104.74057142456056</v>
      </c>
      <c r="I561">
        <f t="shared" ca="1" si="483"/>
        <v>100.9928778548072</v>
      </c>
      <c r="J561">
        <f t="shared" ref="J561:P561" ca="1" si="520">I561*EXP(($C$6-0.5*$C$7^2)*$C$12+$C$7*SQRT($C$12)*NORMINV(RAND(),0,1))</f>
        <v>111.99084506538871</v>
      </c>
      <c r="K561">
        <f t="shared" ca="1" si="520"/>
        <v>109.03539509336295</v>
      </c>
      <c r="L561">
        <f t="shared" ca="1" si="520"/>
        <v>111.28411428186381</v>
      </c>
      <c r="M561">
        <f t="shared" ca="1" si="520"/>
        <v>114.78446155559405</v>
      </c>
      <c r="N561">
        <f t="shared" ca="1" si="520"/>
        <v>105.9452375134652</v>
      </c>
      <c r="O561">
        <f t="shared" ca="1" si="520"/>
        <v>101.75023854739483</v>
      </c>
      <c r="P561">
        <f t="shared" ca="1" si="520"/>
        <v>107.7547867347548</v>
      </c>
      <c r="Q561">
        <f t="shared" ca="1" si="484"/>
        <v>114.78446155559405</v>
      </c>
      <c r="R561">
        <f t="shared" ca="1" si="485"/>
        <v>0</v>
      </c>
      <c r="S561">
        <f t="shared" ca="1" si="486"/>
        <v>0</v>
      </c>
    </row>
    <row r="562" spans="5:19" x14ac:dyDescent="0.75">
      <c r="E562">
        <v>557</v>
      </c>
      <c r="F562">
        <f t="shared" si="482"/>
        <v>100</v>
      </c>
      <c r="G562">
        <f t="shared" ca="1" si="483"/>
        <v>105.94605879863515</v>
      </c>
      <c r="H562">
        <f t="shared" ca="1" si="483"/>
        <v>105.67673019538039</v>
      </c>
      <c r="I562">
        <f t="shared" ca="1" si="483"/>
        <v>109.46361198253099</v>
      </c>
      <c r="J562">
        <f t="shared" ref="J562:P562" ca="1" si="521">I562*EXP(($C$6-0.5*$C$7^2)*$C$12+$C$7*SQRT($C$12)*NORMINV(RAND(),0,1))</f>
        <v>117.42758292247483</v>
      </c>
      <c r="K562">
        <f t="shared" ca="1" si="521"/>
        <v>110.77777841847607</v>
      </c>
      <c r="L562">
        <f t="shared" ca="1" si="521"/>
        <v>110.75390752498514</v>
      </c>
      <c r="M562">
        <f t="shared" ca="1" si="521"/>
        <v>107.89214148299757</v>
      </c>
      <c r="N562">
        <f t="shared" ca="1" si="521"/>
        <v>104.69342537395198</v>
      </c>
      <c r="O562">
        <f t="shared" ca="1" si="521"/>
        <v>110.72317381994391</v>
      </c>
      <c r="P562">
        <f t="shared" ca="1" si="521"/>
        <v>107.57514381141269</v>
      </c>
      <c r="Q562">
        <f t="shared" ca="1" si="484"/>
        <v>117.42758292247483</v>
      </c>
      <c r="R562">
        <f t="shared" ca="1" si="485"/>
        <v>0</v>
      </c>
      <c r="S562">
        <f t="shared" ca="1" si="486"/>
        <v>0</v>
      </c>
    </row>
    <row r="563" spans="5:19" x14ac:dyDescent="0.75">
      <c r="E563">
        <v>558</v>
      </c>
      <c r="F563">
        <f t="shared" si="482"/>
        <v>100</v>
      </c>
      <c r="G563">
        <f t="shared" ca="1" si="483"/>
        <v>101.88777393859741</v>
      </c>
      <c r="H563">
        <f t="shared" ca="1" si="483"/>
        <v>110.76535012866583</v>
      </c>
      <c r="I563">
        <f t="shared" ca="1" si="483"/>
        <v>114.29091037055498</v>
      </c>
      <c r="J563">
        <f t="shared" ref="J563:P563" ca="1" si="522">I563*EXP(($C$6-0.5*$C$7^2)*$C$12+$C$7*SQRT($C$12)*NORMINV(RAND(),0,1))</f>
        <v>118.96418794376089</v>
      </c>
      <c r="K563">
        <f t="shared" ca="1" si="522"/>
        <v>115.03571972648058</v>
      </c>
      <c r="L563">
        <f t="shared" ca="1" si="522"/>
        <v>116.4756900276664</v>
      </c>
      <c r="M563">
        <f t="shared" ca="1" si="522"/>
        <v>117.69945611248608</v>
      </c>
      <c r="N563">
        <f t="shared" ca="1" si="522"/>
        <v>122.55733738364708</v>
      </c>
      <c r="O563">
        <f t="shared" ca="1" si="522"/>
        <v>125.50270986077177</v>
      </c>
      <c r="P563">
        <f t="shared" ca="1" si="522"/>
        <v>117.46160045120463</v>
      </c>
      <c r="Q563">
        <f t="shared" ca="1" si="484"/>
        <v>125.50270986077177</v>
      </c>
      <c r="R563">
        <f t="shared" ca="1" si="485"/>
        <v>0</v>
      </c>
      <c r="S563">
        <f t="shared" ca="1" si="486"/>
        <v>0</v>
      </c>
    </row>
    <row r="564" spans="5:19" x14ac:dyDescent="0.75">
      <c r="E564">
        <v>559</v>
      </c>
      <c r="F564">
        <f t="shared" si="482"/>
        <v>100</v>
      </c>
      <c r="G564">
        <f t="shared" ca="1" si="483"/>
        <v>103.56388161416092</v>
      </c>
      <c r="H564">
        <f t="shared" ca="1" si="483"/>
        <v>105.26883559566402</v>
      </c>
      <c r="I564">
        <f t="shared" ca="1" si="483"/>
        <v>111.88414360642263</v>
      </c>
      <c r="J564">
        <f t="shared" ref="J564:P564" ca="1" si="523">I564*EXP(($C$6-0.5*$C$7^2)*$C$12+$C$7*SQRT($C$12)*NORMINV(RAND(),0,1))</f>
        <v>109.4122621380418</v>
      </c>
      <c r="K564">
        <f t="shared" ca="1" si="523"/>
        <v>107.1593871107267</v>
      </c>
      <c r="L564">
        <f t="shared" ca="1" si="523"/>
        <v>101.75948507353914</v>
      </c>
      <c r="M564">
        <f t="shared" ca="1" si="523"/>
        <v>108.05821360154373</v>
      </c>
      <c r="N564">
        <f t="shared" ca="1" si="523"/>
        <v>107.40767985662886</v>
      </c>
      <c r="O564">
        <f t="shared" ca="1" si="523"/>
        <v>104.18842023153621</v>
      </c>
      <c r="P564">
        <f t="shared" ca="1" si="523"/>
        <v>101.75017713218196</v>
      </c>
      <c r="Q564">
        <f t="shared" ca="1" si="484"/>
        <v>111.88414360642263</v>
      </c>
      <c r="R564">
        <f t="shared" ca="1" si="485"/>
        <v>0</v>
      </c>
      <c r="S564">
        <f t="shared" ca="1" si="486"/>
        <v>0</v>
      </c>
    </row>
    <row r="565" spans="5:19" x14ac:dyDescent="0.75">
      <c r="E565">
        <v>560</v>
      </c>
      <c r="F565">
        <f t="shared" si="482"/>
        <v>100</v>
      </c>
      <c r="G565">
        <f t="shared" ca="1" si="483"/>
        <v>102.31051142835761</v>
      </c>
      <c r="H565">
        <f t="shared" ca="1" si="483"/>
        <v>96.745878425470266</v>
      </c>
      <c r="I565">
        <f t="shared" ca="1" si="483"/>
        <v>96.722344749121874</v>
      </c>
      <c r="J565">
        <f t="shared" ref="J565:P565" ca="1" si="524">I565*EXP(($C$6-0.5*$C$7^2)*$C$12+$C$7*SQRT($C$12)*NORMINV(RAND(),0,1))</f>
        <v>97.604096901781375</v>
      </c>
      <c r="K565">
        <f t="shared" ca="1" si="524"/>
        <v>98.083376183028193</v>
      </c>
      <c r="L565">
        <f t="shared" ca="1" si="524"/>
        <v>100.95443840409774</v>
      </c>
      <c r="M565">
        <f t="shared" ca="1" si="524"/>
        <v>100.81775853227735</v>
      </c>
      <c r="N565">
        <f t="shared" ca="1" si="524"/>
        <v>103.84218519749525</v>
      </c>
      <c r="O565">
        <f t="shared" ca="1" si="524"/>
        <v>101.81328441077071</v>
      </c>
      <c r="P565">
        <f t="shared" ca="1" si="524"/>
        <v>108.907590510026</v>
      </c>
      <c r="Q565">
        <f t="shared" ca="1" si="484"/>
        <v>108.907590510026</v>
      </c>
      <c r="R565">
        <f t="shared" ca="1" si="485"/>
        <v>6.9075905100259973</v>
      </c>
      <c r="S565">
        <f t="shared" ca="1" si="486"/>
        <v>6.7370414926612003</v>
      </c>
    </row>
    <row r="566" spans="5:19" x14ac:dyDescent="0.75">
      <c r="E566">
        <v>561</v>
      </c>
      <c r="F566">
        <f t="shared" si="482"/>
        <v>100</v>
      </c>
      <c r="G566">
        <f t="shared" ca="1" si="483"/>
        <v>101.24182046133228</v>
      </c>
      <c r="H566">
        <f t="shared" ca="1" si="483"/>
        <v>99.03613965824178</v>
      </c>
      <c r="I566">
        <f t="shared" ca="1" si="483"/>
        <v>95.598372402636457</v>
      </c>
      <c r="J566">
        <f t="shared" ref="J566:P566" ca="1" si="525">I566*EXP(($C$6-0.5*$C$7^2)*$C$12+$C$7*SQRT($C$12)*NORMINV(RAND(),0,1))</f>
        <v>92.574784885727752</v>
      </c>
      <c r="K566">
        <f t="shared" ca="1" si="525"/>
        <v>93.775310846860279</v>
      </c>
      <c r="L566">
        <f t="shared" ca="1" si="525"/>
        <v>96.605287103452198</v>
      </c>
      <c r="M566">
        <f t="shared" ca="1" si="525"/>
        <v>94.218020709508892</v>
      </c>
      <c r="N566">
        <f t="shared" ca="1" si="525"/>
        <v>95.584047570970512</v>
      </c>
      <c r="O566">
        <f t="shared" ca="1" si="525"/>
        <v>95.129572747104106</v>
      </c>
      <c r="P566">
        <f t="shared" ca="1" si="525"/>
        <v>90.651933933084038</v>
      </c>
      <c r="Q566">
        <f t="shared" ca="1" si="484"/>
        <v>101.24182046133228</v>
      </c>
      <c r="R566">
        <f t="shared" ca="1" si="485"/>
        <v>0</v>
      </c>
      <c r="S566">
        <f t="shared" ca="1" si="486"/>
        <v>0</v>
      </c>
    </row>
    <row r="567" spans="5:19" x14ac:dyDescent="0.75">
      <c r="E567">
        <v>562</v>
      </c>
      <c r="F567">
        <f t="shared" si="482"/>
        <v>100</v>
      </c>
      <c r="G567">
        <f t="shared" ca="1" si="483"/>
        <v>93.945517314200785</v>
      </c>
      <c r="H567">
        <f t="shared" ca="1" si="483"/>
        <v>96.365067430001446</v>
      </c>
      <c r="I567">
        <f t="shared" ca="1" si="483"/>
        <v>96.773967918394391</v>
      </c>
      <c r="J567">
        <f t="shared" ref="J567:P567" ca="1" si="526">I567*EXP(($C$6-0.5*$C$7^2)*$C$12+$C$7*SQRT($C$12)*NORMINV(RAND(),0,1))</f>
        <v>101.82342562236333</v>
      </c>
      <c r="K567">
        <f t="shared" ca="1" si="526"/>
        <v>101.26730753117263</v>
      </c>
      <c r="L567">
        <f t="shared" ca="1" si="526"/>
        <v>101.12801831687679</v>
      </c>
      <c r="M567">
        <f t="shared" ca="1" si="526"/>
        <v>95.483495472393557</v>
      </c>
      <c r="N567">
        <f t="shared" ca="1" si="526"/>
        <v>104.65647404433895</v>
      </c>
      <c r="O567">
        <f t="shared" ca="1" si="526"/>
        <v>105.48089717788355</v>
      </c>
      <c r="P567">
        <f t="shared" ca="1" si="526"/>
        <v>99.915684599562525</v>
      </c>
      <c r="Q567">
        <f t="shared" ca="1" si="484"/>
        <v>105.48089717788355</v>
      </c>
      <c r="R567">
        <f t="shared" ca="1" si="485"/>
        <v>0</v>
      </c>
      <c r="S567">
        <f t="shared" ca="1" si="486"/>
        <v>0</v>
      </c>
    </row>
    <row r="568" spans="5:19" x14ac:dyDescent="0.75">
      <c r="E568">
        <v>563</v>
      </c>
      <c r="F568">
        <f t="shared" si="482"/>
        <v>100</v>
      </c>
      <c r="G568">
        <f t="shared" ca="1" si="483"/>
        <v>102.09201363636602</v>
      </c>
      <c r="H568">
        <f t="shared" ca="1" si="483"/>
        <v>106.82734076517066</v>
      </c>
      <c r="I568">
        <f t="shared" ca="1" si="483"/>
        <v>111.26274416304895</v>
      </c>
      <c r="J568">
        <f t="shared" ref="J568:P568" ca="1" si="527">I568*EXP(($C$6-0.5*$C$7^2)*$C$12+$C$7*SQRT($C$12)*NORMINV(RAND(),0,1))</f>
        <v>112.40583274689692</v>
      </c>
      <c r="K568">
        <f t="shared" ca="1" si="527"/>
        <v>114.29122301266901</v>
      </c>
      <c r="L568">
        <f t="shared" ca="1" si="527"/>
        <v>111.99598576996655</v>
      </c>
      <c r="M568">
        <f t="shared" ca="1" si="527"/>
        <v>115.87056009994049</v>
      </c>
      <c r="N568">
        <f t="shared" ca="1" si="527"/>
        <v>117.63336305374129</v>
      </c>
      <c r="O568">
        <f t="shared" ca="1" si="527"/>
        <v>118.23772339654502</v>
      </c>
      <c r="P568">
        <f t="shared" ca="1" si="527"/>
        <v>117.63263455413693</v>
      </c>
      <c r="Q568">
        <f t="shared" ca="1" si="484"/>
        <v>118.23772339654502</v>
      </c>
      <c r="R568">
        <f t="shared" ca="1" si="485"/>
        <v>0</v>
      </c>
      <c r="S568">
        <f t="shared" ca="1" si="486"/>
        <v>0</v>
      </c>
    </row>
    <row r="569" spans="5:19" x14ac:dyDescent="0.75">
      <c r="E569">
        <v>564</v>
      </c>
      <c r="F569">
        <f t="shared" si="482"/>
        <v>100</v>
      </c>
      <c r="G569">
        <f t="shared" ca="1" si="483"/>
        <v>103.943641254036</v>
      </c>
      <c r="H569">
        <f t="shared" ca="1" si="483"/>
        <v>100.00796597799757</v>
      </c>
      <c r="I569">
        <f t="shared" ca="1" si="483"/>
        <v>96.309444321715873</v>
      </c>
      <c r="J569">
        <f t="shared" ref="J569:P569" ca="1" si="528">I569*EXP(($C$6-0.5*$C$7^2)*$C$12+$C$7*SQRT($C$12)*NORMINV(RAND(),0,1))</f>
        <v>92.466112783522789</v>
      </c>
      <c r="K569">
        <f t="shared" ca="1" si="528"/>
        <v>86.090088162890098</v>
      </c>
      <c r="L569">
        <f t="shared" ca="1" si="528"/>
        <v>83.26617556914232</v>
      </c>
      <c r="M569">
        <f t="shared" ca="1" si="528"/>
        <v>81.031490722999109</v>
      </c>
      <c r="N569">
        <f t="shared" ca="1" si="528"/>
        <v>86.338075075234471</v>
      </c>
      <c r="O569">
        <f t="shared" ca="1" si="528"/>
        <v>87.446254280396076</v>
      </c>
      <c r="P569">
        <f t="shared" ca="1" si="528"/>
        <v>82.427865375923872</v>
      </c>
      <c r="Q569">
        <f t="shared" ca="1" si="484"/>
        <v>103.943641254036</v>
      </c>
      <c r="R569">
        <f t="shared" ca="1" si="485"/>
        <v>0</v>
      </c>
      <c r="S569">
        <f t="shared" ca="1" si="486"/>
        <v>0</v>
      </c>
    </row>
    <row r="570" spans="5:19" x14ac:dyDescent="0.75">
      <c r="E570">
        <v>565</v>
      </c>
      <c r="F570">
        <f t="shared" si="482"/>
        <v>100</v>
      </c>
      <c r="G570">
        <f t="shared" ca="1" si="483"/>
        <v>100.81636129094167</v>
      </c>
      <c r="H570">
        <f t="shared" ca="1" si="483"/>
        <v>96.430276461928813</v>
      </c>
      <c r="I570">
        <f t="shared" ca="1" si="483"/>
        <v>96.938812134067305</v>
      </c>
      <c r="J570">
        <f t="shared" ref="J570:P570" ca="1" si="529">I570*EXP(($C$6-0.5*$C$7^2)*$C$12+$C$7*SQRT($C$12)*NORMINV(RAND(),0,1))</f>
        <v>91.849874830613871</v>
      </c>
      <c r="K570">
        <f t="shared" ca="1" si="529"/>
        <v>93.664926904286574</v>
      </c>
      <c r="L570">
        <f t="shared" ca="1" si="529"/>
        <v>97.306066116388649</v>
      </c>
      <c r="M570">
        <f t="shared" ca="1" si="529"/>
        <v>100.1058194912942</v>
      </c>
      <c r="N570">
        <f t="shared" ca="1" si="529"/>
        <v>106.35275112113614</v>
      </c>
      <c r="O570">
        <f t="shared" ca="1" si="529"/>
        <v>105.03570524268797</v>
      </c>
      <c r="P570">
        <f t="shared" ca="1" si="529"/>
        <v>108.46510665207897</v>
      </c>
      <c r="Q570">
        <f t="shared" ca="1" si="484"/>
        <v>108.46510665207897</v>
      </c>
      <c r="R570">
        <f t="shared" ca="1" si="485"/>
        <v>6.4651066520789726</v>
      </c>
      <c r="S570">
        <f t="shared" ca="1" si="486"/>
        <v>6.3054826000929305</v>
      </c>
    </row>
    <row r="571" spans="5:19" x14ac:dyDescent="0.75">
      <c r="E571">
        <v>566</v>
      </c>
      <c r="F571">
        <f t="shared" si="482"/>
        <v>100</v>
      </c>
      <c r="G571">
        <f t="shared" ca="1" si="483"/>
        <v>100.40539458025164</v>
      </c>
      <c r="H571">
        <f t="shared" ca="1" si="483"/>
        <v>102.44155080295693</v>
      </c>
      <c r="I571">
        <f t="shared" ca="1" si="483"/>
        <v>104.88711907322009</v>
      </c>
      <c r="J571">
        <f t="shared" ref="J571:P571" ca="1" si="530">I571*EXP(($C$6-0.5*$C$7^2)*$C$12+$C$7*SQRT($C$12)*NORMINV(RAND(),0,1))</f>
        <v>101.12407352425896</v>
      </c>
      <c r="K571">
        <f t="shared" ca="1" si="530"/>
        <v>104.63206519638567</v>
      </c>
      <c r="L571">
        <f t="shared" ca="1" si="530"/>
        <v>104.39826578685435</v>
      </c>
      <c r="M571">
        <f t="shared" ca="1" si="530"/>
        <v>101.15593299855333</v>
      </c>
      <c r="N571">
        <f t="shared" ca="1" si="530"/>
        <v>101.53120895990796</v>
      </c>
      <c r="O571">
        <f t="shared" ca="1" si="530"/>
        <v>101.06128483777178</v>
      </c>
      <c r="P571">
        <f t="shared" ca="1" si="530"/>
        <v>98.70096447477151</v>
      </c>
      <c r="Q571">
        <f t="shared" ca="1" si="484"/>
        <v>104.88711907322009</v>
      </c>
      <c r="R571">
        <f t="shared" ca="1" si="485"/>
        <v>0</v>
      </c>
      <c r="S571">
        <f t="shared" ca="1" si="486"/>
        <v>0</v>
      </c>
    </row>
    <row r="572" spans="5:19" x14ac:dyDescent="0.75">
      <c r="E572">
        <v>567</v>
      </c>
      <c r="F572">
        <f t="shared" si="482"/>
        <v>100</v>
      </c>
      <c r="G572">
        <f t="shared" ca="1" si="483"/>
        <v>92.370910667823949</v>
      </c>
      <c r="H572">
        <f t="shared" ca="1" si="483"/>
        <v>93.833535021790638</v>
      </c>
      <c r="I572">
        <f t="shared" ca="1" si="483"/>
        <v>93.131628425078631</v>
      </c>
      <c r="J572">
        <f t="shared" ref="J572:P572" ca="1" si="531">I572*EXP(($C$6-0.5*$C$7^2)*$C$12+$C$7*SQRT($C$12)*NORMINV(RAND(),0,1))</f>
        <v>88.617388030375892</v>
      </c>
      <c r="K572">
        <f t="shared" ca="1" si="531"/>
        <v>88.948307945607397</v>
      </c>
      <c r="L572">
        <f t="shared" ca="1" si="531"/>
        <v>88.71864994625605</v>
      </c>
      <c r="M572">
        <f t="shared" ca="1" si="531"/>
        <v>88.741367073964696</v>
      </c>
      <c r="N572">
        <f t="shared" ca="1" si="531"/>
        <v>85.092342584058414</v>
      </c>
      <c r="O572">
        <f t="shared" ca="1" si="531"/>
        <v>81.810212291190453</v>
      </c>
      <c r="P572">
        <f t="shared" ca="1" si="531"/>
        <v>83.732232981241253</v>
      </c>
      <c r="Q572">
        <f t="shared" ca="1" si="484"/>
        <v>93.833535021790638</v>
      </c>
      <c r="R572">
        <f t="shared" ca="1" si="485"/>
        <v>0</v>
      </c>
      <c r="S572">
        <f t="shared" ca="1" si="486"/>
        <v>0</v>
      </c>
    </row>
    <row r="573" spans="5:19" x14ac:dyDescent="0.75">
      <c r="E573">
        <v>568</v>
      </c>
      <c r="F573">
        <f t="shared" si="482"/>
        <v>100</v>
      </c>
      <c r="G573">
        <f t="shared" ca="1" si="483"/>
        <v>93.204956841496156</v>
      </c>
      <c r="H573">
        <f t="shared" ca="1" si="483"/>
        <v>96.289406850349295</v>
      </c>
      <c r="I573">
        <f t="shared" ca="1" si="483"/>
        <v>100.82051435541429</v>
      </c>
      <c r="J573">
        <f t="shared" ref="J573:P573" ca="1" si="532">I573*EXP(($C$6-0.5*$C$7^2)*$C$12+$C$7*SQRT($C$12)*NORMINV(RAND(),0,1))</f>
        <v>92.877525052530132</v>
      </c>
      <c r="K573">
        <f t="shared" ca="1" si="532"/>
        <v>93.737525834637282</v>
      </c>
      <c r="L573">
        <f t="shared" ca="1" si="532"/>
        <v>96.207879067474636</v>
      </c>
      <c r="M573">
        <f t="shared" ca="1" si="532"/>
        <v>103.18381469403528</v>
      </c>
      <c r="N573">
        <f t="shared" ca="1" si="532"/>
        <v>101.3414750753969</v>
      </c>
      <c r="O573">
        <f t="shared" ca="1" si="532"/>
        <v>98.468471518926179</v>
      </c>
      <c r="P573">
        <f t="shared" ca="1" si="532"/>
        <v>105.51869768084113</v>
      </c>
      <c r="Q573">
        <f t="shared" ca="1" si="484"/>
        <v>105.51869768084113</v>
      </c>
      <c r="R573">
        <f t="shared" ca="1" si="485"/>
        <v>3.5186976808411288</v>
      </c>
      <c r="S573">
        <f t="shared" ca="1" si="486"/>
        <v>3.4318207255554594</v>
      </c>
    </row>
    <row r="574" spans="5:19" x14ac:dyDescent="0.75">
      <c r="E574">
        <v>569</v>
      </c>
      <c r="F574">
        <f t="shared" si="482"/>
        <v>100</v>
      </c>
      <c r="G574">
        <f t="shared" ca="1" si="483"/>
        <v>100.33109700449666</v>
      </c>
      <c r="H574">
        <f t="shared" ca="1" si="483"/>
        <v>103.76351800971251</v>
      </c>
      <c r="I574">
        <f t="shared" ca="1" si="483"/>
        <v>106.06234058021499</v>
      </c>
      <c r="J574">
        <f t="shared" ref="J574:P574" ca="1" si="533">I574*EXP(($C$6-0.5*$C$7^2)*$C$12+$C$7*SQRT($C$12)*NORMINV(RAND(),0,1))</f>
        <v>103.00721199653935</v>
      </c>
      <c r="K574">
        <f t="shared" ca="1" si="533"/>
        <v>97.255204126871689</v>
      </c>
      <c r="L574">
        <f t="shared" ca="1" si="533"/>
        <v>102.9619655469658</v>
      </c>
      <c r="M574">
        <f t="shared" ca="1" si="533"/>
        <v>99.488870420090819</v>
      </c>
      <c r="N574">
        <f t="shared" ca="1" si="533"/>
        <v>91.735182576729784</v>
      </c>
      <c r="O574">
        <f t="shared" ca="1" si="533"/>
        <v>89.055834103244507</v>
      </c>
      <c r="P574">
        <f t="shared" ca="1" si="533"/>
        <v>92.874483887618041</v>
      </c>
      <c r="Q574">
        <f t="shared" ca="1" si="484"/>
        <v>106.06234058021499</v>
      </c>
      <c r="R574">
        <f t="shared" ca="1" si="485"/>
        <v>0</v>
      </c>
      <c r="S574">
        <f t="shared" ca="1" si="486"/>
        <v>0</v>
      </c>
    </row>
    <row r="575" spans="5:19" x14ac:dyDescent="0.75">
      <c r="E575">
        <v>570</v>
      </c>
      <c r="F575">
        <f t="shared" si="482"/>
        <v>100</v>
      </c>
      <c r="G575">
        <f t="shared" ca="1" si="483"/>
        <v>104.20724949347515</v>
      </c>
      <c r="H575">
        <f t="shared" ca="1" si="483"/>
        <v>118.14749299363032</v>
      </c>
      <c r="I575">
        <f t="shared" ca="1" si="483"/>
        <v>116.18864282781254</v>
      </c>
      <c r="J575">
        <f t="shared" ref="J575:P575" ca="1" si="534">I575*EXP(($C$6-0.5*$C$7^2)*$C$12+$C$7*SQRT($C$12)*NORMINV(RAND(),0,1))</f>
        <v>112.72098878568197</v>
      </c>
      <c r="K575">
        <f t="shared" ca="1" si="534"/>
        <v>121.07761004840945</v>
      </c>
      <c r="L575">
        <f t="shared" ca="1" si="534"/>
        <v>130.16841247700378</v>
      </c>
      <c r="M575">
        <f t="shared" ca="1" si="534"/>
        <v>122.70699225990678</v>
      </c>
      <c r="N575">
        <f t="shared" ca="1" si="534"/>
        <v>130.66440462731396</v>
      </c>
      <c r="O575">
        <f t="shared" ca="1" si="534"/>
        <v>129.39044930150851</v>
      </c>
      <c r="P575">
        <f t="shared" ca="1" si="534"/>
        <v>123.06449103660175</v>
      </c>
      <c r="Q575">
        <f t="shared" ca="1" si="484"/>
        <v>130.66440462731396</v>
      </c>
      <c r="R575">
        <f t="shared" ca="1" si="485"/>
        <v>0</v>
      </c>
      <c r="S575">
        <f t="shared" ca="1" si="486"/>
        <v>0</v>
      </c>
    </row>
    <row r="576" spans="5:19" x14ac:dyDescent="0.75">
      <c r="E576">
        <v>571</v>
      </c>
      <c r="F576">
        <f t="shared" si="482"/>
        <v>100</v>
      </c>
      <c r="G576">
        <f t="shared" ca="1" si="483"/>
        <v>99.891095360339904</v>
      </c>
      <c r="H576">
        <f t="shared" ca="1" si="483"/>
        <v>103.47895016327585</v>
      </c>
      <c r="I576">
        <f t="shared" ca="1" si="483"/>
        <v>101.22994640943239</v>
      </c>
      <c r="J576">
        <f t="shared" ref="J576:P576" ca="1" si="535">I576*EXP(($C$6-0.5*$C$7^2)*$C$12+$C$7*SQRT($C$12)*NORMINV(RAND(),0,1))</f>
        <v>101.29876026959637</v>
      </c>
      <c r="K576">
        <f t="shared" ca="1" si="535"/>
        <v>99.130149732038234</v>
      </c>
      <c r="L576">
        <f t="shared" ca="1" si="535"/>
        <v>97.74349352817417</v>
      </c>
      <c r="M576">
        <f t="shared" ca="1" si="535"/>
        <v>98.569039882894955</v>
      </c>
      <c r="N576">
        <f t="shared" ca="1" si="535"/>
        <v>108.0069579299263</v>
      </c>
      <c r="O576">
        <f t="shared" ca="1" si="535"/>
        <v>111.38728502902667</v>
      </c>
      <c r="P576">
        <f t="shared" ca="1" si="535"/>
        <v>114.13650015945629</v>
      </c>
      <c r="Q576">
        <f t="shared" ca="1" si="484"/>
        <v>114.13650015945629</v>
      </c>
      <c r="R576">
        <f t="shared" ca="1" si="485"/>
        <v>0</v>
      </c>
      <c r="S576">
        <f t="shared" ca="1" si="486"/>
        <v>0</v>
      </c>
    </row>
    <row r="577" spans="5:19" x14ac:dyDescent="0.75">
      <c r="E577">
        <v>572</v>
      </c>
      <c r="F577">
        <f t="shared" si="482"/>
        <v>100</v>
      </c>
      <c r="G577">
        <f t="shared" ca="1" si="483"/>
        <v>106.55056771235874</v>
      </c>
      <c r="H577">
        <f t="shared" ca="1" si="483"/>
        <v>100.55180544246028</v>
      </c>
      <c r="I577">
        <f t="shared" ca="1" si="483"/>
        <v>96.937265236067304</v>
      </c>
      <c r="J577">
        <f t="shared" ref="J577:P577" ca="1" si="536">I577*EXP(($C$6-0.5*$C$7^2)*$C$12+$C$7*SQRT($C$12)*NORMINV(RAND(),0,1))</f>
        <v>97.502720299360206</v>
      </c>
      <c r="K577">
        <f t="shared" ca="1" si="536"/>
        <v>98.309615013123604</v>
      </c>
      <c r="L577">
        <f t="shared" ca="1" si="536"/>
        <v>94.501934075971249</v>
      </c>
      <c r="M577">
        <f t="shared" ca="1" si="536"/>
        <v>96.775574433051716</v>
      </c>
      <c r="N577">
        <f t="shared" ca="1" si="536"/>
        <v>96.470085247888051</v>
      </c>
      <c r="O577">
        <f t="shared" ca="1" si="536"/>
        <v>95.722549238772075</v>
      </c>
      <c r="P577">
        <f t="shared" ca="1" si="536"/>
        <v>107.23767487720737</v>
      </c>
      <c r="Q577">
        <f t="shared" ca="1" si="484"/>
        <v>107.23767487720737</v>
      </c>
      <c r="R577">
        <f t="shared" ca="1" si="485"/>
        <v>5.2376748772073682</v>
      </c>
      <c r="S577">
        <f t="shared" ca="1" si="486"/>
        <v>5.1083562237221258</v>
      </c>
    </row>
    <row r="578" spans="5:19" x14ac:dyDescent="0.75">
      <c r="E578">
        <v>573</v>
      </c>
      <c r="F578">
        <f t="shared" si="482"/>
        <v>100</v>
      </c>
      <c r="G578">
        <f t="shared" ca="1" si="483"/>
        <v>95.267224958104478</v>
      </c>
      <c r="H578">
        <f t="shared" ca="1" si="483"/>
        <v>95.521776765914154</v>
      </c>
      <c r="I578">
        <f t="shared" ca="1" si="483"/>
        <v>99.643149448402184</v>
      </c>
      <c r="J578">
        <f t="shared" ref="J578:P578" ca="1" si="537">I578*EXP(($C$6-0.5*$C$7^2)*$C$12+$C$7*SQRT($C$12)*NORMINV(RAND(),0,1))</f>
        <v>101.59943916145808</v>
      </c>
      <c r="K578">
        <f t="shared" ca="1" si="537"/>
        <v>94.733177912636648</v>
      </c>
      <c r="L578">
        <f t="shared" ca="1" si="537"/>
        <v>96.679764023327095</v>
      </c>
      <c r="M578">
        <f t="shared" ca="1" si="537"/>
        <v>91.989422788243814</v>
      </c>
      <c r="N578">
        <f t="shared" ca="1" si="537"/>
        <v>96.823229613173453</v>
      </c>
      <c r="O578">
        <f t="shared" ca="1" si="537"/>
        <v>99.617096621589127</v>
      </c>
      <c r="P578">
        <f t="shared" ca="1" si="537"/>
        <v>106.28379978142728</v>
      </c>
      <c r="Q578">
        <f t="shared" ca="1" si="484"/>
        <v>106.28379978142728</v>
      </c>
      <c r="R578">
        <f t="shared" ca="1" si="485"/>
        <v>4.2837997814272768</v>
      </c>
      <c r="S578">
        <f t="shared" ca="1" si="486"/>
        <v>4.1780323879708279</v>
      </c>
    </row>
    <row r="579" spans="5:19" x14ac:dyDescent="0.75">
      <c r="E579">
        <v>574</v>
      </c>
      <c r="F579">
        <f t="shared" si="482"/>
        <v>100</v>
      </c>
      <c r="G579">
        <f t="shared" ca="1" si="483"/>
        <v>104.0374458604828</v>
      </c>
      <c r="H579">
        <f t="shared" ca="1" si="483"/>
        <v>109.72977220495815</v>
      </c>
      <c r="I579">
        <f t="shared" ca="1" si="483"/>
        <v>114.17217801743553</v>
      </c>
      <c r="J579">
        <f t="shared" ref="J579:P579" ca="1" si="538">I579*EXP(($C$6-0.5*$C$7^2)*$C$12+$C$7*SQRT($C$12)*NORMINV(RAND(),0,1))</f>
        <v>115.14473219838941</v>
      </c>
      <c r="K579">
        <f t="shared" ca="1" si="538"/>
        <v>126.70329933558045</v>
      </c>
      <c r="L579">
        <f t="shared" ca="1" si="538"/>
        <v>130.06829662572252</v>
      </c>
      <c r="M579">
        <f t="shared" ca="1" si="538"/>
        <v>121.93596860297612</v>
      </c>
      <c r="N579">
        <f t="shared" ca="1" si="538"/>
        <v>122.01959220574577</v>
      </c>
      <c r="O579">
        <f t="shared" ca="1" si="538"/>
        <v>125.28988847344755</v>
      </c>
      <c r="P579">
        <f t="shared" ca="1" si="538"/>
        <v>129.33963089794051</v>
      </c>
      <c r="Q579">
        <f t="shared" ca="1" si="484"/>
        <v>130.06829662572252</v>
      </c>
      <c r="R579">
        <f t="shared" ca="1" si="485"/>
        <v>0</v>
      </c>
      <c r="S579">
        <f t="shared" ca="1" si="486"/>
        <v>0</v>
      </c>
    </row>
    <row r="580" spans="5:19" x14ac:dyDescent="0.75">
      <c r="E580">
        <v>575</v>
      </c>
      <c r="F580">
        <f t="shared" si="482"/>
        <v>100</v>
      </c>
      <c r="G580">
        <f t="shared" ca="1" si="483"/>
        <v>99.076092711568521</v>
      </c>
      <c r="H580">
        <f t="shared" ca="1" si="483"/>
        <v>105.23215889628764</v>
      </c>
      <c r="I580">
        <f t="shared" ca="1" si="483"/>
        <v>109.25418900788297</v>
      </c>
      <c r="J580">
        <f t="shared" ref="J580:P580" ca="1" si="539">I580*EXP(($C$6-0.5*$C$7^2)*$C$12+$C$7*SQRT($C$12)*NORMINV(RAND(),0,1))</f>
        <v>108.19737830769897</v>
      </c>
      <c r="K580">
        <f t="shared" ca="1" si="539"/>
        <v>109.90526810204827</v>
      </c>
      <c r="L580">
        <f t="shared" ca="1" si="539"/>
        <v>104.73486715720412</v>
      </c>
      <c r="M580">
        <f t="shared" ca="1" si="539"/>
        <v>111.75216674701477</v>
      </c>
      <c r="N580">
        <f t="shared" ca="1" si="539"/>
        <v>107.55704189408893</v>
      </c>
      <c r="O580">
        <f t="shared" ca="1" si="539"/>
        <v>105.81356050037357</v>
      </c>
      <c r="P580">
        <f t="shared" ca="1" si="539"/>
        <v>109.31559196093765</v>
      </c>
      <c r="Q580">
        <f t="shared" ca="1" si="484"/>
        <v>111.75216674701477</v>
      </c>
      <c r="R580">
        <f t="shared" ca="1" si="485"/>
        <v>0</v>
      </c>
      <c r="S580">
        <f t="shared" ca="1" si="486"/>
        <v>0</v>
      </c>
    </row>
    <row r="581" spans="5:19" x14ac:dyDescent="0.75">
      <c r="E581">
        <v>576</v>
      </c>
      <c r="F581">
        <f t="shared" si="482"/>
        <v>100</v>
      </c>
      <c r="G581">
        <f t="shared" ca="1" si="483"/>
        <v>101.1046879138916</v>
      </c>
      <c r="H581">
        <f t="shared" ca="1" si="483"/>
        <v>95.602424728025994</v>
      </c>
      <c r="I581">
        <f t="shared" ca="1" si="483"/>
        <v>92.766098405457853</v>
      </c>
      <c r="J581">
        <f t="shared" ref="J581:P581" ca="1" si="540">I581*EXP(($C$6-0.5*$C$7^2)*$C$12+$C$7*SQRT($C$12)*NORMINV(RAND(),0,1))</f>
        <v>99.650907878897812</v>
      </c>
      <c r="K581">
        <f t="shared" ca="1" si="540"/>
        <v>97.157394213154959</v>
      </c>
      <c r="L581">
        <f t="shared" ca="1" si="540"/>
        <v>91.897076690547124</v>
      </c>
      <c r="M581">
        <f t="shared" ca="1" si="540"/>
        <v>86.76567521172889</v>
      </c>
      <c r="N581">
        <f t="shared" ca="1" si="540"/>
        <v>94.46544896992512</v>
      </c>
      <c r="O581">
        <f t="shared" ca="1" si="540"/>
        <v>91.733357552720122</v>
      </c>
      <c r="P581">
        <f t="shared" ca="1" si="540"/>
        <v>99.146309951592286</v>
      </c>
      <c r="Q581">
        <f t="shared" ca="1" si="484"/>
        <v>101.1046879138916</v>
      </c>
      <c r="R581">
        <f t="shared" ca="1" si="485"/>
        <v>0</v>
      </c>
      <c r="S581">
        <f t="shared" ca="1" si="486"/>
        <v>0</v>
      </c>
    </row>
    <row r="582" spans="5:19" x14ac:dyDescent="0.75">
      <c r="E582">
        <v>577</v>
      </c>
      <c r="F582">
        <f t="shared" si="482"/>
        <v>100</v>
      </c>
      <c r="G582">
        <f t="shared" ca="1" si="483"/>
        <v>101.91138102081638</v>
      </c>
      <c r="H582">
        <f t="shared" ca="1" si="483"/>
        <v>98.794297910485824</v>
      </c>
      <c r="I582">
        <f t="shared" ca="1" si="483"/>
        <v>98.427754745782082</v>
      </c>
      <c r="J582">
        <f t="shared" ref="J582:P582" ca="1" si="541">I582*EXP(($C$6-0.5*$C$7^2)*$C$12+$C$7*SQRT($C$12)*NORMINV(RAND(),0,1))</f>
        <v>98.098758898726132</v>
      </c>
      <c r="K582">
        <f t="shared" ca="1" si="541"/>
        <v>102.81078555342437</v>
      </c>
      <c r="L582">
        <f t="shared" ca="1" si="541"/>
        <v>106.34280883198493</v>
      </c>
      <c r="M582">
        <f t="shared" ca="1" si="541"/>
        <v>103.92381216559683</v>
      </c>
      <c r="N582">
        <f t="shared" ca="1" si="541"/>
        <v>101.15069975237999</v>
      </c>
      <c r="O582">
        <f t="shared" ca="1" si="541"/>
        <v>103.77167599124493</v>
      </c>
      <c r="P582">
        <f t="shared" ca="1" si="541"/>
        <v>102.75542288607967</v>
      </c>
      <c r="Q582">
        <f t="shared" ca="1" si="484"/>
        <v>106.34280883198493</v>
      </c>
      <c r="R582">
        <f t="shared" ca="1" si="485"/>
        <v>0.75542288607967123</v>
      </c>
      <c r="S582">
        <f t="shared" ca="1" si="486"/>
        <v>0.73677142856655331</v>
      </c>
    </row>
    <row r="583" spans="5:19" x14ac:dyDescent="0.75">
      <c r="E583">
        <v>578</v>
      </c>
      <c r="F583">
        <f t="shared" ref="F583:F646" si="542">$C$5</f>
        <v>100</v>
      </c>
      <c r="G583">
        <f t="shared" ref="G583:P646" ca="1" si="543">F583*EXP(($C$6-0.5*$C$7^2)*$C$12+$C$7*SQRT($C$12)*NORMINV(RAND(),0,1))</f>
        <v>93.44242038590302</v>
      </c>
      <c r="H583">
        <f t="shared" ca="1" si="543"/>
        <v>94.215108776981467</v>
      </c>
      <c r="I583">
        <f t="shared" ca="1" si="543"/>
        <v>90.715244049978963</v>
      </c>
      <c r="J583">
        <f t="shared" ca="1" si="543"/>
        <v>91.749037110678046</v>
      </c>
      <c r="K583">
        <f t="shared" ca="1" si="543"/>
        <v>84.620385782133397</v>
      </c>
      <c r="L583">
        <f t="shared" ca="1" si="543"/>
        <v>84.722853487580579</v>
      </c>
      <c r="M583">
        <f t="shared" ca="1" si="543"/>
        <v>85.526889036442782</v>
      </c>
      <c r="N583">
        <f t="shared" ca="1" si="543"/>
        <v>91.24529921049357</v>
      </c>
      <c r="O583">
        <f t="shared" ca="1" si="543"/>
        <v>87.477842421189479</v>
      </c>
      <c r="P583">
        <f t="shared" ca="1" si="543"/>
        <v>86.532018643352345</v>
      </c>
      <c r="Q583">
        <f t="shared" ref="Q583:Q646" ca="1" si="544">MAX(G583:P583)</f>
        <v>94.215108776981467</v>
      </c>
      <c r="R583">
        <f t="shared" ref="R583:R646" ca="1" si="545">IF(Q583&gt;=$C$13,0, MAX(P583-$C$9,0))</f>
        <v>0</v>
      </c>
      <c r="S583">
        <f t="shared" ref="S583:S646" ca="1" si="546">EXP(-$C$6*$C$8)*R583</f>
        <v>0</v>
      </c>
    </row>
    <row r="584" spans="5:19" x14ac:dyDescent="0.75">
      <c r="E584">
        <v>579</v>
      </c>
      <c r="F584">
        <f t="shared" si="542"/>
        <v>100</v>
      </c>
      <c r="G584">
        <f t="shared" ca="1" si="543"/>
        <v>93.836251792945973</v>
      </c>
      <c r="H584">
        <f t="shared" ca="1" si="543"/>
        <v>91.320931031464568</v>
      </c>
      <c r="I584">
        <f t="shared" ca="1" si="543"/>
        <v>86.205633088763378</v>
      </c>
      <c r="J584">
        <f t="shared" ca="1" si="543"/>
        <v>87.43891992809624</v>
      </c>
      <c r="K584">
        <f t="shared" ca="1" si="543"/>
        <v>89.367526849655718</v>
      </c>
      <c r="L584">
        <f t="shared" ca="1" si="543"/>
        <v>86.56170543279292</v>
      </c>
      <c r="M584">
        <f t="shared" ca="1" si="543"/>
        <v>84.411001731105628</v>
      </c>
      <c r="N584">
        <f t="shared" ca="1" si="543"/>
        <v>85.375414131052992</v>
      </c>
      <c r="O584">
        <f t="shared" ca="1" si="543"/>
        <v>82.263325436596546</v>
      </c>
      <c r="P584">
        <f t="shared" ca="1" si="543"/>
        <v>79.019827225794771</v>
      </c>
      <c r="Q584">
        <f t="shared" ca="1" si="544"/>
        <v>93.836251792945973</v>
      </c>
      <c r="R584">
        <f t="shared" ca="1" si="545"/>
        <v>0</v>
      </c>
      <c r="S584">
        <f t="shared" ca="1" si="546"/>
        <v>0</v>
      </c>
    </row>
    <row r="585" spans="5:19" x14ac:dyDescent="0.75">
      <c r="E585">
        <v>580</v>
      </c>
      <c r="F585">
        <f t="shared" si="542"/>
        <v>100</v>
      </c>
      <c r="G585">
        <f t="shared" ca="1" si="543"/>
        <v>103.33994114127016</v>
      </c>
      <c r="H585">
        <f t="shared" ca="1" si="543"/>
        <v>108.0322567273443</v>
      </c>
      <c r="I585">
        <f t="shared" ca="1" si="543"/>
        <v>97.450464180341655</v>
      </c>
      <c r="J585">
        <f t="shared" ca="1" si="543"/>
        <v>95.069022050538166</v>
      </c>
      <c r="K585">
        <f t="shared" ca="1" si="543"/>
        <v>97.260175956109705</v>
      </c>
      <c r="L585">
        <f t="shared" ca="1" si="543"/>
        <v>106.47478565437991</v>
      </c>
      <c r="M585">
        <f t="shared" ca="1" si="543"/>
        <v>103.26041813213733</v>
      </c>
      <c r="N585">
        <f t="shared" ca="1" si="543"/>
        <v>107.1611874233427</v>
      </c>
      <c r="O585">
        <f t="shared" ca="1" si="543"/>
        <v>105.63767225324081</v>
      </c>
      <c r="P585">
        <f t="shared" ca="1" si="543"/>
        <v>105.86967822720609</v>
      </c>
      <c r="Q585">
        <f t="shared" ca="1" si="544"/>
        <v>108.0322567273443</v>
      </c>
      <c r="R585">
        <f t="shared" ca="1" si="545"/>
        <v>3.8696782272060943</v>
      </c>
      <c r="S585">
        <f t="shared" ca="1" si="546"/>
        <v>3.7741355313543301</v>
      </c>
    </row>
    <row r="586" spans="5:19" x14ac:dyDescent="0.75">
      <c r="E586">
        <v>581</v>
      </c>
      <c r="F586">
        <f t="shared" si="542"/>
        <v>100</v>
      </c>
      <c r="G586">
        <f t="shared" ca="1" si="543"/>
        <v>99.782033979762232</v>
      </c>
      <c r="H586">
        <f t="shared" ca="1" si="543"/>
        <v>101.67561251420945</v>
      </c>
      <c r="I586">
        <f t="shared" ca="1" si="543"/>
        <v>106.1868283459148</v>
      </c>
      <c r="J586">
        <f t="shared" ca="1" si="543"/>
        <v>106.32982852203831</v>
      </c>
      <c r="K586">
        <f t="shared" ca="1" si="543"/>
        <v>101.39773156888627</v>
      </c>
      <c r="L586">
        <f t="shared" ca="1" si="543"/>
        <v>103.81077462252941</v>
      </c>
      <c r="M586">
        <f t="shared" ca="1" si="543"/>
        <v>105.77189233445115</v>
      </c>
      <c r="N586">
        <f t="shared" ca="1" si="543"/>
        <v>97.364207532840339</v>
      </c>
      <c r="O586">
        <f t="shared" ca="1" si="543"/>
        <v>93.358033979395458</v>
      </c>
      <c r="P586">
        <f t="shared" ca="1" si="543"/>
        <v>101.47813272181476</v>
      </c>
      <c r="Q586">
        <f t="shared" ca="1" si="544"/>
        <v>106.32982852203831</v>
      </c>
      <c r="R586">
        <f t="shared" ca="1" si="545"/>
        <v>0</v>
      </c>
      <c r="S586">
        <f t="shared" ca="1" si="546"/>
        <v>0</v>
      </c>
    </row>
    <row r="587" spans="5:19" x14ac:dyDescent="0.75">
      <c r="E587">
        <v>582</v>
      </c>
      <c r="F587">
        <f t="shared" si="542"/>
        <v>100</v>
      </c>
      <c r="G587">
        <f t="shared" ca="1" si="543"/>
        <v>97.760996313223515</v>
      </c>
      <c r="H587">
        <f t="shared" ca="1" si="543"/>
        <v>100.50134638293341</v>
      </c>
      <c r="I587">
        <f t="shared" ca="1" si="543"/>
        <v>95.472336572927503</v>
      </c>
      <c r="J587">
        <f t="shared" ca="1" si="543"/>
        <v>103.96044897337528</v>
      </c>
      <c r="K587">
        <f t="shared" ca="1" si="543"/>
        <v>112.95155410760043</v>
      </c>
      <c r="L587">
        <f t="shared" ca="1" si="543"/>
        <v>116.39130378783099</v>
      </c>
      <c r="M587">
        <f t="shared" ca="1" si="543"/>
        <v>124.37597259714744</v>
      </c>
      <c r="N587">
        <f t="shared" ca="1" si="543"/>
        <v>127.31158863377826</v>
      </c>
      <c r="O587">
        <f t="shared" ca="1" si="543"/>
        <v>127.96973489643055</v>
      </c>
      <c r="P587">
        <f t="shared" ca="1" si="543"/>
        <v>130.73233380679559</v>
      </c>
      <c r="Q587">
        <f t="shared" ca="1" si="544"/>
        <v>130.73233380679559</v>
      </c>
      <c r="R587">
        <f t="shared" ca="1" si="545"/>
        <v>0</v>
      </c>
      <c r="S587">
        <f t="shared" ca="1" si="546"/>
        <v>0</v>
      </c>
    </row>
    <row r="588" spans="5:19" x14ac:dyDescent="0.75">
      <c r="E588">
        <v>583</v>
      </c>
      <c r="F588">
        <f t="shared" si="542"/>
        <v>100</v>
      </c>
      <c r="G588">
        <f t="shared" ca="1" si="543"/>
        <v>105.15466367635531</v>
      </c>
      <c r="H588">
        <f t="shared" ca="1" si="543"/>
        <v>100.54262222107057</v>
      </c>
      <c r="I588">
        <f t="shared" ca="1" si="543"/>
        <v>98.359455141255353</v>
      </c>
      <c r="J588">
        <f t="shared" ca="1" si="543"/>
        <v>95.954157030028725</v>
      </c>
      <c r="K588">
        <f t="shared" ca="1" si="543"/>
        <v>96.569166353594781</v>
      </c>
      <c r="L588">
        <f t="shared" ca="1" si="543"/>
        <v>101.27821680158196</v>
      </c>
      <c r="M588">
        <f t="shared" ca="1" si="543"/>
        <v>104.45555640893602</v>
      </c>
      <c r="N588">
        <f t="shared" ca="1" si="543"/>
        <v>106.61187669764392</v>
      </c>
      <c r="O588">
        <f t="shared" ca="1" si="543"/>
        <v>109.58316833047402</v>
      </c>
      <c r="P588">
        <f t="shared" ca="1" si="543"/>
        <v>102.80586171473121</v>
      </c>
      <c r="Q588">
        <f t="shared" ca="1" si="544"/>
        <v>109.58316833047402</v>
      </c>
      <c r="R588">
        <f t="shared" ca="1" si="545"/>
        <v>0.80586171473120771</v>
      </c>
      <c r="S588">
        <f t="shared" ca="1" si="546"/>
        <v>0.78596491810149549</v>
      </c>
    </row>
    <row r="589" spans="5:19" x14ac:dyDescent="0.75">
      <c r="E589">
        <v>584</v>
      </c>
      <c r="F589">
        <f t="shared" si="542"/>
        <v>100</v>
      </c>
      <c r="G589">
        <f t="shared" ca="1" si="543"/>
        <v>92.062701269679181</v>
      </c>
      <c r="H589">
        <f t="shared" ca="1" si="543"/>
        <v>98.570097049639671</v>
      </c>
      <c r="I589">
        <f t="shared" ca="1" si="543"/>
        <v>102.94589932438083</v>
      </c>
      <c r="J589">
        <f t="shared" ca="1" si="543"/>
        <v>100.52113594138338</v>
      </c>
      <c r="K589">
        <f t="shared" ca="1" si="543"/>
        <v>96.991462162874186</v>
      </c>
      <c r="L589">
        <f t="shared" ca="1" si="543"/>
        <v>96.323734301042435</v>
      </c>
      <c r="M589">
        <f t="shared" ca="1" si="543"/>
        <v>90.972910060547733</v>
      </c>
      <c r="N589">
        <f t="shared" ca="1" si="543"/>
        <v>88.024553719309878</v>
      </c>
      <c r="O589">
        <f t="shared" ca="1" si="543"/>
        <v>85.954028820090599</v>
      </c>
      <c r="P589">
        <f t="shared" ca="1" si="543"/>
        <v>86.480829890374736</v>
      </c>
      <c r="Q589">
        <f t="shared" ca="1" si="544"/>
        <v>102.94589932438083</v>
      </c>
      <c r="R589">
        <f t="shared" ca="1" si="545"/>
        <v>0</v>
      </c>
      <c r="S589">
        <f t="shared" ca="1" si="546"/>
        <v>0</v>
      </c>
    </row>
    <row r="590" spans="5:19" x14ac:dyDescent="0.75">
      <c r="E590">
        <v>585</v>
      </c>
      <c r="F590">
        <f t="shared" si="542"/>
        <v>100</v>
      </c>
      <c r="G590">
        <f t="shared" ca="1" si="543"/>
        <v>104.53668195391835</v>
      </c>
      <c r="H590">
        <f t="shared" ca="1" si="543"/>
        <v>108.04365982967251</v>
      </c>
      <c r="I590">
        <f t="shared" ca="1" si="543"/>
        <v>107.06741442709895</v>
      </c>
      <c r="J590">
        <f t="shared" ca="1" si="543"/>
        <v>106.46233996476872</v>
      </c>
      <c r="K590">
        <f t="shared" ca="1" si="543"/>
        <v>104.99209814089467</v>
      </c>
      <c r="L590">
        <f t="shared" ca="1" si="543"/>
        <v>112.35818676469273</v>
      </c>
      <c r="M590">
        <f t="shared" ca="1" si="543"/>
        <v>110.71493761393511</v>
      </c>
      <c r="N590">
        <f t="shared" ca="1" si="543"/>
        <v>108.94236394065744</v>
      </c>
      <c r="O590">
        <f t="shared" ca="1" si="543"/>
        <v>112.74825045912492</v>
      </c>
      <c r="P590">
        <f t="shared" ca="1" si="543"/>
        <v>107.29361890817079</v>
      </c>
      <c r="Q590">
        <f t="shared" ca="1" si="544"/>
        <v>112.74825045912492</v>
      </c>
      <c r="R590">
        <f t="shared" ca="1" si="545"/>
        <v>0</v>
      </c>
      <c r="S590">
        <f t="shared" ca="1" si="546"/>
        <v>0</v>
      </c>
    </row>
    <row r="591" spans="5:19" x14ac:dyDescent="0.75">
      <c r="E591">
        <v>586</v>
      </c>
      <c r="F591">
        <f t="shared" si="542"/>
        <v>100</v>
      </c>
      <c r="G591">
        <f t="shared" ca="1" si="543"/>
        <v>99.614272029667944</v>
      </c>
      <c r="H591">
        <f t="shared" ca="1" si="543"/>
        <v>103.39040514574155</v>
      </c>
      <c r="I591">
        <f t="shared" ca="1" si="543"/>
        <v>102.03518132302322</v>
      </c>
      <c r="J591">
        <f t="shared" ca="1" si="543"/>
        <v>110.11203899251656</v>
      </c>
      <c r="K591">
        <f t="shared" ca="1" si="543"/>
        <v>104.2393733417568</v>
      </c>
      <c r="L591">
        <f t="shared" ca="1" si="543"/>
        <v>109.0761297900019</v>
      </c>
      <c r="M591">
        <f t="shared" ca="1" si="543"/>
        <v>107.43427370384373</v>
      </c>
      <c r="N591">
        <f t="shared" ca="1" si="543"/>
        <v>112.11278670590241</v>
      </c>
      <c r="O591">
        <f t="shared" ca="1" si="543"/>
        <v>110.69134046763084</v>
      </c>
      <c r="P591">
        <f t="shared" ca="1" si="543"/>
        <v>104.3715946360839</v>
      </c>
      <c r="Q591">
        <f t="shared" ca="1" si="544"/>
        <v>112.11278670590241</v>
      </c>
      <c r="R591">
        <f t="shared" ca="1" si="545"/>
        <v>0</v>
      </c>
      <c r="S591">
        <f t="shared" ca="1" si="546"/>
        <v>0</v>
      </c>
    </row>
    <row r="592" spans="5:19" x14ac:dyDescent="0.75">
      <c r="E592">
        <v>587</v>
      </c>
      <c r="F592">
        <f t="shared" si="542"/>
        <v>100</v>
      </c>
      <c r="G592">
        <f t="shared" ca="1" si="543"/>
        <v>97.927700880058765</v>
      </c>
      <c r="H592">
        <f t="shared" ca="1" si="543"/>
        <v>97.633808799421743</v>
      </c>
      <c r="I592">
        <f t="shared" ca="1" si="543"/>
        <v>97.262893086887743</v>
      </c>
      <c r="J592">
        <f t="shared" ref="J592:P592" ca="1" si="547">I592*EXP(($C$6-0.5*$C$7^2)*$C$12+$C$7*SQRT($C$12)*NORMINV(RAND(),0,1))</f>
        <v>102.70271874561126</v>
      </c>
      <c r="K592">
        <f t="shared" ca="1" si="547"/>
        <v>107.33035888807609</v>
      </c>
      <c r="L592">
        <f t="shared" ca="1" si="547"/>
        <v>107.92652271251333</v>
      </c>
      <c r="M592">
        <f t="shared" ca="1" si="547"/>
        <v>108.70261940049352</v>
      </c>
      <c r="N592">
        <f t="shared" ca="1" si="547"/>
        <v>106.15020081092975</v>
      </c>
      <c r="O592">
        <f t="shared" ca="1" si="547"/>
        <v>113.21167923598321</v>
      </c>
      <c r="P592">
        <f t="shared" ca="1" si="547"/>
        <v>122.54864792782142</v>
      </c>
      <c r="Q592">
        <f t="shared" ca="1" si="544"/>
        <v>122.54864792782142</v>
      </c>
      <c r="R592">
        <f t="shared" ca="1" si="545"/>
        <v>0</v>
      </c>
      <c r="S592">
        <f t="shared" ca="1" si="546"/>
        <v>0</v>
      </c>
    </row>
    <row r="593" spans="5:19" x14ac:dyDescent="0.75">
      <c r="E593">
        <v>588</v>
      </c>
      <c r="F593">
        <f t="shared" si="542"/>
        <v>100</v>
      </c>
      <c r="G593">
        <f t="shared" ca="1" si="543"/>
        <v>99.538406613758056</v>
      </c>
      <c r="H593">
        <f t="shared" ca="1" si="543"/>
        <v>96.768065293310485</v>
      </c>
      <c r="I593">
        <f t="shared" ca="1" si="543"/>
        <v>97.542290648076531</v>
      </c>
      <c r="J593">
        <f t="shared" ref="J593:P593" ca="1" si="548">I593*EXP(($C$6-0.5*$C$7^2)*$C$12+$C$7*SQRT($C$12)*NORMINV(RAND(),0,1))</f>
        <v>100.84705034642704</v>
      </c>
      <c r="K593">
        <f t="shared" ca="1" si="548"/>
        <v>103.18869318153128</v>
      </c>
      <c r="L593">
        <f t="shared" ca="1" si="548"/>
        <v>103.45409519650576</v>
      </c>
      <c r="M593">
        <f t="shared" ca="1" si="548"/>
        <v>105.04053813099092</v>
      </c>
      <c r="N593">
        <f t="shared" ca="1" si="548"/>
        <v>106.20030058662422</v>
      </c>
      <c r="O593">
        <f t="shared" ca="1" si="548"/>
        <v>107.60659313039855</v>
      </c>
      <c r="P593">
        <f t="shared" ca="1" si="548"/>
        <v>111.03350216959664</v>
      </c>
      <c r="Q593">
        <f t="shared" ca="1" si="544"/>
        <v>111.03350216959664</v>
      </c>
      <c r="R593">
        <f t="shared" ca="1" si="545"/>
        <v>0</v>
      </c>
      <c r="S593">
        <f t="shared" ca="1" si="546"/>
        <v>0</v>
      </c>
    </row>
    <row r="594" spans="5:19" x14ac:dyDescent="0.75">
      <c r="E594">
        <v>589</v>
      </c>
      <c r="F594">
        <f t="shared" si="542"/>
        <v>100</v>
      </c>
      <c r="G594">
        <f t="shared" ca="1" si="543"/>
        <v>104.08020123440616</v>
      </c>
      <c r="H594">
        <f t="shared" ca="1" si="543"/>
        <v>103.87226585995147</v>
      </c>
      <c r="I594">
        <f t="shared" ca="1" si="543"/>
        <v>109.88788144705484</v>
      </c>
      <c r="J594">
        <f t="shared" ref="J594:P594" ca="1" si="549">I594*EXP(($C$6-0.5*$C$7^2)*$C$12+$C$7*SQRT($C$12)*NORMINV(RAND(),0,1))</f>
        <v>112.01069161312911</v>
      </c>
      <c r="K594">
        <f t="shared" ca="1" si="549"/>
        <v>103.97873190797755</v>
      </c>
      <c r="L594">
        <f t="shared" ca="1" si="549"/>
        <v>110.9464130021825</v>
      </c>
      <c r="M594">
        <f t="shared" ca="1" si="549"/>
        <v>110.27037503243457</v>
      </c>
      <c r="N594">
        <f t="shared" ca="1" si="549"/>
        <v>108.013358715216</v>
      </c>
      <c r="O594">
        <f t="shared" ca="1" si="549"/>
        <v>113.27337511272181</v>
      </c>
      <c r="P594">
        <f t="shared" ca="1" si="549"/>
        <v>112.73287385730751</v>
      </c>
      <c r="Q594">
        <f t="shared" ca="1" si="544"/>
        <v>113.27337511272181</v>
      </c>
      <c r="R594">
        <f t="shared" ca="1" si="545"/>
        <v>0</v>
      </c>
      <c r="S594">
        <f t="shared" ca="1" si="546"/>
        <v>0</v>
      </c>
    </row>
    <row r="595" spans="5:19" x14ac:dyDescent="0.75">
      <c r="E595">
        <v>590</v>
      </c>
      <c r="F595">
        <f t="shared" si="542"/>
        <v>100</v>
      </c>
      <c r="G595">
        <f t="shared" ca="1" si="543"/>
        <v>109.78934115747884</v>
      </c>
      <c r="H595">
        <f t="shared" ca="1" si="543"/>
        <v>106.48374657380313</v>
      </c>
      <c r="I595">
        <f t="shared" ca="1" si="543"/>
        <v>104.62620316432094</v>
      </c>
      <c r="J595">
        <f t="shared" ref="J595:P595" ca="1" si="550">I595*EXP(($C$6-0.5*$C$7^2)*$C$12+$C$7*SQRT($C$12)*NORMINV(RAND(),0,1))</f>
        <v>100.12247248031437</v>
      </c>
      <c r="K595">
        <f t="shared" ca="1" si="550"/>
        <v>101.24018390176963</v>
      </c>
      <c r="L595">
        <f t="shared" ca="1" si="550"/>
        <v>101.14947491074118</v>
      </c>
      <c r="M595">
        <f t="shared" ca="1" si="550"/>
        <v>103.27276247865177</v>
      </c>
      <c r="N595">
        <f t="shared" ca="1" si="550"/>
        <v>109.39482289546685</v>
      </c>
      <c r="O595">
        <f t="shared" ca="1" si="550"/>
        <v>112.0710525364938</v>
      </c>
      <c r="P595">
        <f t="shared" ca="1" si="550"/>
        <v>110.69342702616012</v>
      </c>
      <c r="Q595">
        <f t="shared" ca="1" si="544"/>
        <v>112.0710525364938</v>
      </c>
      <c r="R595">
        <f t="shared" ca="1" si="545"/>
        <v>0</v>
      </c>
      <c r="S595">
        <f t="shared" ca="1" si="546"/>
        <v>0</v>
      </c>
    </row>
    <row r="596" spans="5:19" x14ac:dyDescent="0.75">
      <c r="E596">
        <v>591</v>
      </c>
      <c r="F596">
        <f t="shared" si="542"/>
        <v>100</v>
      </c>
      <c r="G596">
        <f t="shared" ca="1" si="543"/>
        <v>100.44422408503915</v>
      </c>
      <c r="H596">
        <f t="shared" ca="1" si="543"/>
        <v>103.91175559451779</v>
      </c>
      <c r="I596">
        <f t="shared" ca="1" si="543"/>
        <v>96.20357722511784</v>
      </c>
      <c r="J596">
        <f t="shared" ref="J596:P596" ca="1" si="551">I596*EXP(($C$6-0.5*$C$7^2)*$C$12+$C$7*SQRT($C$12)*NORMINV(RAND(),0,1))</f>
        <v>99.030236592543403</v>
      </c>
      <c r="K596">
        <f t="shared" ca="1" si="551"/>
        <v>85.66049540923791</v>
      </c>
      <c r="L596">
        <f t="shared" ca="1" si="551"/>
        <v>82.174733853673729</v>
      </c>
      <c r="M596">
        <f t="shared" ca="1" si="551"/>
        <v>76.79277059637927</v>
      </c>
      <c r="N596">
        <f t="shared" ca="1" si="551"/>
        <v>72.923410136042136</v>
      </c>
      <c r="O596">
        <f t="shared" ca="1" si="551"/>
        <v>77.142562348215591</v>
      </c>
      <c r="P596">
        <f t="shared" ca="1" si="551"/>
        <v>74.313185174849721</v>
      </c>
      <c r="Q596">
        <f t="shared" ca="1" si="544"/>
        <v>103.91175559451779</v>
      </c>
      <c r="R596">
        <f t="shared" ca="1" si="545"/>
        <v>0</v>
      </c>
      <c r="S596">
        <f t="shared" ca="1" si="546"/>
        <v>0</v>
      </c>
    </row>
    <row r="597" spans="5:19" x14ac:dyDescent="0.75">
      <c r="E597">
        <v>592</v>
      </c>
      <c r="F597">
        <f t="shared" si="542"/>
        <v>100</v>
      </c>
      <c r="G597">
        <f t="shared" ca="1" si="543"/>
        <v>100.10869653601368</v>
      </c>
      <c r="H597">
        <f t="shared" ca="1" si="543"/>
        <v>110.0705394219986</v>
      </c>
      <c r="I597">
        <f t="shared" ca="1" si="543"/>
        <v>115.87865584179922</v>
      </c>
      <c r="J597">
        <f t="shared" ref="J597:P597" ca="1" si="552">I597*EXP(($C$6-0.5*$C$7^2)*$C$12+$C$7*SQRT($C$12)*NORMINV(RAND(),0,1))</f>
        <v>110.48976761297321</v>
      </c>
      <c r="K597">
        <f t="shared" ca="1" si="552"/>
        <v>111.16856185798063</v>
      </c>
      <c r="L597">
        <f t="shared" ca="1" si="552"/>
        <v>116.20137030254084</v>
      </c>
      <c r="M597">
        <f t="shared" ca="1" si="552"/>
        <v>117.87863858792731</v>
      </c>
      <c r="N597">
        <f t="shared" ca="1" si="552"/>
        <v>120.77724791378013</v>
      </c>
      <c r="O597">
        <f t="shared" ca="1" si="552"/>
        <v>112.25944785180752</v>
      </c>
      <c r="P597">
        <f t="shared" ca="1" si="552"/>
        <v>116.88112173459093</v>
      </c>
      <c r="Q597">
        <f t="shared" ca="1" si="544"/>
        <v>120.77724791378013</v>
      </c>
      <c r="R597">
        <f t="shared" ca="1" si="545"/>
        <v>0</v>
      </c>
      <c r="S597">
        <f t="shared" ca="1" si="546"/>
        <v>0</v>
      </c>
    </row>
    <row r="598" spans="5:19" x14ac:dyDescent="0.75">
      <c r="E598">
        <v>593</v>
      </c>
      <c r="F598">
        <f t="shared" si="542"/>
        <v>100</v>
      </c>
      <c r="G598">
        <f t="shared" ca="1" si="543"/>
        <v>102.2297644129297</v>
      </c>
      <c r="H598">
        <f t="shared" ca="1" si="543"/>
        <v>107.75186314773667</v>
      </c>
      <c r="I598">
        <f t="shared" ca="1" si="543"/>
        <v>114.83894203217965</v>
      </c>
      <c r="J598">
        <f t="shared" ref="J598:P598" ca="1" si="553">I598*EXP(($C$6-0.5*$C$7^2)*$C$12+$C$7*SQRT($C$12)*NORMINV(RAND(),0,1))</f>
        <v>111.31140451022479</v>
      </c>
      <c r="K598">
        <f t="shared" ca="1" si="553"/>
        <v>114.61275885952783</v>
      </c>
      <c r="L598">
        <f t="shared" ca="1" si="553"/>
        <v>112.65378250135511</v>
      </c>
      <c r="M598">
        <f t="shared" ca="1" si="553"/>
        <v>110.00157310195513</v>
      </c>
      <c r="N598">
        <f t="shared" ca="1" si="553"/>
        <v>113.78936718231738</v>
      </c>
      <c r="O598">
        <f t="shared" ca="1" si="553"/>
        <v>107.152105790542</v>
      </c>
      <c r="P598">
        <f t="shared" ca="1" si="553"/>
        <v>109.91275500969439</v>
      </c>
      <c r="Q598">
        <f t="shared" ca="1" si="544"/>
        <v>114.83894203217965</v>
      </c>
      <c r="R598">
        <f t="shared" ca="1" si="545"/>
        <v>0</v>
      </c>
      <c r="S598">
        <f t="shared" ca="1" si="546"/>
        <v>0</v>
      </c>
    </row>
    <row r="599" spans="5:19" x14ac:dyDescent="0.75">
      <c r="E599">
        <v>594</v>
      </c>
      <c r="F599">
        <f t="shared" si="542"/>
        <v>100</v>
      </c>
      <c r="G599">
        <f t="shared" ca="1" si="543"/>
        <v>103.12895016637557</v>
      </c>
      <c r="H599">
        <f t="shared" ca="1" si="543"/>
        <v>100.85929450306271</v>
      </c>
      <c r="I599">
        <f t="shared" ca="1" si="543"/>
        <v>101.17381436536463</v>
      </c>
      <c r="J599">
        <f t="shared" ref="J599:P599" ca="1" si="554">I599*EXP(($C$6-0.5*$C$7^2)*$C$12+$C$7*SQRT($C$12)*NORMINV(RAND(),0,1))</f>
        <v>98.476336781006651</v>
      </c>
      <c r="K599">
        <f t="shared" ca="1" si="554"/>
        <v>93.332674245940524</v>
      </c>
      <c r="L599">
        <f t="shared" ca="1" si="554"/>
        <v>92.716646266379911</v>
      </c>
      <c r="M599">
        <f t="shared" ca="1" si="554"/>
        <v>91.375103352099032</v>
      </c>
      <c r="N599">
        <f t="shared" ca="1" si="554"/>
        <v>90.556850111983891</v>
      </c>
      <c r="O599">
        <f t="shared" ca="1" si="554"/>
        <v>92.859007011246447</v>
      </c>
      <c r="P599">
        <f t="shared" ca="1" si="554"/>
        <v>90.504183417180144</v>
      </c>
      <c r="Q599">
        <f t="shared" ca="1" si="544"/>
        <v>103.12895016637557</v>
      </c>
      <c r="R599">
        <f t="shared" ca="1" si="545"/>
        <v>0</v>
      </c>
      <c r="S599">
        <f t="shared" ca="1" si="546"/>
        <v>0</v>
      </c>
    </row>
    <row r="600" spans="5:19" x14ac:dyDescent="0.75">
      <c r="E600">
        <v>595</v>
      </c>
      <c r="F600">
        <f t="shared" si="542"/>
        <v>100</v>
      </c>
      <c r="G600">
        <f t="shared" ca="1" si="543"/>
        <v>97.063755512368218</v>
      </c>
      <c r="H600">
        <f t="shared" ca="1" si="543"/>
        <v>94.17099591898662</v>
      </c>
      <c r="I600">
        <f t="shared" ca="1" si="543"/>
        <v>92.639080731276877</v>
      </c>
      <c r="J600">
        <f t="shared" ref="J600:P600" ca="1" si="555">I600*EXP(($C$6-0.5*$C$7^2)*$C$12+$C$7*SQRT($C$12)*NORMINV(RAND(),0,1))</f>
        <v>100.34898043129</v>
      </c>
      <c r="K600">
        <f t="shared" ca="1" si="555"/>
        <v>94.130166428840823</v>
      </c>
      <c r="L600">
        <f t="shared" ca="1" si="555"/>
        <v>95.111885749569254</v>
      </c>
      <c r="M600">
        <f t="shared" ca="1" si="555"/>
        <v>91.556719438070303</v>
      </c>
      <c r="N600">
        <f t="shared" ca="1" si="555"/>
        <v>97.535270701357092</v>
      </c>
      <c r="O600">
        <f t="shared" ca="1" si="555"/>
        <v>102.65930638352999</v>
      </c>
      <c r="P600">
        <f t="shared" ca="1" si="555"/>
        <v>106.01225368010648</v>
      </c>
      <c r="Q600">
        <f t="shared" ca="1" si="544"/>
        <v>106.01225368010648</v>
      </c>
      <c r="R600">
        <f t="shared" ca="1" si="545"/>
        <v>4.0122536801064825</v>
      </c>
      <c r="S600">
        <f t="shared" ca="1" si="546"/>
        <v>3.9131907837800073</v>
      </c>
    </row>
    <row r="601" spans="5:19" x14ac:dyDescent="0.75">
      <c r="E601">
        <v>596</v>
      </c>
      <c r="F601">
        <f t="shared" si="542"/>
        <v>100</v>
      </c>
      <c r="G601">
        <f t="shared" ca="1" si="543"/>
        <v>106.43263295321132</v>
      </c>
      <c r="H601">
        <f t="shared" ca="1" si="543"/>
        <v>102.87159135634985</v>
      </c>
      <c r="I601">
        <f t="shared" ca="1" si="543"/>
        <v>105.79163838259281</v>
      </c>
      <c r="J601">
        <f t="shared" ref="J601:P601" ca="1" si="556">I601*EXP(($C$6-0.5*$C$7^2)*$C$12+$C$7*SQRT($C$12)*NORMINV(RAND(),0,1))</f>
        <v>109.72281675372042</v>
      </c>
      <c r="K601">
        <f t="shared" ca="1" si="556"/>
        <v>110.22511382422012</v>
      </c>
      <c r="L601">
        <f t="shared" ca="1" si="556"/>
        <v>102.77111389199956</v>
      </c>
      <c r="M601">
        <f t="shared" ca="1" si="556"/>
        <v>108.61372444602269</v>
      </c>
      <c r="N601">
        <f t="shared" ca="1" si="556"/>
        <v>103.82341277003518</v>
      </c>
      <c r="O601">
        <f t="shared" ca="1" si="556"/>
        <v>101.75391777714856</v>
      </c>
      <c r="P601">
        <f t="shared" ca="1" si="556"/>
        <v>108.29622464251044</v>
      </c>
      <c r="Q601">
        <f t="shared" ca="1" si="544"/>
        <v>110.22511382422012</v>
      </c>
      <c r="R601">
        <f t="shared" ca="1" si="545"/>
        <v>0</v>
      </c>
      <c r="S601">
        <f t="shared" ca="1" si="546"/>
        <v>0</v>
      </c>
    </row>
    <row r="602" spans="5:19" x14ac:dyDescent="0.75">
      <c r="E602">
        <v>597</v>
      </c>
      <c r="F602">
        <f t="shared" si="542"/>
        <v>100</v>
      </c>
      <c r="G602">
        <f t="shared" ca="1" si="543"/>
        <v>100.51652238699258</v>
      </c>
      <c r="H602">
        <f t="shared" ca="1" si="543"/>
        <v>101.29365088762299</v>
      </c>
      <c r="I602">
        <f t="shared" ca="1" si="543"/>
        <v>100.50776504038799</v>
      </c>
      <c r="J602">
        <f t="shared" ref="J602:P602" ca="1" si="557">I602*EXP(($C$6-0.5*$C$7^2)*$C$12+$C$7*SQRT($C$12)*NORMINV(RAND(),0,1))</f>
        <v>101.18125886053892</v>
      </c>
      <c r="K602">
        <f t="shared" ca="1" si="557"/>
        <v>102.46025003859749</v>
      </c>
      <c r="L602">
        <f t="shared" ca="1" si="557"/>
        <v>107.84771116170249</v>
      </c>
      <c r="M602">
        <f t="shared" ca="1" si="557"/>
        <v>105.29037900800714</v>
      </c>
      <c r="N602">
        <f t="shared" ca="1" si="557"/>
        <v>106.12599926711273</v>
      </c>
      <c r="O602">
        <f t="shared" ca="1" si="557"/>
        <v>103.03295125814677</v>
      </c>
      <c r="P602">
        <f t="shared" ca="1" si="557"/>
        <v>108.12696477645893</v>
      </c>
      <c r="Q602">
        <f t="shared" ca="1" si="544"/>
        <v>108.12696477645893</v>
      </c>
      <c r="R602">
        <f t="shared" ca="1" si="545"/>
        <v>6.1269647764589337</v>
      </c>
      <c r="S602">
        <f t="shared" ca="1" si="546"/>
        <v>5.9756894771288556</v>
      </c>
    </row>
    <row r="603" spans="5:19" x14ac:dyDescent="0.75">
      <c r="E603">
        <v>598</v>
      </c>
      <c r="F603">
        <f t="shared" si="542"/>
        <v>100</v>
      </c>
      <c r="G603">
        <f t="shared" ca="1" si="543"/>
        <v>98.447926691894168</v>
      </c>
      <c r="H603">
        <f t="shared" ca="1" si="543"/>
        <v>101.98788116126885</v>
      </c>
      <c r="I603">
        <f t="shared" ca="1" si="543"/>
        <v>105.41539503211769</v>
      </c>
      <c r="J603">
        <f t="shared" ref="J603:P603" ca="1" si="558">I603*EXP(($C$6-0.5*$C$7^2)*$C$12+$C$7*SQRT($C$12)*NORMINV(RAND(),0,1))</f>
        <v>104.89763196280192</v>
      </c>
      <c r="K603">
        <f t="shared" ca="1" si="558"/>
        <v>105.35872748938345</v>
      </c>
      <c r="L603">
        <f t="shared" ca="1" si="558"/>
        <v>112.8471468670414</v>
      </c>
      <c r="M603">
        <f t="shared" ca="1" si="558"/>
        <v>110.72547960618843</v>
      </c>
      <c r="N603">
        <f t="shared" ca="1" si="558"/>
        <v>105.24975456292415</v>
      </c>
      <c r="O603">
        <f t="shared" ca="1" si="558"/>
        <v>107.79427070539178</v>
      </c>
      <c r="P603">
        <f t="shared" ca="1" si="558"/>
        <v>112.68441925926582</v>
      </c>
      <c r="Q603">
        <f t="shared" ca="1" si="544"/>
        <v>112.8471468670414</v>
      </c>
      <c r="R603">
        <f t="shared" ca="1" si="545"/>
        <v>0</v>
      </c>
      <c r="S603">
        <f t="shared" ca="1" si="546"/>
        <v>0</v>
      </c>
    </row>
    <row r="604" spans="5:19" x14ac:dyDescent="0.75">
      <c r="E604">
        <v>599</v>
      </c>
      <c r="F604">
        <f t="shared" si="542"/>
        <v>100</v>
      </c>
      <c r="G604">
        <f t="shared" ca="1" si="543"/>
        <v>99.81431947256236</v>
      </c>
      <c r="H604">
        <f t="shared" ca="1" si="543"/>
        <v>99.50656612499607</v>
      </c>
      <c r="I604">
        <f t="shared" ca="1" si="543"/>
        <v>94.313865665576529</v>
      </c>
      <c r="J604">
        <f t="shared" ref="J604:P604" ca="1" si="559">I604*EXP(($C$6-0.5*$C$7^2)*$C$12+$C$7*SQRT($C$12)*NORMINV(RAND(),0,1))</f>
        <v>86.288984294539759</v>
      </c>
      <c r="K604">
        <f t="shared" ca="1" si="559"/>
        <v>88.806855068351481</v>
      </c>
      <c r="L604">
        <f t="shared" ca="1" si="559"/>
        <v>76.840628219743465</v>
      </c>
      <c r="M604">
        <f t="shared" ca="1" si="559"/>
        <v>79.120234237606311</v>
      </c>
      <c r="N604">
        <f t="shared" ca="1" si="559"/>
        <v>81.223861979200905</v>
      </c>
      <c r="O604">
        <f t="shared" ca="1" si="559"/>
        <v>75.544304325045232</v>
      </c>
      <c r="P604">
        <f t="shared" ca="1" si="559"/>
        <v>74.876750697235352</v>
      </c>
      <c r="Q604">
        <f t="shared" ca="1" si="544"/>
        <v>99.81431947256236</v>
      </c>
      <c r="R604">
        <f t="shared" ca="1" si="545"/>
        <v>0</v>
      </c>
      <c r="S604">
        <f t="shared" ca="1" si="546"/>
        <v>0</v>
      </c>
    </row>
    <row r="605" spans="5:19" x14ac:dyDescent="0.75">
      <c r="E605">
        <v>600</v>
      </c>
      <c r="F605">
        <f t="shared" si="542"/>
        <v>100</v>
      </c>
      <c r="G605">
        <f t="shared" ca="1" si="543"/>
        <v>99.624650463641558</v>
      </c>
      <c r="H605">
        <f t="shared" ca="1" si="543"/>
        <v>101.79147163412145</v>
      </c>
      <c r="I605">
        <f t="shared" ca="1" si="543"/>
        <v>96.368146862856733</v>
      </c>
      <c r="J605">
        <f t="shared" ref="J605:P605" ca="1" si="560">I605*EXP(($C$6-0.5*$C$7^2)*$C$12+$C$7*SQRT($C$12)*NORMINV(RAND(),0,1))</f>
        <v>100.45995178105842</v>
      </c>
      <c r="K605">
        <f t="shared" ca="1" si="560"/>
        <v>101.1879955800328</v>
      </c>
      <c r="L605">
        <f t="shared" ca="1" si="560"/>
        <v>98.425601871106693</v>
      </c>
      <c r="M605">
        <f t="shared" ca="1" si="560"/>
        <v>106.2208492906383</v>
      </c>
      <c r="N605">
        <f t="shared" ca="1" si="560"/>
        <v>106.15076061918974</v>
      </c>
      <c r="O605">
        <f t="shared" ca="1" si="560"/>
        <v>110.60178081206038</v>
      </c>
      <c r="P605">
        <f t="shared" ca="1" si="560"/>
        <v>117.49254405706077</v>
      </c>
      <c r="Q605">
        <f t="shared" ca="1" si="544"/>
        <v>117.49254405706077</v>
      </c>
      <c r="R605">
        <f t="shared" ca="1" si="545"/>
        <v>0</v>
      </c>
      <c r="S605">
        <f t="shared" ca="1" si="546"/>
        <v>0</v>
      </c>
    </row>
    <row r="606" spans="5:19" x14ac:dyDescent="0.75">
      <c r="E606">
        <v>601</v>
      </c>
      <c r="F606">
        <f t="shared" si="542"/>
        <v>100</v>
      </c>
      <c r="G606">
        <f t="shared" ca="1" si="543"/>
        <v>102.24180177992012</v>
      </c>
      <c r="H606">
        <f t="shared" ca="1" si="543"/>
        <v>97.009402287888065</v>
      </c>
      <c r="I606">
        <f t="shared" ca="1" si="543"/>
        <v>103.67947046928785</v>
      </c>
      <c r="J606">
        <f t="shared" ref="J606:P606" ca="1" si="561">I606*EXP(($C$6-0.5*$C$7^2)*$C$12+$C$7*SQRT($C$12)*NORMINV(RAND(),0,1))</f>
        <v>98.986686347825184</v>
      </c>
      <c r="K606">
        <f t="shared" ca="1" si="561"/>
        <v>101.89047496710454</v>
      </c>
      <c r="L606">
        <f t="shared" ca="1" si="561"/>
        <v>107.28054359817617</v>
      </c>
      <c r="M606">
        <f t="shared" ca="1" si="561"/>
        <v>104.16836089139639</v>
      </c>
      <c r="N606">
        <f t="shared" ca="1" si="561"/>
        <v>108.91632666127309</v>
      </c>
      <c r="O606">
        <f t="shared" ca="1" si="561"/>
        <v>113.69870155922173</v>
      </c>
      <c r="P606">
        <f t="shared" ca="1" si="561"/>
        <v>118.31868966792129</v>
      </c>
      <c r="Q606">
        <f t="shared" ca="1" si="544"/>
        <v>118.31868966792129</v>
      </c>
      <c r="R606">
        <f t="shared" ca="1" si="545"/>
        <v>0</v>
      </c>
      <c r="S606">
        <f t="shared" ca="1" si="546"/>
        <v>0</v>
      </c>
    </row>
    <row r="607" spans="5:19" x14ac:dyDescent="0.75">
      <c r="E607">
        <v>602</v>
      </c>
      <c r="F607">
        <f t="shared" si="542"/>
        <v>100</v>
      </c>
      <c r="G607">
        <f t="shared" ca="1" si="543"/>
        <v>102.36728210795476</v>
      </c>
      <c r="H607">
        <f t="shared" ca="1" si="543"/>
        <v>101.75099561443305</v>
      </c>
      <c r="I607">
        <f t="shared" ca="1" si="543"/>
        <v>89.865178121701732</v>
      </c>
      <c r="J607">
        <f t="shared" ref="J607:P607" ca="1" si="562">I607*EXP(($C$6-0.5*$C$7^2)*$C$12+$C$7*SQRT($C$12)*NORMINV(RAND(),0,1))</f>
        <v>84.189609242905703</v>
      </c>
      <c r="K607">
        <f t="shared" ca="1" si="562"/>
        <v>83.444948175515009</v>
      </c>
      <c r="L607">
        <f t="shared" ca="1" si="562"/>
        <v>82.16244078819507</v>
      </c>
      <c r="M607">
        <f t="shared" ca="1" si="562"/>
        <v>83.07121041376864</v>
      </c>
      <c r="N607">
        <f t="shared" ca="1" si="562"/>
        <v>88.188686751827461</v>
      </c>
      <c r="O607">
        <f t="shared" ca="1" si="562"/>
        <v>90.308379211412159</v>
      </c>
      <c r="P607">
        <f t="shared" ca="1" si="562"/>
        <v>86.605772204549183</v>
      </c>
      <c r="Q607">
        <f t="shared" ca="1" si="544"/>
        <v>102.36728210795476</v>
      </c>
      <c r="R607">
        <f t="shared" ca="1" si="545"/>
        <v>0</v>
      </c>
      <c r="S607">
        <f t="shared" ca="1" si="546"/>
        <v>0</v>
      </c>
    </row>
    <row r="608" spans="5:19" x14ac:dyDescent="0.75">
      <c r="E608">
        <v>603</v>
      </c>
      <c r="F608">
        <f t="shared" si="542"/>
        <v>100</v>
      </c>
      <c r="G608">
        <f t="shared" ca="1" si="543"/>
        <v>97.78540673002874</v>
      </c>
      <c r="H608">
        <f t="shared" ca="1" si="543"/>
        <v>101.15786459723394</v>
      </c>
      <c r="I608">
        <f t="shared" ca="1" si="543"/>
        <v>103.5938668214046</v>
      </c>
      <c r="J608">
        <f t="shared" ref="J608:P608" ca="1" si="563">I608*EXP(($C$6-0.5*$C$7^2)*$C$12+$C$7*SQRT($C$12)*NORMINV(RAND(),0,1))</f>
        <v>99.420904831017822</v>
      </c>
      <c r="K608">
        <f t="shared" ca="1" si="563"/>
        <v>99.777201908810511</v>
      </c>
      <c r="L608">
        <f t="shared" ca="1" si="563"/>
        <v>102.53398745310275</v>
      </c>
      <c r="M608">
        <f t="shared" ca="1" si="563"/>
        <v>99.217987852266333</v>
      </c>
      <c r="N608">
        <f t="shared" ca="1" si="563"/>
        <v>105.04491444582904</v>
      </c>
      <c r="O608">
        <f t="shared" ca="1" si="563"/>
        <v>105.00858969933988</v>
      </c>
      <c r="P608">
        <f t="shared" ca="1" si="563"/>
        <v>98.544586998664855</v>
      </c>
      <c r="Q608">
        <f t="shared" ca="1" si="544"/>
        <v>105.04491444582904</v>
      </c>
      <c r="R608">
        <f t="shared" ca="1" si="545"/>
        <v>0</v>
      </c>
      <c r="S608">
        <f t="shared" ca="1" si="546"/>
        <v>0</v>
      </c>
    </row>
    <row r="609" spans="5:19" x14ac:dyDescent="0.75">
      <c r="E609">
        <v>604</v>
      </c>
      <c r="F609">
        <f t="shared" si="542"/>
        <v>100</v>
      </c>
      <c r="G609">
        <f t="shared" ca="1" si="543"/>
        <v>99.46028737445593</v>
      </c>
      <c r="H609">
        <f t="shared" ca="1" si="543"/>
        <v>92.800079976813691</v>
      </c>
      <c r="I609">
        <f t="shared" ca="1" si="543"/>
        <v>93.761755163137948</v>
      </c>
      <c r="J609">
        <f t="shared" ref="J609:P609" ca="1" si="564">I609*EXP(($C$6-0.5*$C$7^2)*$C$12+$C$7*SQRT($C$12)*NORMINV(RAND(),0,1))</f>
        <v>91.774530188833268</v>
      </c>
      <c r="K609">
        <f t="shared" ca="1" si="564"/>
        <v>91.957694988315822</v>
      </c>
      <c r="L609">
        <f t="shared" ca="1" si="564"/>
        <v>93.301737171445893</v>
      </c>
      <c r="M609">
        <f t="shared" ca="1" si="564"/>
        <v>93.536527372035735</v>
      </c>
      <c r="N609">
        <f t="shared" ca="1" si="564"/>
        <v>100.66686769845882</v>
      </c>
      <c r="O609">
        <f t="shared" ca="1" si="564"/>
        <v>102.78702757602044</v>
      </c>
      <c r="P609">
        <f t="shared" ca="1" si="564"/>
        <v>107.41041175351427</v>
      </c>
      <c r="Q609">
        <f t="shared" ca="1" si="544"/>
        <v>107.41041175351427</v>
      </c>
      <c r="R609">
        <f t="shared" ca="1" si="545"/>
        <v>5.4104117535142677</v>
      </c>
      <c r="S609">
        <f t="shared" ca="1" si="546"/>
        <v>5.2768282113570573</v>
      </c>
    </row>
    <row r="610" spans="5:19" x14ac:dyDescent="0.75">
      <c r="E610">
        <v>605</v>
      </c>
      <c r="F610">
        <f t="shared" si="542"/>
        <v>100</v>
      </c>
      <c r="G610">
        <f t="shared" ca="1" si="543"/>
        <v>99.663894902291133</v>
      </c>
      <c r="H610">
        <f t="shared" ca="1" si="543"/>
        <v>105.77840029494642</v>
      </c>
      <c r="I610">
        <f t="shared" ca="1" si="543"/>
        <v>112.66410525515491</v>
      </c>
      <c r="J610">
        <f t="shared" ref="J610:P610" ca="1" si="565">I610*EXP(($C$6-0.5*$C$7^2)*$C$12+$C$7*SQRT($C$12)*NORMINV(RAND(),0,1))</f>
        <v>123.74434927335024</v>
      </c>
      <c r="K610">
        <f t="shared" ca="1" si="565"/>
        <v>126.87167038045965</v>
      </c>
      <c r="L610">
        <f t="shared" ca="1" si="565"/>
        <v>125.52409596737235</v>
      </c>
      <c r="M610">
        <f t="shared" ca="1" si="565"/>
        <v>131.18914544343846</v>
      </c>
      <c r="N610">
        <f t="shared" ca="1" si="565"/>
        <v>123.80914769513839</v>
      </c>
      <c r="O610">
        <f t="shared" ca="1" si="565"/>
        <v>123.1023014967931</v>
      </c>
      <c r="P610">
        <f t="shared" ca="1" si="565"/>
        <v>126.90474563541186</v>
      </c>
      <c r="Q610">
        <f t="shared" ca="1" si="544"/>
        <v>131.18914544343846</v>
      </c>
      <c r="R610">
        <f t="shared" ca="1" si="545"/>
        <v>0</v>
      </c>
      <c r="S610">
        <f t="shared" ca="1" si="546"/>
        <v>0</v>
      </c>
    </row>
    <row r="611" spans="5:19" x14ac:dyDescent="0.75">
      <c r="E611">
        <v>606</v>
      </c>
      <c r="F611">
        <f t="shared" si="542"/>
        <v>100</v>
      </c>
      <c r="G611">
        <f t="shared" ca="1" si="543"/>
        <v>104.22783625490115</v>
      </c>
      <c r="H611">
        <f t="shared" ca="1" si="543"/>
        <v>104.19399955373758</v>
      </c>
      <c r="I611">
        <f t="shared" ca="1" si="543"/>
        <v>113.1485804960266</v>
      </c>
      <c r="J611">
        <f t="shared" ref="J611:P611" ca="1" si="566">I611*EXP(($C$6-0.5*$C$7^2)*$C$12+$C$7*SQRT($C$12)*NORMINV(RAND(),0,1))</f>
        <v>113.35924743086643</v>
      </c>
      <c r="K611">
        <f t="shared" ca="1" si="566"/>
        <v>113.23508408969521</v>
      </c>
      <c r="L611">
        <f t="shared" ca="1" si="566"/>
        <v>107.67131807651526</v>
      </c>
      <c r="M611">
        <f t="shared" ca="1" si="566"/>
        <v>102.73547827002491</v>
      </c>
      <c r="N611">
        <f t="shared" ca="1" si="566"/>
        <v>102.5757538897041</v>
      </c>
      <c r="O611">
        <f t="shared" ca="1" si="566"/>
        <v>100.39917425747439</v>
      </c>
      <c r="P611">
        <f t="shared" ca="1" si="566"/>
        <v>108.7307665419132</v>
      </c>
      <c r="Q611">
        <f t="shared" ca="1" si="544"/>
        <v>113.35924743086643</v>
      </c>
      <c r="R611">
        <f t="shared" ca="1" si="545"/>
        <v>0</v>
      </c>
      <c r="S611">
        <f t="shared" ca="1" si="546"/>
        <v>0</v>
      </c>
    </row>
    <row r="612" spans="5:19" x14ac:dyDescent="0.75">
      <c r="E612">
        <v>607</v>
      </c>
      <c r="F612">
        <f t="shared" si="542"/>
        <v>100</v>
      </c>
      <c r="G612">
        <f t="shared" ca="1" si="543"/>
        <v>106.44599948907074</v>
      </c>
      <c r="H612">
        <f t="shared" ca="1" si="543"/>
        <v>112.34847372210855</v>
      </c>
      <c r="I612">
        <f t="shared" ca="1" si="543"/>
        <v>111.41679540438331</v>
      </c>
      <c r="J612">
        <f t="shared" ref="J612:P612" ca="1" si="567">I612*EXP(($C$6-0.5*$C$7^2)*$C$12+$C$7*SQRT($C$12)*NORMINV(RAND(),0,1))</f>
        <v>113.16463945628308</v>
      </c>
      <c r="K612">
        <f t="shared" ca="1" si="567"/>
        <v>108.91285015244767</v>
      </c>
      <c r="L612">
        <f t="shared" ca="1" si="567"/>
        <v>116.07682092073087</v>
      </c>
      <c r="M612">
        <f t="shared" ca="1" si="567"/>
        <v>114.47941961795924</v>
      </c>
      <c r="N612">
        <f t="shared" ca="1" si="567"/>
        <v>112.99263731499293</v>
      </c>
      <c r="O612">
        <f t="shared" ca="1" si="567"/>
        <v>115.55423164550371</v>
      </c>
      <c r="P612">
        <f t="shared" ca="1" si="567"/>
        <v>113.14226478013634</v>
      </c>
      <c r="Q612">
        <f t="shared" ca="1" si="544"/>
        <v>116.07682092073087</v>
      </c>
      <c r="R612">
        <f t="shared" ca="1" si="545"/>
        <v>0</v>
      </c>
      <c r="S612">
        <f t="shared" ca="1" si="546"/>
        <v>0</v>
      </c>
    </row>
    <row r="613" spans="5:19" x14ac:dyDescent="0.75">
      <c r="E613">
        <v>608</v>
      </c>
      <c r="F613">
        <f t="shared" si="542"/>
        <v>100</v>
      </c>
      <c r="G613">
        <f t="shared" ca="1" si="543"/>
        <v>100.04335081070465</v>
      </c>
      <c r="H613">
        <f t="shared" ca="1" si="543"/>
        <v>89.136901281340315</v>
      </c>
      <c r="I613">
        <f t="shared" ca="1" si="543"/>
        <v>82.999400165338599</v>
      </c>
      <c r="J613">
        <f t="shared" ref="J613:P613" ca="1" si="568">I613*EXP(($C$6-0.5*$C$7^2)*$C$12+$C$7*SQRT($C$12)*NORMINV(RAND(),0,1))</f>
        <v>84.152992226892522</v>
      </c>
      <c r="K613">
        <f t="shared" ca="1" si="568"/>
        <v>85.487255915134284</v>
      </c>
      <c r="L613">
        <f t="shared" ca="1" si="568"/>
        <v>86.561017554781756</v>
      </c>
      <c r="M613">
        <f t="shared" ca="1" si="568"/>
        <v>86.131841892956189</v>
      </c>
      <c r="N613">
        <f t="shared" ca="1" si="568"/>
        <v>89.313748596641858</v>
      </c>
      <c r="O613">
        <f t="shared" ca="1" si="568"/>
        <v>83.26091635412574</v>
      </c>
      <c r="P613">
        <f t="shared" ca="1" si="568"/>
        <v>86.427948748207612</v>
      </c>
      <c r="Q613">
        <f t="shared" ca="1" si="544"/>
        <v>100.04335081070465</v>
      </c>
      <c r="R613">
        <f t="shared" ca="1" si="545"/>
        <v>0</v>
      </c>
      <c r="S613">
        <f t="shared" ca="1" si="546"/>
        <v>0</v>
      </c>
    </row>
    <row r="614" spans="5:19" x14ac:dyDescent="0.75">
      <c r="E614">
        <v>609</v>
      </c>
      <c r="F614">
        <f t="shared" si="542"/>
        <v>100</v>
      </c>
      <c r="G614">
        <f t="shared" ca="1" si="543"/>
        <v>94.538881353523536</v>
      </c>
      <c r="H614">
        <f t="shared" ca="1" si="543"/>
        <v>88.960101977677397</v>
      </c>
      <c r="I614">
        <f t="shared" ca="1" si="543"/>
        <v>88.814082764654302</v>
      </c>
      <c r="J614">
        <f t="shared" ref="J614:P614" ca="1" si="569">I614*EXP(($C$6-0.5*$C$7^2)*$C$12+$C$7*SQRT($C$12)*NORMINV(RAND(),0,1))</f>
        <v>87.69415679362578</v>
      </c>
      <c r="K614">
        <f t="shared" ca="1" si="569"/>
        <v>90.887300661705694</v>
      </c>
      <c r="L614">
        <f t="shared" ca="1" si="569"/>
        <v>98.217235341408824</v>
      </c>
      <c r="M614">
        <f t="shared" ca="1" si="569"/>
        <v>97.47863341007951</v>
      </c>
      <c r="N614">
        <f t="shared" ca="1" si="569"/>
        <v>103.88682018816301</v>
      </c>
      <c r="O614">
        <f t="shared" ca="1" si="569"/>
        <v>109.34241312306298</v>
      </c>
      <c r="P614">
        <f t="shared" ca="1" si="569"/>
        <v>111.15836009092349</v>
      </c>
      <c r="Q614">
        <f t="shared" ca="1" si="544"/>
        <v>111.15836009092349</v>
      </c>
      <c r="R614">
        <f t="shared" ca="1" si="545"/>
        <v>0</v>
      </c>
      <c r="S614">
        <f t="shared" ca="1" si="546"/>
        <v>0</v>
      </c>
    </row>
    <row r="615" spans="5:19" x14ac:dyDescent="0.75">
      <c r="E615">
        <v>610</v>
      </c>
      <c r="F615">
        <f t="shared" si="542"/>
        <v>100</v>
      </c>
      <c r="G615">
        <f t="shared" ca="1" si="543"/>
        <v>108.4022333046132</v>
      </c>
      <c r="H615">
        <f t="shared" ca="1" si="543"/>
        <v>104.31492377797484</v>
      </c>
      <c r="I615">
        <f t="shared" ca="1" si="543"/>
        <v>103.92180954616207</v>
      </c>
      <c r="J615">
        <f t="shared" ref="J615:P615" ca="1" si="570">I615*EXP(($C$6-0.5*$C$7^2)*$C$12+$C$7*SQRT($C$12)*NORMINV(RAND(),0,1))</f>
        <v>102.98607972080313</v>
      </c>
      <c r="K615">
        <f t="shared" ca="1" si="570"/>
        <v>104.00300211269864</v>
      </c>
      <c r="L615">
        <f t="shared" ca="1" si="570"/>
        <v>102.66487034412336</v>
      </c>
      <c r="M615">
        <f t="shared" ca="1" si="570"/>
        <v>113.87513763723513</v>
      </c>
      <c r="N615">
        <f t="shared" ca="1" si="570"/>
        <v>117.41473389339492</v>
      </c>
      <c r="O615">
        <f t="shared" ca="1" si="570"/>
        <v>115.77378816875783</v>
      </c>
      <c r="P615">
        <f t="shared" ca="1" si="570"/>
        <v>120.56275418485275</v>
      </c>
      <c r="Q615">
        <f t="shared" ca="1" si="544"/>
        <v>120.56275418485275</v>
      </c>
      <c r="R615">
        <f t="shared" ca="1" si="545"/>
        <v>0</v>
      </c>
      <c r="S615">
        <f t="shared" ca="1" si="546"/>
        <v>0</v>
      </c>
    </row>
    <row r="616" spans="5:19" x14ac:dyDescent="0.75">
      <c r="E616">
        <v>611</v>
      </c>
      <c r="F616">
        <f t="shared" si="542"/>
        <v>100</v>
      </c>
      <c r="G616">
        <f t="shared" ca="1" si="543"/>
        <v>97.927836545859734</v>
      </c>
      <c r="H616">
        <f t="shared" ca="1" si="543"/>
        <v>95.213218719037016</v>
      </c>
      <c r="I616">
        <f t="shared" ca="1" si="543"/>
        <v>88.015174447924636</v>
      </c>
      <c r="J616">
        <f t="shared" ref="J616:P616" ca="1" si="571">I616*EXP(($C$6-0.5*$C$7^2)*$C$12+$C$7*SQRT($C$12)*NORMINV(RAND(),0,1))</f>
        <v>87.244409760827864</v>
      </c>
      <c r="K616">
        <f t="shared" ca="1" si="571"/>
        <v>83.55859413358742</v>
      </c>
      <c r="L616">
        <f t="shared" ca="1" si="571"/>
        <v>84.469452122636454</v>
      </c>
      <c r="M616">
        <f t="shared" ca="1" si="571"/>
        <v>82.619460225258223</v>
      </c>
      <c r="N616">
        <f t="shared" ca="1" si="571"/>
        <v>84.281276570479818</v>
      </c>
      <c r="O616">
        <f t="shared" ca="1" si="571"/>
        <v>83.890847158945888</v>
      </c>
      <c r="P616">
        <f t="shared" ca="1" si="571"/>
        <v>89.576236625861654</v>
      </c>
      <c r="Q616">
        <f t="shared" ca="1" si="544"/>
        <v>97.927836545859734</v>
      </c>
      <c r="R616">
        <f t="shared" ca="1" si="545"/>
        <v>0</v>
      </c>
      <c r="S616">
        <f t="shared" ca="1" si="546"/>
        <v>0</v>
      </c>
    </row>
    <row r="617" spans="5:19" x14ac:dyDescent="0.75">
      <c r="E617">
        <v>612</v>
      </c>
      <c r="F617">
        <f t="shared" si="542"/>
        <v>100</v>
      </c>
      <c r="G617">
        <f t="shared" ca="1" si="543"/>
        <v>100.08452344257461</v>
      </c>
      <c r="H617">
        <f t="shared" ca="1" si="543"/>
        <v>100.01704146037882</v>
      </c>
      <c r="I617">
        <f t="shared" ca="1" si="543"/>
        <v>104.4447859564915</v>
      </c>
      <c r="J617">
        <f t="shared" ref="J617:P617" ca="1" si="572">I617*EXP(($C$6-0.5*$C$7^2)*$C$12+$C$7*SQRT($C$12)*NORMINV(RAND(),0,1))</f>
        <v>100.80093964181758</v>
      </c>
      <c r="K617">
        <f t="shared" ca="1" si="572"/>
        <v>101.88593388886432</v>
      </c>
      <c r="L617">
        <f t="shared" ca="1" si="572"/>
        <v>94.558227361687528</v>
      </c>
      <c r="M617">
        <f t="shared" ca="1" si="572"/>
        <v>86.833887755882301</v>
      </c>
      <c r="N617">
        <f t="shared" ca="1" si="572"/>
        <v>92.680657585105209</v>
      </c>
      <c r="O617">
        <f t="shared" ca="1" si="572"/>
        <v>84.120840173952729</v>
      </c>
      <c r="P617">
        <f t="shared" ca="1" si="572"/>
        <v>81.19009367273884</v>
      </c>
      <c r="Q617">
        <f t="shared" ca="1" si="544"/>
        <v>104.4447859564915</v>
      </c>
      <c r="R617">
        <f t="shared" ca="1" si="545"/>
        <v>0</v>
      </c>
      <c r="S617">
        <f t="shared" ca="1" si="546"/>
        <v>0</v>
      </c>
    </row>
    <row r="618" spans="5:19" x14ac:dyDescent="0.75">
      <c r="E618">
        <v>613</v>
      </c>
      <c r="F618">
        <f t="shared" si="542"/>
        <v>100</v>
      </c>
      <c r="G618">
        <f t="shared" ca="1" si="543"/>
        <v>103.33343914481155</v>
      </c>
      <c r="H618">
        <f t="shared" ca="1" si="543"/>
        <v>96.521300317515966</v>
      </c>
      <c r="I618">
        <f t="shared" ca="1" si="543"/>
        <v>90.503088769277483</v>
      </c>
      <c r="J618">
        <f t="shared" ref="J618:P618" ca="1" si="573">I618*EXP(($C$6-0.5*$C$7^2)*$C$12+$C$7*SQRT($C$12)*NORMINV(RAND(),0,1))</f>
        <v>88.918412314556761</v>
      </c>
      <c r="K618">
        <f t="shared" ca="1" si="573"/>
        <v>89.148262640620572</v>
      </c>
      <c r="L618">
        <f t="shared" ca="1" si="573"/>
        <v>89.539010626568583</v>
      </c>
      <c r="M618">
        <f t="shared" ca="1" si="573"/>
        <v>85.717428821181286</v>
      </c>
      <c r="N618">
        <f t="shared" ca="1" si="573"/>
        <v>84.478018104158778</v>
      </c>
      <c r="O618">
        <f t="shared" ca="1" si="573"/>
        <v>86.391365869703364</v>
      </c>
      <c r="P618">
        <f t="shared" ca="1" si="573"/>
        <v>91.00223738555033</v>
      </c>
      <c r="Q618">
        <f t="shared" ca="1" si="544"/>
        <v>103.33343914481155</v>
      </c>
      <c r="R618">
        <f t="shared" ca="1" si="545"/>
        <v>0</v>
      </c>
      <c r="S618">
        <f t="shared" ca="1" si="546"/>
        <v>0</v>
      </c>
    </row>
    <row r="619" spans="5:19" x14ac:dyDescent="0.75">
      <c r="E619">
        <v>614</v>
      </c>
      <c r="F619">
        <f t="shared" si="542"/>
        <v>100</v>
      </c>
      <c r="G619">
        <f t="shared" ca="1" si="543"/>
        <v>94.705378613436821</v>
      </c>
      <c r="H619">
        <f t="shared" ca="1" si="543"/>
        <v>101.3503281744362</v>
      </c>
      <c r="I619">
        <f t="shared" ca="1" si="543"/>
        <v>101.87404627229182</v>
      </c>
      <c r="J619">
        <f t="shared" ref="J619:P619" ca="1" si="574">I619*EXP(($C$6-0.5*$C$7^2)*$C$12+$C$7*SQRT($C$12)*NORMINV(RAND(),0,1))</f>
        <v>95.400262347720215</v>
      </c>
      <c r="K619">
        <f t="shared" ca="1" si="574"/>
        <v>100.72215362415922</v>
      </c>
      <c r="L619">
        <f t="shared" ca="1" si="574"/>
        <v>95.567228475506653</v>
      </c>
      <c r="M619">
        <f t="shared" ca="1" si="574"/>
        <v>102.00734106442064</v>
      </c>
      <c r="N619">
        <f t="shared" ca="1" si="574"/>
        <v>93.99786142091564</v>
      </c>
      <c r="O619">
        <f t="shared" ca="1" si="574"/>
        <v>91.698575033099829</v>
      </c>
      <c r="P619">
        <f t="shared" ca="1" si="574"/>
        <v>90.308818499262699</v>
      </c>
      <c r="Q619">
        <f t="shared" ca="1" si="544"/>
        <v>102.00734106442064</v>
      </c>
      <c r="R619">
        <f t="shared" ca="1" si="545"/>
        <v>0</v>
      </c>
      <c r="S619">
        <f t="shared" ca="1" si="546"/>
        <v>0</v>
      </c>
    </row>
    <row r="620" spans="5:19" x14ac:dyDescent="0.75">
      <c r="E620">
        <v>615</v>
      </c>
      <c r="F620">
        <f t="shared" si="542"/>
        <v>100</v>
      </c>
      <c r="G620">
        <f t="shared" ca="1" si="543"/>
        <v>103.41199143867527</v>
      </c>
      <c r="H620">
        <f t="shared" ca="1" si="543"/>
        <v>102.3827835976811</v>
      </c>
      <c r="I620">
        <f t="shared" ca="1" si="543"/>
        <v>95.655379906959297</v>
      </c>
      <c r="J620">
        <f t="shared" ref="J620:P620" ca="1" si="575">I620*EXP(($C$6-0.5*$C$7^2)*$C$12+$C$7*SQRT($C$12)*NORMINV(RAND(),0,1))</f>
        <v>99.094412817763128</v>
      </c>
      <c r="K620">
        <f t="shared" ca="1" si="575"/>
        <v>96.247690867314063</v>
      </c>
      <c r="L620">
        <f t="shared" ca="1" si="575"/>
        <v>105.14140105634222</v>
      </c>
      <c r="M620">
        <f t="shared" ca="1" si="575"/>
        <v>102.41202491907917</v>
      </c>
      <c r="N620">
        <f t="shared" ca="1" si="575"/>
        <v>111.16632343657137</v>
      </c>
      <c r="O620">
        <f t="shared" ca="1" si="575"/>
        <v>112.53135030544512</v>
      </c>
      <c r="P620">
        <f t="shared" ca="1" si="575"/>
        <v>104.55768376922681</v>
      </c>
      <c r="Q620">
        <f t="shared" ca="1" si="544"/>
        <v>112.53135030544512</v>
      </c>
      <c r="R620">
        <f t="shared" ca="1" si="545"/>
        <v>0</v>
      </c>
      <c r="S620">
        <f t="shared" ca="1" si="546"/>
        <v>0</v>
      </c>
    </row>
    <row r="621" spans="5:19" x14ac:dyDescent="0.75">
      <c r="E621">
        <v>616</v>
      </c>
      <c r="F621">
        <f t="shared" si="542"/>
        <v>100</v>
      </c>
      <c r="G621">
        <f t="shared" ca="1" si="543"/>
        <v>95.602450146917221</v>
      </c>
      <c r="H621">
        <f t="shared" ca="1" si="543"/>
        <v>93.843035430514647</v>
      </c>
      <c r="I621">
        <f t="shared" ca="1" si="543"/>
        <v>88.94831671139616</v>
      </c>
      <c r="J621">
        <f t="shared" ref="J621:P621" ca="1" si="576">I621*EXP(($C$6-0.5*$C$7^2)*$C$12+$C$7*SQRT($C$12)*NORMINV(RAND(),0,1))</f>
        <v>98.410614594874687</v>
      </c>
      <c r="K621">
        <f t="shared" ca="1" si="576"/>
        <v>97.82759156962986</v>
      </c>
      <c r="L621">
        <f t="shared" ca="1" si="576"/>
        <v>102.68416534469597</v>
      </c>
      <c r="M621">
        <f t="shared" ca="1" si="576"/>
        <v>105.84471051013971</v>
      </c>
      <c r="N621">
        <f t="shared" ca="1" si="576"/>
        <v>104.391348068545</v>
      </c>
      <c r="O621">
        <f t="shared" ca="1" si="576"/>
        <v>103.02020562526593</v>
      </c>
      <c r="P621">
        <f t="shared" ca="1" si="576"/>
        <v>106.33159931450237</v>
      </c>
      <c r="Q621">
        <f t="shared" ca="1" si="544"/>
        <v>106.33159931450237</v>
      </c>
      <c r="R621">
        <f t="shared" ca="1" si="545"/>
        <v>4.3315993145023697</v>
      </c>
      <c r="S621">
        <f t="shared" ca="1" si="546"/>
        <v>4.2246517463692923</v>
      </c>
    </row>
    <row r="622" spans="5:19" x14ac:dyDescent="0.75">
      <c r="E622">
        <v>617</v>
      </c>
      <c r="F622">
        <f t="shared" si="542"/>
        <v>100</v>
      </c>
      <c r="G622">
        <f t="shared" ca="1" si="543"/>
        <v>100.16445723005398</v>
      </c>
      <c r="H622">
        <f t="shared" ca="1" si="543"/>
        <v>98.409094775578737</v>
      </c>
      <c r="I622">
        <f t="shared" ca="1" si="543"/>
        <v>100.91440837307078</v>
      </c>
      <c r="J622">
        <f t="shared" ref="J622:P622" ca="1" si="577">I622*EXP(($C$6-0.5*$C$7^2)*$C$12+$C$7*SQRT($C$12)*NORMINV(RAND(),0,1))</f>
        <v>105.26228579774438</v>
      </c>
      <c r="K622">
        <f t="shared" ca="1" si="577"/>
        <v>104.14844252350659</v>
      </c>
      <c r="L622">
        <f t="shared" ca="1" si="577"/>
        <v>107.16929081852997</v>
      </c>
      <c r="M622">
        <f t="shared" ca="1" si="577"/>
        <v>108.71710694958583</v>
      </c>
      <c r="N622">
        <f t="shared" ca="1" si="577"/>
        <v>105.78829465369306</v>
      </c>
      <c r="O622">
        <f t="shared" ca="1" si="577"/>
        <v>98.103047780832398</v>
      </c>
      <c r="P622">
        <f t="shared" ca="1" si="577"/>
        <v>99.646748771023397</v>
      </c>
      <c r="Q622">
        <f t="shared" ca="1" si="544"/>
        <v>108.71710694958583</v>
      </c>
      <c r="R622">
        <f t="shared" ca="1" si="545"/>
        <v>0</v>
      </c>
      <c r="S622">
        <f t="shared" ca="1" si="546"/>
        <v>0</v>
      </c>
    </row>
    <row r="623" spans="5:19" x14ac:dyDescent="0.75">
      <c r="E623">
        <v>618</v>
      </c>
      <c r="F623">
        <f t="shared" si="542"/>
        <v>100</v>
      </c>
      <c r="G623">
        <f t="shared" ca="1" si="543"/>
        <v>103.93004128026595</v>
      </c>
      <c r="H623">
        <f t="shared" ca="1" si="543"/>
        <v>98.263490681915698</v>
      </c>
      <c r="I623">
        <f t="shared" ca="1" si="543"/>
        <v>105.95844359099249</v>
      </c>
      <c r="J623">
        <f t="shared" ref="J623:P623" ca="1" si="578">I623*EXP(($C$6-0.5*$C$7^2)*$C$12+$C$7*SQRT($C$12)*NORMINV(RAND(),0,1))</f>
        <v>105.26156189633174</v>
      </c>
      <c r="K623">
        <f t="shared" ca="1" si="578"/>
        <v>104.45294809691126</v>
      </c>
      <c r="L623">
        <f t="shared" ca="1" si="578"/>
        <v>106.91665309717784</v>
      </c>
      <c r="M623">
        <f t="shared" ca="1" si="578"/>
        <v>105.95634666027107</v>
      </c>
      <c r="N623">
        <f t="shared" ca="1" si="578"/>
        <v>117.80586370795643</v>
      </c>
      <c r="O623">
        <f t="shared" ca="1" si="578"/>
        <v>122.75126248960471</v>
      </c>
      <c r="P623">
        <f t="shared" ca="1" si="578"/>
        <v>115.96084196503064</v>
      </c>
      <c r="Q623">
        <f t="shared" ca="1" si="544"/>
        <v>122.75126248960471</v>
      </c>
      <c r="R623">
        <f t="shared" ca="1" si="545"/>
        <v>0</v>
      </c>
      <c r="S623">
        <f t="shared" ca="1" si="546"/>
        <v>0</v>
      </c>
    </row>
    <row r="624" spans="5:19" x14ac:dyDescent="0.75">
      <c r="E624">
        <v>619</v>
      </c>
      <c r="F624">
        <f t="shared" si="542"/>
        <v>100</v>
      </c>
      <c r="G624">
        <f t="shared" ca="1" si="543"/>
        <v>94.270578384947527</v>
      </c>
      <c r="H624">
        <f t="shared" ca="1" si="543"/>
        <v>99.317801776766586</v>
      </c>
      <c r="I624">
        <f t="shared" ca="1" si="543"/>
        <v>97.946656838025518</v>
      </c>
      <c r="J624">
        <f t="shared" ref="J624:P624" ca="1" si="579">I624*EXP(($C$6-0.5*$C$7^2)*$C$12+$C$7*SQRT($C$12)*NORMINV(RAND(),0,1))</f>
        <v>94.084020923075741</v>
      </c>
      <c r="K624">
        <f t="shared" ca="1" si="579"/>
        <v>91.844158565025836</v>
      </c>
      <c r="L624">
        <f t="shared" ca="1" si="579"/>
        <v>92.587878719028794</v>
      </c>
      <c r="M624">
        <f t="shared" ca="1" si="579"/>
        <v>104.35347731858846</v>
      </c>
      <c r="N624">
        <f t="shared" ca="1" si="579"/>
        <v>114.27821345298602</v>
      </c>
      <c r="O624">
        <f t="shared" ca="1" si="579"/>
        <v>124.05117820025254</v>
      </c>
      <c r="P624">
        <f t="shared" ca="1" si="579"/>
        <v>131.38420209745595</v>
      </c>
      <c r="Q624">
        <f t="shared" ca="1" si="544"/>
        <v>131.38420209745595</v>
      </c>
      <c r="R624">
        <f t="shared" ca="1" si="545"/>
        <v>0</v>
      </c>
      <c r="S624">
        <f t="shared" ca="1" si="546"/>
        <v>0</v>
      </c>
    </row>
    <row r="625" spans="5:19" x14ac:dyDescent="0.75">
      <c r="E625">
        <v>620</v>
      </c>
      <c r="F625">
        <f t="shared" si="542"/>
        <v>100</v>
      </c>
      <c r="G625">
        <f t="shared" ca="1" si="543"/>
        <v>98.822253067973605</v>
      </c>
      <c r="H625">
        <f t="shared" ca="1" si="543"/>
        <v>97.672172509471537</v>
      </c>
      <c r="I625">
        <f t="shared" ca="1" si="543"/>
        <v>95.941178461227381</v>
      </c>
      <c r="J625">
        <f t="shared" ref="J625:P625" ca="1" si="580">I625*EXP(($C$6-0.5*$C$7^2)*$C$12+$C$7*SQRT($C$12)*NORMINV(RAND(),0,1))</f>
        <v>99.425774618180611</v>
      </c>
      <c r="K625">
        <f t="shared" ca="1" si="580"/>
        <v>99.288746599872724</v>
      </c>
      <c r="L625">
        <f t="shared" ca="1" si="580"/>
        <v>108.89278502908427</v>
      </c>
      <c r="M625">
        <f t="shared" ca="1" si="580"/>
        <v>101.41701795723225</v>
      </c>
      <c r="N625">
        <f t="shared" ca="1" si="580"/>
        <v>95.095867052510627</v>
      </c>
      <c r="O625">
        <f t="shared" ca="1" si="580"/>
        <v>100.06649052918065</v>
      </c>
      <c r="P625">
        <f t="shared" ca="1" si="580"/>
        <v>104.06677903078121</v>
      </c>
      <c r="Q625">
        <f t="shared" ca="1" si="544"/>
        <v>108.89278502908427</v>
      </c>
      <c r="R625">
        <f t="shared" ca="1" si="545"/>
        <v>2.0667790307812055</v>
      </c>
      <c r="S625">
        <f t="shared" ca="1" si="546"/>
        <v>2.0157500746932202</v>
      </c>
    </row>
    <row r="626" spans="5:19" x14ac:dyDescent="0.75">
      <c r="E626">
        <v>621</v>
      </c>
      <c r="F626">
        <f t="shared" si="542"/>
        <v>100</v>
      </c>
      <c r="G626">
        <f t="shared" ca="1" si="543"/>
        <v>100.71936988724528</v>
      </c>
      <c r="H626">
        <f t="shared" ca="1" si="543"/>
        <v>96.561261027607856</v>
      </c>
      <c r="I626">
        <f t="shared" ca="1" si="543"/>
        <v>102.01814009801062</v>
      </c>
      <c r="J626">
        <f t="shared" ref="J626:P626" ca="1" si="581">I626*EXP(($C$6-0.5*$C$7^2)*$C$12+$C$7*SQRT($C$12)*NORMINV(RAND(),0,1))</f>
        <v>97.995254675728944</v>
      </c>
      <c r="K626">
        <f t="shared" ca="1" si="581"/>
        <v>105.50716999199432</v>
      </c>
      <c r="L626">
        <f t="shared" ca="1" si="581"/>
        <v>105.82420111310719</v>
      </c>
      <c r="M626">
        <f t="shared" ca="1" si="581"/>
        <v>112.29307054293409</v>
      </c>
      <c r="N626">
        <f t="shared" ca="1" si="581"/>
        <v>113.08742962767747</v>
      </c>
      <c r="O626">
        <f t="shared" ca="1" si="581"/>
        <v>116.39712064636927</v>
      </c>
      <c r="P626">
        <f t="shared" ca="1" si="581"/>
        <v>118.34896544463608</v>
      </c>
      <c r="Q626">
        <f t="shared" ca="1" si="544"/>
        <v>118.34896544463608</v>
      </c>
      <c r="R626">
        <f t="shared" ca="1" si="545"/>
        <v>0</v>
      </c>
      <c r="S626">
        <f t="shared" ca="1" si="546"/>
        <v>0</v>
      </c>
    </row>
    <row r="627" spans="5:19" x14ac:dyDescent="0.75">
      <c r="E627">
        <v>622</v>
      </c>
      <c r="F627">
        <f t="shared" si="542"/>
        <v>100</v>
      </c>
      <c r="G627">
        <f t="shared" ca="1" si="543"/>
        <v>107.8397242935534</v>
      </c>
      <c r="H627">
        <f t="shared" ca="1" si="543"/>
        <v>109.1795876896808</v>
      </c>
      <c r="I627">
        <f t="shared" ca="1" si="543"/>
        <v>111.9010860452361</v>
      </c>
      <c r="J627">
        <f t="shared" ref="J627:P627" ca="1" si="582">I627*EXP(($C$6-0.5*$C$7^2)*$C$12+$C$7*SQRT($C$12)*NORMINV(RAND(),0,1))</f>
        <v>116.06068214416595</v>
      </c>
      <c r="K627">
        <f t="shared" ca="1" si="582"/>
        <v>113.86332643376232</v>
      </c>
      <c r="L627">
        <f t="shared" ca="1" si="582"/>
        <v>117.85078082037192</v>
      </c>
      <c r="M627">
        <f t="shared" ca="1" si="582"/>
        <v>114.27698127222413</v>
      </c>
      <c r="N627">
        <f t="shared" ca="1" si="582"/>
        <v>112.2804617734604</v>
      </c>
      <c r="O627">
        <f t="shared" ca="1" si="582"/>
        <v>107.6323274790731</v>
      </c>
      <c r="P627">
        <f t="shared" ca="1" si="582"/>
        <v>104.06676212656716</v>
      </c>
      <c r="Q627">
        <f t="shared" ca="1" si="544"/>
        <v>117.85078082037192</v>
      </c>
      <c r="R627">
        <f t="shared" ca="1" si="545"/>
        <v>0</v>
      </c>
      <c r="S627">
        <f t="shared" ca="1" si="546"/>
        <v>0</v>
      </c>
    </row>
    <row r="628" spans="5:19" x14ac:dyDescent="0.75">
      <c r="E628">
        <v>623</v>
      </c>
      <c r="F628">
        <f t="shared" si="542"/>
        <v>100</v>
      </c>
      <c r="G628">
        <f t="shared" ca="1" si="543"/>
        <v>104.23579331396211</v>
      </c>
      <c r="H628">
        <f t="shared" ca="1" si="543"/>
        <v>99.969394862952683</v>
      </c>
      <c r="I628">
        <f t="shared" ca="1" si="543"/>
        <v>94.694220098715888</v>
      </c>
      <c r="J628">
        <f t="shared" ref="J628:P628" ca="1" si="583">I628*EXP(($C$6-0.5*$C$7^2)*$C$12+$C$7*SQRT($C$12)*NORMINV(RAND(),0,1))</f>
        <v>91.823973241673286</v>
      </c>
      <c r="K628">
        <f t="shared" ca="1" si="583"/>
        <v>94.868308310475186</v>
      </c>
      <c r="L628">
        <f t="shared" ca="1" si="583"/>
        <v>101.98732127573238</v>
      </c>
      <c r="M628">
        <f t="shared" ca="1" si="583"/>
        <v>108.93156557595705</v>
      </c>
      <c r="N628">
        <f t="shared" ca="1" si="583"/>
        <v>111.27600036936295</v>
      </c>
      <c r="O628">
        <f t="shared" ca="1" si="583"/>
        <v>101.69107974384387</v>
      </c>
      <c r="P628">
        <f t="shared" ca="1" si="583"/>
        <v>103.86614270859444</v>
      </c>
      <c r="Q628">
        <f t="shared" ca="1" si="544"/>
        <v>111.27600036936295</v>
      </c>
      <c r="R628">
        <f t="shared" ca="1" si="545"/>
        <v>0</v>
      </c>
      <c r="S628">
        <f t="shared" ca="1" si="546"/>
        <v>0</v>
      </c>
    </row>
    <row r="629" spans="5:19" x14ac:dyDescent="0.75">
      <c r="E629">
        <v>624</v>
      </c>
      <c r="F629">
        <f t="shared" si="542"/>
        <v>100</v>
      </c>
      <c r="G629">
        <f t="shared" ca="1" si="543"/>
        <v>96.421755492770728</v>
      </c>
      <c r="H629">
        <f t="shared" ca="1" si="543"/>
        <v>94.484984140269532</v>
      </c>
      <c r="I629">
        <f t="shared" ca="1" si="543"/>
        <v>98.09111329591812</v>
      </c>
      <c r="J629">
        <f t="shared" ref="J629:P629" ca="1" si="584">I629*EXP(($C$6-0.5*$C$7^2)*$C$12+$C$7*SQRT($C$12)*NORMINV(RAND(),0,1))</f>
        <v>101.98912919677737</v>
      </c>
      <c r="K629">
        <f t="shared" ca="1" si="584"/>
        <v>94.685497498531745</v>
      </c>
      <c r="L629">
        <f t="shared" ca="1" si="584"/>
        <v>97.335279477963937</v>
      </c>
      <c r="M629">
        <f t="shared" ca="1" si="584"/>
        <v>96.668297228431385</v>
      </c>
      <c r="N629">
        <f t="shared" ca="1" si="584"/>
        <v>96.951612388380809</v>
      </c>
      <c r="O629">
        <f t="shared" ca="1" si="584"/>
        <v>93.224118820655704</v>
      </c>
      <c r="P629">
        <f t="shared" ca="1" si="584"/>
        <v>93.677045802864583</v>
      </c>
      <c r="Q629">
        <f t="shared" ca="1" si="544"/>
        <v>101.98912919677737</v>
      </c>
      <c r="R629">
        <f t="shared" ca="1" si="545"/>
        <v>0</v>
      </c>
      <c r="S629">
        <f t="shared" ca="1" si="546"/>
        <v>0</v>
      </c>
    </row>
    <row r="630" spans="5:19" x14ac:dyDescent="0.75">
      <c r="E630">
        <v>625</v>
      </c>
      <c r="F630">
        <f t="shared" si="542"/>
        <v>100</v>
      </c>
      <c r="G630">
        <f t="shared" ca="1" si="543"/>
        <v>98.674444173469695</v>
      </c>
      <c r="H630">
        <f t="shared" ca="1" si="543"/>
        <v>94.812755727364873</v>
      </c>
      <c r="I630">
        <f t="shared" ca="1" si="543"/>
        <v>93.103417130308742</v>
      </c>
      <c r="J630">
        <f t="shared" ref="J630:P630" ca="1" si="585">I630*EXP(($C$6-0.5*$C$7^2)*$C$12+$C$7*SQRT($C$12)*NORMINV(RAND(),0,1))</f>
        <v>100.75237697553747</v>
      </c>
      <c r="K630">
        <f t="shared" ca="1" si="585"/>
        <v>98.506374532620569</v>
      </c>
      <c r="L630">
        <f t="shared" ca="1" si="585"/>
        <v>104.45359390816888</v>
      </c>
      <c r="M630">
        <f t="shared" ca="1" si="585"/>
        <v>101.41809476024024</v>
      </c>
      <c r="N630">
        <f t="shared" ca="1" si="585"/>
        <v>98.264919710329409</v>
      </c>
      <c r="O630">
        <f t="shared" ca="1" si="585"/>
        <v>91.046449416450656</v>
      </c>
      <c r="P630">
        <f t="shared" ca="1" si="585"/>
        <v>92.365660222929748</v>
      </c>
      <c r="Q630">
        <f t="shared" ca="1" si="544"/>
        <v>104.45359390816888</v>
      </c>
      <c r="R630">
        <f t="shared" ca="1" si="545"/>
        <v>0</v>
      </c>
      <c r="S630">
        <f t="shared" ca="1" si="546"/>
        <v>0</v>
      </c>
    </row>
    <row r="631" spans="5:19" x14ac:dyDescent="0.75">
      <c r="E631">
        <v>626</v>
      </c>
      <c r="F631">
        <f t="shared" si="542"/>
        <v>100</v>
      </c>
      <c r="G631">
        <f t="shared" ca="1" si="543"/>
        <v>99.891177516032997</v>
      </c>
      <c r="H631">
        <f t="shared" ca="1" si="543"/>
        <v>104.83500266912624</v>
      </c>
      <c r="I631">
        <f t="shared" ca="1" si="543"/>
        <v>103.60406622941939</v>
      </c>
      <c r="J631">
        <f t="shared" ref="J631:P631" ca="1" si="586">I631*EXP(($C$6-0.5*$C$7^2)*$C$12+$C$7*SQRT($C$12)*NORMINV(RAND(),0,1))</f>
        <v>104.02605203620247</v>
      </c>
      <c r="K631">
        <f t="shared" ca="1" si="586"/>
        <v>106.63763437930859</v>
      </c>
      <c r="L631">
        <f t="shared" ca="1" si="586"/>
        <v>103.2028393071393</v>
      </c>
      <c r="M631">
        <f t="shared" ca="1" si="586"/>
        <v>105.28561585116725</v>
      </c>
      <c r="N631">
        <f t="shared" ca="1" si="586"/>
        <v>96.516771183069238</v>
      </c>
      <c r="O631">
        <f t="shared" ca="1" si="586"/>
        <v>96.809478475261031</v>
      </c>
      <c r="P631">
        <f t="shared" ca="1" si="586"/>
        <v>95.398042001950643</v>
      </c>
      <c r="Q631">
        <f t="shared" ca="1" si="544"/>
        <v>106.63763437930859</v>
      </c>
      <c r="R631">
        <f t="shared" ca="1" si="545"/>
        <v>0</v>
      </c>
      <c r="S631">
        <f t="shared" ca="1" si="546"/>
        <v>0</v>
      </c>
    </row>
    <row r="632" spans="5:19" x14ac:dyDescent="0.75">
      <c r="E632">
        <v>627</v>
      </c>
      <c r="F632">
        <f t="shared" si="542"/>
        <v>100</v>
      </c>
      <c r="G632">
        <f t="shared" ca="1" si="543"/>
        <v>99.383767286836516</v>
      </c>
      <c r="H632">
        <f t="shared" ca="1" si="543"/>
        <v>94.209873027237677</v>
      </c>
      <c r="I632">
        <f t="shared" ca="1" si="543"/>
        <v>91.22216570608434</v>
      </c>
      <c r="J632">
        <f t="shared" ref="J632:P632" ca="1" si="587">I632*EXP(($C$6-0.5*$C$7^2)*$C$12+$C$7*SQRT($C$12)*NORMINV(RAND(),0,1))</f>
        <v>91.486262261074188</v>
      </c>
      <c r="K632">
        <f t="shared" ca="1" si="587"/>
        <v>88.773896859757457</v>
      </c>
      <c r="L632">
        <f t="shared" ca="1" si="587"/>
        <v>92.881819801783564</v>
      </c>
      <c r="M632">
        <f t="shared" ca="1" si="587"/>
        <v>90.919876638242783</v>
      </c>
      <c r="N632">
        <f t="shared" ca="1" si="587"/>
        <v>90.720958983696278</v>
      </c>
      <c r="O632">
        <f t="shared" ca="1" si="587"/>
        <v>95.450187022301421</v>
      </c>
      <c r="P632">
        <f t="shared" ca="1" si="587"/>
        <v>88.320346281289943</v>
      </c>
      <c r="Q632">
        <f t="shared" ca="1" si="544"/>
        <v>99.383767286836516</v>
      </c>
      <c r="R632">
        <f t="shared" ca="1" si="545"/>
        <v>0</v>
      </c>
      <c r="S632">
        <f t="shared" ca="1" si="546"/>
        <v>0</v>
      </c>
    </row>
    <row r="633" spans="5:19" x14ac:dyDescent="0.75">
      <c r="E633">
        <v>628</v>
      </c>
      <c r="F633">
        <f t="shared" si="542"/>
        <v>100</v>
      </c>
      <c r="G633">
        <f t="shared" ca="1" si="543"/>
        <v>98.583083991698913</v>
      </c>
      <c r="H633">
        <f t="shared" ca="1" si="543"/>
        <v>102.40967007911969</v>
      </c>
      <c r="I633">
        <f t="shared" ca="1" si="543"/>
        <v>104.61872700779949</v>
      </c>
      <c r="J633">
        <f t="shared" ref="J633:P633" ca="1" si="588">I633*EXP(($C$6-0.5*$C$7^2)*$C$12+$C$7*SQRT($C$12)*NORMINV(RAND(),0,1))</f>
        <v>102.51819059320121</v>
      </c>
      <c r="K633">
        <f t="shared" ca="1" si="588"/>
        <v>96.919672936217978</v>
      </c>
      <c r="L633">
        <f t="shared" ca="1" si="588"/>
        <v>100.87144219499881</v>
      </c>
      <c r="M633">
        <f t="shared" ca="1" si="588"/>
        <v>105.15529244623535</v>
      </c>
      <c r="N633">
        <f t="shared" ca="1" si="588"/>
        <v>105.62407316401175</v>
      </c>
      <c r="O633">
        <f t="shared" ca="1" si="588"/>
        <v>105.52706362760635</v>
      </c>
      <c r="P633">
        <f t="shared" ca="1" si="588"/>
        <v>110.94664568528178</v>
      </c>
      <c r="Q633">
        <f t="shared" ca="1" si="544"/>
        <v>110.94664568528178</v>
      </c>
      <c r="R633">
        <f t="shared" ca="1" si="545"/>
        <v>0</v>
      </c>
      <c r="S633">
        <f t="shared" ca="1" si="546"/>
        <v>0</v>
      </c>
    </row>
    <row r="634" spans="5:19" x14ac:dyDescent="0.75">
      <c r="E634">
        <v>629</v>
      </c>
      <c r="F634">
        <f t="shared" si="542"/>
        <v>100</v>
      </c>
      <c r="G634">
        <f t="shared" ca="1" si="543"/>
        <v>107.16095232489948</v>
      </c>
      <c r="H634">
        <f t="shared" ca="1" si="543"/>
        <v>90.985401997754721</v>
      </c>
      <c r="I634">
        <f t="shared" ca="1" si="543"/>
        <v>97.876712706230379</v>
      </c>
      <c r="J634">
        <f t="shared" ref="J634:P634" ca="1" si="589">I634*EXP(($C$6-0.5*$C$7^2)*$C$12+$C$7*SQRT($C$12)*NORMINV(RAND(),0,1))</f>
        <v>105.1896089022971</v>
      </c>
      <c r="K634">
        <f t="shared" ca="1" si="589"/>
        <v>111.57665863558687</v>
      </c>
      <c r="L634">
        <f t="shared" ca="1" si="589"/>
        <v>105.18825267155684</v>
      </c>
      <c r="M634">
        <f t="shared" ca="1" si="589"/>
        <v>103.85758752865236</v>
      </c>
      <c r="N634">
        <f t="shared" ca="1" si="589"/>
        <v>103.43163718293843</v>
      </c>
      <c r="O634">
        <f t="shared" ca="1" si="589"/>
        <v>104.44685429095689</v>
      </c>
      <c r="P634">
        <f t="shared" ca="1" si="589"/>
        <v>94.66801822022606</v>
      </c>
      <c r="Q634">
        <f t="shared" ca="1" si="544"/>
        <v>111.57665863558687</v>
      </c>
      <c r="R634">
        <f t="shared" ca="1" si="545"/>
        <v>0</v>
      </c>
      <c r="S634">
        <f t="shared" ca="1" si="546"/>
        <v>0</v>
      </c>
    </row>
    <row r="635" spans="5:19" x14ac:dyDescent="0.75">
      <c r="E635">
        <v>630</v>
      </c>
      <c r="F635">
        <f t="shared" si="542"/>
        <v>100</v>
      </c>
      <c r="G635">
        <f t="shared" ca="1" si="543"/>
        <v>107.21442833444084</v>
      </c>
      <c r="H635">
        <f t="shared" ca="1" si="543"/>
        <v>109.19056809760792</v>
      </c>
      <c r="I635">
        <f t="shared" ca="1" si="543"/>
        <v>115.07996382946035</v>
      </c>
      <c r="J635">
        <f t="shared" ref="J635:P635" ca="1" si="590">I635*EXP(($C$6-0.5*$C$7^2)*$C$12+$C$7*SQRT($C$12)*NORMINV(RAND(),0,1))</f>
        <v>121.356055245029</v>
      </c>
      <c r="K635">
        <f t="shared" ca="1" si="590"/>
        <v>118.20069511441933</v>
      </c>
      <c r="L635">
        <f t="shared" ca="1" si="590"/>
        <v>128.20463380111067</v>
      </c>
      <c r="M635">
        <f t="shared" ca="1" si="590"/>
        <v>127.78342462063726</v>
      </c>
      <c r="N635">
        <f t="shared" ca="1" si="590"/>
        <v>121.79077939988414</v>
      </c>
      <c r="O635">
        <f t="shared" ca="1" si="590"/>
        <v>125.61142494780937</v>
      </c>
      <c r="P635">
        <f t="shared" ca="1" si="590"/>
        <v>118.73524955826046</v>
      </c>
      <c r="Q635">
        <f t="shared" ca="1" si="544"/>
        <v>128.20463380111067</v>
      </c>
      <c r="R635">
        <f t="shared" ca="1" si="545"/>
        <v>0</v>
      </c>
      <c r="S635">
        <f t="shared" ca="1" si="546"/>
        <v>0</v>
      </c>
    </row>
    <row r="636" spans="5:19" x14ac:dyDescent="0.75">
      <c r="E636">
        <v>631</v>
      </c>
      <c r="F636">
        <f t="shared" si="542"/>
        <v>100</v>
      </c>
      <c r="G636">
        <f t="shared" ca="1" si="543"/>
        <v>89.413665409919858</v>
      </c>
      <c r="H636">
        <f t="shared" ca="1" si="543"/>
        <v>87.212421959840839</v>
      </c>
      <c r="I636">
        <f t="shared" ca="1" si="543"/>
        <v>86.488815262999978</v>
      </c>
      <c r="J636">
        <f t="shared" ref="J636:P636" ca="1" si="591">I636*EXP(($C$6-0.5*$C$7^2)*$C$12+$C$7*SQRT($C$12)*NORMINV(RAND(),0,1))</f>
        <v>80.110031997224127</v>
      </c>
      <c r="K636">
        <f t="shared" ca="1" si="591"/>
        <v>75.238738254838978</v>
      </c>
      <c r="L636">
        <f t="shared" ca="1" si="591"/>
        <v>75.691137964617198</v>
      </c>
      <c r="M636">
        <f t="shared" ca="1" si="591"/>
        <v>81.771129298697502</v>
      </c>
      <c r="N636">
        <f t="shared" ca="1" si="591"/>
        <v>82.560920747867968</v>
      </c>
      <c r="O636">
        <f t="shared" ca="1" si="591"/>
        <v>84.39984971553551</v>
      </c>
      <c r="P636">
        <f t="shared" ca="1" si="591"/>
        <v>79.388032692857806</v>
      </c>
      <c r="Q636">
        <f t="shared" ca="1" si="544"/>
        <v>89.413665409919858</v>
      </c>
      <c r="R636">
        <f t="shared" ca="1" si="545"/>
        <v>0</v>
      </c>
      <c r="S636">
        <f t="shared" ca="1" si="546"/>
        <v>0</v>
      </c>
    </row>
    <row r="637" spans="5:19" x14ac:dyDescent="0.75">
      <c r="E637">
        <v>632</v>
      </c>
      <c r="F637">
        <f t="shared" si="542"/>
        <v>100</v>
      </c>
      <c r="G637">
        <f t="shared" ca="1" si="543"/>
        <v>95.159669961728383</v>
      </c>
      <c r="H637">
        <f t="shared" ca="1" si="543"/>
        <v>95.055855651470182</v>
      </c>
      <c r="I637">
        <f t="shared" ca="1" si="543"/>
        <v>90.554375039249535</v>
      </c>
      <c r="J637">
        <f t="shared" ref="J637:P637" ca="1" si="592">I637*EXP(($C$6-0.5*$C$7^2)*$C$12+$C$7*SQRT($C$12)*NORMINV(RAND(),0,1))</f>
        <v>94.3782805355074</v>
      </c>
      <c r="K637">
        <f t="shared" ca="1" si="592"/>
        <v>93.275035061477013</v>
      </c>
      <c r="L637">
        <f t="shared" ca="1" si="592"/>
        <v>95.424135406414194</v>
      </c>
      <c r="M637">
        <f t="shared" ca="1" si="592"/>
        <v>93.975813536111104</v>
      </c>
      <c r="N637">
        <f t="shared" ca="1" si="592"/>
        <v>83.532431249957881</v>
      </c>
      <c r="O637">
        <f t="shared" ca="1" si="592"/>
        <v>80.169772581216108</v>
      </c>
      <c r="P637">
        <f t="shared" ca="1" si="592"/>
        <v>73.815239805901399</v>
      </c>
      <c r="Q637">
        <f t="shared" ca="1" si="544"/>
        <v>95.424135406414194</v>
      </c>
      <c r="R637">
        <f t="shared" ca="1" si="545"/>
        <v>0</v>
      </c>
      <c r="S637">
        <f t="shared" ca="1" si="546"/>
        <v>0</v>
      </c>
    </row>
    <row r="638" spans="5:19" x14ac:dyDescent="0.75">
      <c r="E638">
        <v>633</v>
      </c>
      <c r="F638">
        <f t="shared" si="542"/>
        <v>100</v>
      </c>
      <c r="G638">
        <f t="shared" ca="1" si="543"/>
        <v>99.956353018950267</v>
      </c>
      <c r="H638">
        <f t="shared" ca="1" si="543"/>
        <v>96.732750189968087</v>
      </c>
      <c r="I638">
        <f t="shared" ca="1" si="543"/>
        <v>100.61238852628944</v>
      </c>
      <c r="J638">
        <f t="shared" ref="J638:P638" ca="1" si="593">I638*EXP(($C$6-0.5*$C$7^2)*$C$12+$C$7*SQRT($C$12)*NORMINV(RAND(),0,1))</f>
        <v>90.781202586627202</v>
      </c>
      <c r="K638">
        <f t="shared" ca="1" si="593"/>
        <v>90.685263048044604</v>
      </c>
      <c r="L638">
        <f t="shared" ca="1" si="593"/>
        <v>96.542626016591754</v>
      </c>
      <c r="M638">
        <f t="shared" ca="1" si="593"/>
        <v>96.828620319459418</v>
      </c>
      <c r="N638">
        <f t="shared" ca="1" si="593"/>
        <v>94.622596317707988</v>
      </c>
      <c r="O638">
        <f t="shared" ca="1" si="593"/>
        <v>93.821783687592244</v>
      </c>
      <c r="P638">
        <f t="shared" ca="1" si="593"/>
        <v>93.556071388742296</v>
      </c>
      <c r="Q638">
        <f t="shared" ca="1" si="544"/>
        <v>100.61238852628944</v>
      </c>
      <c r="R638">
        <f t="shared" ca="1" si="545"/>
        <v>0</v>
      </c>
      <c r="S638">
        <f t="shared" ca="1" si="546"/>
        <v>0</v>
      </c>
    </row>
    <row r="639" spans="5:19" x14ac:dyDescent="0.75">
      <c r="E639">
        <v>634</v>
      </c>
      <c r="F639">
        <f t="shared" si="542"/>
        <v>100</v>
      </c>
      <c r="G639">
        <f t="shared" ca="1" si="543"/>
        <v>105.32988126849799</v>
      </c>
      <c r="H639">
        <f t="shared" ca="1" si="543"/>
        <v>106.99030751075412</v>
      </c>
      <c r="I639">
        <f t="shared" ca="1" si="543"/>
        <v>105.66970329527189</v>
      </c>
      <c r="J639">
        <f t="shared" ref="J639:P639" ca="1" si="594">I639*EXP(($C$6-0.5*$C$7^2)*$C$12+$C$7*SQRT($C$12)*NORMINV(RAND(),0,1))</f>
        <v>99.100046952514035</v>
      </c>
      <c r="K639">
        <f t="shared" ca="1" si="594"/>
        <v>104.52765560369713</v>
      </c>
      <c r="L639">
        <f t="shared" ca="1" si="594"/>
        <v>104.73561236842748</v>
      </c>
      <c r="M639">
        <f t="shared" ca="1" si="594"/>
        <v>96.796347844662904</v>
      </c>
      <c r="N639">
        <f t="shared" ca="1" si="594"/>
        <v>90.722500304925887</v>
      </c>
      <c r="O639">
        <f t="shared" ca="1" si="594"/>
        <v>97.069387316113918</v>
      </c>
      <c r="P639">
        <f t="shared" ca="1" si="594"/>
        <v>101.45740360376175</v>
      </c>
      <c r="Q639">
        <f t="shared" ca="1" si="544"/>
        <v>106.99030751075412</v>
      </c>
      <c r="R639">
        <f t="shared" ca="1" si="545"/>
        <v>0</v>
      </c>
      <c r="S639">
        <f t="shared" ca="1" si="546"/>
        <v>0</v>
      </c>
    </row>
    <row r="640" spans="5:19" x14ac:dyDescent="0.75">
      <c r="E640">
        <v>635</v>
      </c>
      <c r="F640">
        <f t="shared" si="542"/>
        <v>100</v>
      </c>
      <c r="G640">
        <f t="shared" ca="1" si="543"/>
        <v>102.54742193248498</v>
      </c>
      <c r="H640">
        <f t="shared" ca="1" si="543"/>
        <v>98.986246640350373</v>
      </c>
      <c r="I640">
        <f t="shared" ca="1" si="543"/>
        <v>100.97202429418519</v>
      </c>
      <c r="J640">
        <f t="shared" ref="J640:P640" ca="1" si="595">I640*EXP(($C$6-0.5*$C$7^2)*$C$12+$C$7*SQRT($C$12)*NORMINV(RAND(),0,1))</f>
        <v>96.358829465635807</v>
      </c>
      <c r="K640">
        <f t="shared" ca="1" si="595"/>
        <v>102.35544491431627</v>
      </c>
      <c r="L640">
        <f t="shared" ca="1" si="595"/>
        <v>95.021263095241579</v>
      </c>
      <c r="M640">
        <f t="shared" ca="1" si="595"/>
        <v>95.969897231817129</v>
      </c>
      <c r="N640">
        <f t="shared" ca="1" si="595"/>
        <v>99.737436527102403</v>
      </c>
      <c r="O640">
        <f t="shared" ca="1" si="595"/>
        <v>96.763185527920555</v>
      </c>
      <c r="P640">
        <f t="shared" ca="1" si="595"/>
        <v>97.689102848152871</v>
      </c>
      <c r="Q640">
        <f t="shared" ca="1" si="544"/>
        <v>102.54742193248498</v>
      </c>
      <c r="R640">
        <f t="shared" ca="1" si="545"/>
        <v>0</v>
      </c>
      <c r="S640">
        <f t="shared" ca="1" si="546"/>
        <v>0</v>
      </c>
    </row>
    <row r="641" spans="5:19" x14ac:dyDescent="0.75">
      <c r="E641">
        <v>636</v>
      </c>
      <c r="F641">
        <f t="shared" si="542"/>
        <v>100</v>
      </c>
      <c r="G641">
        <f t="shared" ca="1" si="543"/>
        <v>99.698098151461906</v>
      </c>
      <c r="H641">
        <f t="shared" ca="1" si="543"/>
        <v>96.185270667476672</v>
      </c>
      <c r="I641">
        <f t="shared" ca="1" si="543"/>
        <v>96.371359914086256</v>
      </c>
      <c r="J641">
        <f t="shared" ref="J641:P641" ca="1" si="596">I641*EXP(($C$6-0.5*$C$7^2)*$C$12+$C$7*SQRT($C$12)*NORMINV(RAND(),0,1))</f>
        <v>94.533019312077798</v>
      </c>
      <c r="K641">
        <f t="shared" ca="1" si="596"/>
        <v>96.607873651899013</v>
      </c>
      <c r="L641">
        <f t="shared" ca="1" si="596"/>
        <v>92.767635214048084</v>
      </c>
      <c r="M641">
        <f t="shared" ca="1" si="596"/>
        <v>91.735897248935601</v>
      </c>
      <c r="N641">
        <f t="shared" ca="1" si="596"/>
        <v>89.910392901679671</v>
      </c>
      <c r="O641">
        <f t="shared" ca="1" si="596"/>
        <v>95.74173484044826</v>
      </c>
      <c r="P641">
        <f t="shared" ca="1" si="596"/>
        <v>95.760357877487039</v>
      </c>
      <c r="Q641">
        <f t="shared" ca="1" si="544"/>
        <v>99.698098151461906</v>
      </c>
      <c r="R641">
        <f t="shared" ca="1" si="545"/>
        <v>0</v>
      </c>
      <c r="S641">
        <f t="shared" ca="1" si="546"/>
        <v>0</v>
      </c>
    </row>
    <row r="642" spans="5:19" x14ac:dyDescent="0.75">
      <c r="E642">
        <v>637</v>
      </c>
      <c r="F642">
        <f t="shared" si="542"/>
        <v>100</v>
      </c>
      <c r="G642">
        <f t="shared" ca="1" si="543"/>
        <v>97.553241759565822</v>
      </c>
      <c r="H642">
        <f t="shared" ca="1" si="543"/>
        <v>102.5385516232293</v>
      </c>
      <c r="I642">
        <f t="shared" ca="1" si="543"/>
        <v>106.2681089440641</v>
      </c>
      <c r="J642">
        <f t="shared" ref="J642:P642" ca="1" si="597">I642*EXP(($C$6-0.5*$C$7^2)*$C$12+$C$7*SQRT($C$12)*NORMINV(RAND(),0,1))</f>
        <v>106.81934005955451</v>
      </c>
      <c r="K642">
        <f t="shared" ca="1" si="597"/>
        <v>110.55148688906088</v>
      </c>
      <c r="L642">
        <f t="shared" ca="1" si="597"/>
        <v>112.85035378938643</v>
      </c>
      <c r="M642">
        <f t="shared" ca="1" si="597"/>
        <v>116.68034638799008</v>
      </c>
      <c r="N642">
        <f t="shared" ca="1" si="597"/>
        <v>117.34797252518494</v>
      </c>
      <c r="O642">
        <f t="shared" ca="1" si="597"/>
        <v>127.93095509019467</v>
      </c>
      <c r="P642">
        <f t="shared" ca="1" si="597"/>
        <v>123.32455003212615</v>
      </c>
      <c r="Q642">
        <f t="shared" ca="1" si="544"/>
        <v>127.93095509019467</v>
      </c>
      <c r="R642">
        <f t="shared" ca="1" si="545"/>
        <v>0</v>
      </c>
      <c r="S642">
        <f t="shared" ca="1" si="546"/>
        <v>0</v>
      </c>
    </row>
    <row r="643" spans="5:19" x14ac:dyDescent="0.75">
      <c r="E643">
        <v>638</v>
      </c>
      <c r="F643">
        <f t="shared" si="542"/>
        <v>100</v>
      </c>
      <c r="G643">
        <f t="shared" ca="1" si="543"/>
        <v>105.41810153149112</v>
      </c>
      <c r="H643">
        <f t="shared" ca="1" si="543"/>
        <v>105.92957478229172</v>
      </c>
      <c r="I643">
        <f t="shared" ca="1" si="543"/>
        <v>103.97498060914982</v>
      </c>
      <c r="J643">
        <f t="shared" ref="J643:P643" ca="1" si="598">I643*EXP(($C$6-0.5*$C$7^2)*$C$12+$C$7*SQRT($C$12)*NORMINV(RAND(),0,1))</f>
        <v>101.99024908229534</v>
      </c>
      <c r="K643">
        <f t="shared" ca="1" si="598"/>
        <v>109.66405021609035</v>
      </c>
      <c r="L643">
        <f t="shared" ca="1" si="598"/>
        <v>118.12281197895399</v>
      </c>
      <c r="M643">
        <f t="shared" ca="1" si="598"/>
        <v>114.34938373677139</v>
      </c>
      <c r="N643">
        <f t="shared" ca="1" si="598"/>
        <v>107.6101437387515</v>
      </c>
      <c r="O643">
        <f t="shared" ca="1" si="598"/>
        <v>114.30395210030787</v>
      </c>
      <c r="P643">
        <f t="shared" ca="1" si="598"/>
        <v>128.31170159594126</v>
      </c>
      <c r="Q643">
        <f t="shared" ca="1" si="544"/>
        <v>128.31170159594126</v>
      </c>
      <c r="R643">
        <f t="shared" ca="1" si="545"/>
        <v>0</v>
      </c>
      <c r="S643">
        <f t="shared" ca="1" si="546"/>
        <v>0</v>
      </c>
    </row>
    <row r="644" spans="5:19" x14ac:dyDescent="0.75">
      <c r="E644">
        <v>639</v>
      </c>
      <c r="F644">
        <f t="shared" si="542"/>
        <v>100</v>
      </c>
      <c r="G644">
        <f t="shared" ca="1" si="543"/>
        <v>107.58220355197507</v>
      </c>
      <c r="H644">
        <f t="shared" ca="1" si="543"/>
        <v>112.83512276254702</v>
      </c>
      <c r="I644">
        <f t="shared" ca="1" si="543"/>
        <v>111.50515501484237</v>
      </c>
      <c r="J644">
        <f t="shared" ref="J644:P644" ca="1" si="599">I644*EXP(($C$6-0.5*$C$7^2)*$C$12+$C$7*SQRT($C$12)*NORMINV(RAND(),0,1))</f>
        <v>110.07598984381323</v>
      </c>
      <c r="K644">
        <f t="shared" ca="1" si="599"/>
        <v>106.05521572110783</v>
      </c>
      <c r="L644">
        <f t="shared" ca="1" si="599"/>
        <v>100.56356222446919</v>
      </c>
      <c r="M644">
        <f t="shared" ca="1" si="599"/>
        <v>101.53053422483428</v>
      </c>
      <c r="N644">
        <f t="shared" ca="1" si="599"/>
        <v>99.787845694719721</v>
      </c>
      <c r="O644">
        <f t="shared" ca="1" si="599"/>
        <v>99.692668123503367</v>
      </c>
      <c r="P644">
        <f t="shared" ca="1" si="599"/>
        <v>99.773789702875376</v>
      </c>
      <c r="Q644">
        <f t="shared" ca="1" si="544"/>
        <v>112.83512276254702</v>
      </c>
      <c r="R644">
        <f t="shared" ca="1" si="545"/>
        <v>0</v>
      </c>
      <c r="S644">
        <f t="shared" ca="1" si="546"/>
        <v>0</v>
      </c>
    </row>
    <row r="645" spans="5:19" x14ac:dyDescent="0.75">
      <c r="E645">
        <v>640</v>
      </c>
      <c r="F645">
        <f t="shared" si="542"/>
        <v>100</v>
      </c>
      <c r="G645">
        <f t="shared" ca="1" si="543"/>
        <v>101.63944930978106</v>
      </c>
      <c r="H645">
        <f t="shared" ca="1" si="543"/>
        <v>100.45964892487</v>
      </c>
      <c r="I645">
        <f t="shared" ca="1" si="543"/>
        <v>99.879890765915874</v>
      </c>
      <c r="J645">
        <f t="shared" ref="J645:P645" ca="1" si="600">I645*EXP(($C$6-0.5*$C$7^2)*$C$12+$C$7*SQRT($C$12)*NORMINV(RAND(),0,1))</f>
        <v>101.24652024547375</v>
      </c>
      <c r="K645">
        <f t="shared" ca="1" si="600"/>
        <v>103.80420460206622</v>
      </c>
      <c r="L645">
        <f t="shared" ca="1" si="600"/>
        <v>103.72164564401001</v>
      </c>
      <c r="M645">
        <f t="shared" ca="1" si="600"/>
        <v>110.58265531609121</v>
      </c>
      <c r="N645">
        <f t="shared" ca="1" si="600"/>
        <v>116.68408621840408</v>
      </c>
      <c r="O645">
        <f t="shared" ca="1" si="600"/>
        <v>117.52255142872613</v>
      </c>
      <c r="P645">
        <f t="shared" ca="1" si="600"/>
        <v>113.73238437067097</v>
      </c>
      <c r="Q645">
        <f t="shared" ca="1" si="544"/>
        <v>117.52255142872613</v>
      </c>
      <c r="R645">
        <f t="shared" ca="1" si="545"/>
        <v>0</v>
      </c>
      <c r="S645">
        <f t="shared" ca="1" si="546"/>
        <v>0</v>
      </c>
    </row>
    <row r="646" spans="5:19" x14ac:dyDescent="0.75">
      <c r="E646">
        <v>641</v>
      </c>
      <c r="F646">
        <f t="shared" si="542"/>
        <v>100</v>
      </c>
      <c r="G646">
        <f t="shared" ca="1" si="543"/>
        <v>103.39274153313538</v>
      </c>
      <c r="H646">
        <f t="shared" ca="1" si="543"/>
        <v>107.63002881272796</v>
      </c>
      <c r="I646">
        <f t="shared" ca="1" si="543"/>
        <v>104.15710686373529</v>
      </c>
      <c r="J646">
        <f t="shared" ref="J646:P646" ca="1" si="601">I646*EXP(($C$6-0.5*$C$7^2)*$C$12+$C$7*SQRT($C$12)*NORMINV(RAND(),0,1))</f>
        <v>101.8085763154069</v>
      </c>
      <c r="K646">
        <f t="shared" ca="1" si="601"/>
        <v>106.12130493758069</v>
      </c>
      <c r="L646">
        <f t="shared" ca="1" si="601"/>
        <v>102.57993532824544</v>
      </c>
      <c r="M646">
        <f t="shared" ca="1" si="601"/>
        <v>98.880616171813472</v>
      </c>
      <c r="N646">
        <f t="shared" ca="1" si="601"/>
        <v>106.95115634606435</v>
      </c>
      <c r="O646">
        <f t="shared" ca="1" si="601"/>
        <v>122.20653160863883</v>
      </c>
      <c r="P646">
        <f t="shared" ca="1" si="601"/>
        <v>127.21914564179404</v>
      </c>
      <c r="Q646">
        <f t="shared" ca="1" si="544"/>
        <v>127.21914564179404</v>
      </c>
      <c r="R646">
        <f t="shared" ca="1" si="545"/>
        <v>0</v>
      </c>
      <c r="S646">
        <f t="shared" ca="1" si="546"/>
        <v>0</v>
      </c>
    </row>
    <row r="647" spans="5:19" x14ac:dyDescent="0.75">
      <c r="E647">
        <v>642</v>
      </c>
      <c r="F647">
        <f t="shared" ref="F647:F710" si="602">$C$5</f>
        <v>100</v>
      </c>
      <c r="G647">
        <f t="shared" ref="G647:P710" ca="1" si="603">F647*EXP(($C$6-0.5*$C$7^2)*$C$12+$C$7*SQRT($C$12)*NORMINV(RAND(),0,1))</f>
        <v>97.426923685935691</v>
      </c>
      <c r="H647">
        <f t="shared" ca="1" si="603"/>
        <v>97.322754859320227</v>
      </c>
      <c r="I647">
        <f t="shared" ca="1" si="603"/>
        <v>100.23287614608313</v>
      </c>
      <c r="J647">
        <f t="shared" ca="1" si="603"/>
        <v>100.98588424628922</v>
      </c>
      <c r="K647">
        <f t="shared" ca="1" si="603"/>
        <v>104.58746309489163</v>
      </c>
      <c r="L647">
        <f t="shared" ca="1" si="603"/>
        <v>107.78571413492446</v>
      </c>
      <c r="M647">
        <f t="shared" ca="1" si="603"/>
        <v>111.76110665732838</v>
      </c>
      <c r="N647">
        <f t="shared" ca="1" si="603"/>
        <v>110.3601817079815</v>
      </c>
      <c r="O647">
        <f t="shared" ca="1" si="603"/>
        <v>111.21279683218732</v>
      </c>
      <c r="P647">
        <f t="shared" ca="1" si="603"/>
        <v>109.00294400293528</v>
      </c>
      <c r="Q647">
        <f t="shared" ref="Q647:Q710" ca="1" si="604">MAX(G647:P647)</f>
        <v>111.76110665732838</v>
      </c>
      <c r="R647">
        <f t="shared" ref="R647:R710" ca="1" si="605">IF(Q647&gt;=$C$13,0, MAX(P647-$C$9,0))</f>
        <v>0</v>
      </c>
      <c r="S647">
        <f t="shared" ref="S647:S710" ca="1" si="606">EXP(-$C$6*$C$8)*R647</f>
        <v>0</v>
      </c>
    </row>
    <row r="648" spans="5:19" x14ac:dyDescent="0.75">
      <c r="E648">
        <v>643</v>
      </c>
      <c r="F648">
        <f t="shared" si="602"/>
        <v>100</v>
      </c>
      <c r="G648">
        <f t="shared" ca="1" si="603"/>
        <v>96.000175398043325</v>
      </c>
      <c r="H648">
        <f t="shared" ca="1" si="603"/>
        <v>96.972502568290452</v>
      </c>
      <c r="I648">
        <f t="shared" ca="1" si="603"/>
        <v>97.568969347592628</v>
      </c>
      <c r="J648">
        <f t="shared" ca="1" si="603"/>
        <v>105.05335557962853</v>
      </c>
      <c r="K648">
        <f t="shared" ca="1" si="603"/>
        <v>111.26312597596366</v>
      </c>
      <c r="L648">
        <f t="shared" ca="1" si="603"/>
        <v>108.70455022931782</v>
      </c>
      <c r="M648">
        <f t="shared" ca="1" si="603"/>
        <v>111.49467559384281</v>
      </c>
      <c r="N648">
        <f t="shared" ca="1" si="603"/>
        <v>117.33198897108308</v>
      </c>
      <c r="O648">
        <f t="shared" ca="1" si="603"/>
        <v>121.73883155945101</v>
      </c>
      <c r="P648">
        <f t="shared" ca="1" si="603"/>
        <v>123.42931379892651</v>
      </c>
      <c r="Q648">
        <f t="shared" ca="1" si="604"/>
        <v>123.42931379892651</v>
      </c>
      <c r="R648">
        <f t="shared" ca="1" si="605"/>
        <v>0</v>
      </c>
      <c r="S648">
        <f t="shared" ca="1" si="606"/>
        <v>0</v>
      </c>
    </row>
    <row r="649" spans="5:19" x14ac:dyDescent="0.75">
      <c r="E649">
        <v>644</v>
      </c>
      <c r="F649">
        <f t="shared" si="602"/>
        <v>100</v>
      </c>
      <c r="G649">
        <f t="shared" ca="1" si="603"/>
        <v>103.2412067566796</v>
      </c>
      <c r="H649">
        <f t="shared" ca="1" si="603"/>
        <v>100.54402673341842</v>
      </c>
      <c r="I649">
        <f t="shared" ca="1" si="603"/>
        <v>107.81567279021067</v>
      </c>
      <c r="J649">
        <f t="shared" ca="1" si="603"/>
        <v>99.778591175819116</v>
      </c>
      <c r="K649">
        <f t="shared" ca="1" si="603"/>
        <v>103.3079818829797</v>
      </c>
      <c r="L649">
        <f t="shared" ca="1" si="603"/>
        <v>110.49944308855653</v>
      </c>
      <c r="M649">
        <f t="shared" ca="1" si="603"/>
        <v>112.21997329957254</v>
      </c>
      <c r="N649">
        <f t="shared" ca="1" si="603"/>
        <v>101.89491851676206</v>
      </c>
      <c r="O649">
        <f t="shared" ca="1" si="603"/>
        <v>101.81134671832491</v>
      </c>
      <c r="P649">
        <f t="shared" ca="1" si="603"/>
        <v>94.68556923667245</v>
      </c>
      <c r="Q649">
        <f t="shared" ca="1" si="604"/>
        <v>112.21997329957254</v>
      </c>
      <c r="R649">
        <f t="shared" ca="1" si="605"/>
        <v>0</v>
      </c>
      <c r="S649">
        <f t="shared" ca="1" si="606"/>
        <v>0</v>
      </c>
    </row>
    <row r="650" spans="5:19" x14ac:dyDescent="0.75">
      <c r="E650">
        <v>645</v>
      </c>
      <c r="F650">
        <f t="shared" si="602"/>
        <v>100</v>
      </c>
      <c r="G650">
        <f t="shared" ca="1" si="603"/>
        <v>99.771475747415934</v>
      </c>
      <c r="H650">
        <f t="shared" ca="1" si="603"/>
        <v>104.99275498145641</v>
      </c>
      <c r="I650">
        <f t="shared" ca="1" si="603"/>
        <v>120.40892107157983</v>
      </c>
      <c r="J650">
        <f t="shared" ca="1" si="603"/>
        <v>128.39360254358212</v>
      </c>
      <c r="K650">
        <f t="shared" ca="1" si="603"/>
        <v>130.29231416889016</v>
      </c>
      <c r="L650">
        <f t="shared" ca="1" si="603"/>
        <v>131.15202270095676</v>
      </c>
      <c r="M650">
        <f t="shared" ca="1" si="603"/>
        <v>122.3312868816645</v>
      </c>
      <c r="N650">
        <f t="shared" ca="1" si="603"/>
        <v>129.25011541912244</v>
      </c>
      <c r="O650">
        <f t="shared" ca="1" si="603"/>
        <v>134.96368243828351</v>
      </c>
      <c r="P650">
        <f t="shared" ca="1" si="603"/>
        <v>140.20922839389428</v>
      </c>
      <c r="Q650">
        <f t="shared" ca="1" si="604"/>
        <v>140.20922839389428</v>
      </c>
      <c r="R650">
        <f t="shared" ca="1" si="605"/>
        <v>0</v>
      </c>
      <c r="S650">
        <f t="shared" ca="1" si="606"/>
        <v>0</v>
      </c>
    </row>
    <row r="651" spans="5:19" x14ac:dyDescent="0.75">
      <c r="E651">
        <v>646</v>
      </c>
      <c r="F651">
        <f t="shared" si="602"/>
        <v>100</v>
      </c>
      <c r="G651">
        <f t="shared" ca="1" si="603"/>
        <v>104.9699540483456</v>
      </c>
      <c r="H651">
        <f t="shared" ca="1" si="603"/>
        <v>102.97621974883775</v>
      </c>
      <c r="I651">
        <f t="shared" ca="1" si="603"/>
        <v>101.44190912522276</v>
      </c>
      <c r="J651">
        <f t="shared" ca="1" si="603"/>
        <v>93.626230853332189</v>
      </c>
      <c r="K651">
        <f t="shared" ca="1" si="603"/>
        <v>90.59227473342618</v>
      </c>
      <c r="L651">
        <f t="shared" ca="1" si="603"/>
        <v>87.055238163151202</v>
      </c>
      <c r="M651">
        <f t="shared" ca="1" si="603"/>
        <v>84.120517493753766</v>
      </c>
      <c r="N651">
        <f t="shared" ca="1" si="603"/>
        <v>82.884026089514805</v>
      </c>
      <c r="O651">
        <f t="shared" ca="1" si="603"/>
        <v>80.873991459579642</v>
      </c>
      <c r="P651">
        <f t="shared" ca="1" si="603"/>
        <v>78.429267211208881</v>
      </c>
      <c r="Q651">
        <f t="shared" ca="1" si="604"/>
        <v>104.9699540483456</v>
      </c>
      <c r="R651">
        <f t="shared" ca="1" si="605"/>
        <v>0</v>
      </c>
      <c r="S651">
        <f t="shared" ca="1" si="606"/>
        <v>0</v>
      </c>
    </row>
    <row r="652" spans="5:19" x14ac:dyDescent="0.75">
      <c r="E652">
        <v>647</v>
      </c>
      <c r="F652">
        <f t="shared" si="602"/>
        <v>100</v>
      </c>
      <c r="G652">
        <f t="shared" ca="1" si="603"/>
        <v>96.764803530997682</v>
      </c>
      <c r="H652">
        <f t="shared" ca="1" si="603"/>
        <v>90.384495590260755</v>
      </c>
      <c r="I652">
        <f t="shared" ca="1" si="603"/>
        <v>87.86322112292676</v>
      </c>
      <c r="J652">
        <f t="shared" ca="1" si="603"/>
        <v>85.088985134186785</v>
      </c>
      <c r="K652">
        <f t="shared" ca="1" si="603"/>
        <v>82.012428752148551</v>
      </c>
      <c r="L652">
        <f t="shared" ca="1" si="603"/>
        <v>75.493146933059691</v>
      </c>
      <c r="M652">
        <f t="shared" ca="1" si="603"/>
        <v>74.655759179339114</v>
      </c>
      <c r="N652">
        <f t="shared" ca="1" si="603"/>
        <v>72.574991639349747</v>
      </c>
      <c r="O652">
        <f t="shared" ca="1" si="603"/>
        <v>72.426353864406622</v>
      </c>
      <c r="P652">
        <f t="shared" ca="1" si="603"/>
        <v>70.160648952585063</v>
      </c>
      <c r="Q652">
        <f t="shared" ca="1" si="604"/>
        <v>96.764803530997682</v>
      </c>
      <c r="R652">
        <f t="shared" ca="1" si="605"/>
        <v>0</v>
      </c>
      <c r="S652">
        <f t="shared" ca="1" si="606"/>
        <v>0</v>
      </c>
    </row>
    <row r="653" spans="5:19" x14ac:dyDescent="0.75">
      <c r="E653">
        <v>648</v>
      </c>
      <c r="F653">
        <f t="shared" si="602"/>
        <v>100</v>
      </c>
      <c r="G653">
        <f t="shared" ca="1" si="603"/>
        <v>106.41376692709757</v>
      </c>
      <c r="H653">
        <f t="shared" ca="1" si="603"/>
        <v>109.22786819794675</v>
      </c>
      <c r="I653">
        <f t="shared" ca="1" si="603"/>
        <v>108.61484009406718</v>
      </c>
      <c r="J653">
        <f t="shared" ca="1" si="603"/>
        <v>111.82689013121144</v>
      </c>
      <c r="K653">
        <f t="shared" ca="1" si="603"/>
        <v>107.24808198471031</v>
      </c>
      <c r="L653">
        <f t="shared" ca="1" si="603"/>
        <v>101.03021320451204</v>
      </c>
      <c r="M653">
        <f t="shared" ca="1" si="603"/>
        <v>101.80688143367877</v>
      </c>
      <c r="N653">
        <f t="shared" ca="1" si="603"/>
        <v>99.539764067219963</v>
      </c>
      <c r="O653">
        <f t="shared" ca="1" si="603"/>
        <v>98.399201090354225</v>
      </c>
      <c r="P653">
        <f t="shared" ca="1" si="603"/>
        <v>103.61278585512363</v>
      </c>
      <c r="Q653">
        <f t="shared" ca="1" si="604"/>
        <v>111.82689013121144</v>
      </c>
      <c r="R653">
        <f t="shared" ca="1" si="605"/>
        <v>0</v>
      </c>
      <c r="S653">
        <f t="shared" ca="1" si="606"/>
        <v>0</v>
      </c>
    </row>
    <row r="654" spans="5:19" x14ac:dyDescent="0.75">
      <c r="E654">
        <v>649</v>
      </c>
      <c r="F654">
        <f t="shared" si="602"/>
        <v>100</v>
      </c>
      <c r="G654">
        <f t="shared" ca="1" si="603"/>
        <v>101.73252505681214</v>
      </c>
      <c r="H654">
        <f t="shared" ca="1" si="603"/>
        <v>96.923547431105192</v>
      </c>
      <c r="I654">
        <f t="shared" ca="1" si="603"/>
        <v>96.522960197704691</v>
      </c>
      <c r="J654">
        <f t="shared" ca="1" si="603"/>
        <v>99.831710678732307</v>
      </c>
      <c r="K654">
        <f t="shared" ca="1" si="603"/>
        <v>94.91739138627922</v>
      </c>
      <c r="L654">
        <f t="shared" ca="1" si="603"/>
        <v>90.739943485737385</v>
      </c>
      <c r="M654">
        <f t="shared" ca="1" si="603"/>
        <v>90.964814359395504</v>
      </c>
      <c r="N654">
        <f t="shared" ca="1" si="603"/>
        <v>95.362551619719113</v>
      </c>
      <c r="O654">
        <f t="shared" ca="1" si="603"/>
        <v>96.787464029162763</v>
      </c>
      <c r="P654">
        <f t="shared" ca="1" si="603"/>
        <v>91.256302067692928</v>
      </c>
      <c r="Q654">
        <f t="shared" ca="1" si="604"/>
        <v>101.73252505681214</v>
      </c>
      <c r="R654">
        <f t="shared" ca="1" si="605"/>
        <v>0</v>
      </c>
      <c r="S654">
        <f t="shared" ca="1" si="606"/>
        <v>0</v>
      </c>
    </row>
    <row r="655" spans="5:19" x14ac:dyDescent="0.75">
      <c r="E655">
        <v>650</v>
      </c>
      <c r="F655">
        <f t="shared" si="602"/>
        <v>100</v>
      </c>
      <c r="G655">
        <f t="shared" ca="1" si="603"/>
        <v>104.18659469498704</v>
      </c>
      <c r="H655">
        <f t="shared" ca="1" si="603"/>
        <v>103.51223313306031</v>
      </c>
      <c r="I655">
        <f t="shared" ca="1" si="603"/>
        <v>103.72953779527664</v>
      </c>
      <c r="J655">
        <f t="shared" ca="1" si="603"/>
        <v>110.09951683794947</v>
      </c>
      <c r="K655">
        <f t="shared" ca="1" si="603"/>
        <v>112.58406129192855</v>
      </c>
      <c r="L655">
        <f t="shared" ca="1" si="603"/>
        <v>108.51595605524213</v>
      </c>
      <c r="M655">
        <f t="shared" ca="1" si="603"/>
        <v>108.3919823287041</v>
      </c>
      <c r="N655">
        <f t="shared" ca="1" si="603"/>
        <v>110.23670730264158</v>
      </c>
      <c r="O655">
        <f t="shared" ca="1" si="603"/>
        <v>112.52323435664276</v>
      </c>
      <c r="P655">
        <f t="shared" ca="1" si="603"/>
        <v>116.04022525449187</v>
      </c>
      <c r="Q655">
        <f t="shared" ca="1" si="604"/>
        <v>116.04022525449187</v>
      </c>
      <c r="R655">
        <f t="shared" ca="1" si="605"/>
        <v>0</v>
      </c>
      <c r="S655">
        <f t="shared" ca="1" si="606"/>
        <v>0</v>
      </c>
    </row>
    <row r="656" spans="5:19" x14ac:dyDescent="0.75">
      <c r="E656">
        <v>651</v>
      </c>
      <c r="F656">
        <f t="shared" si="602"/>
        <v>100</v>
      </c>
      <c r="G656">
        <f t="shared" ca="1" si="603"/>
        <v>104.56824440718415</v>
      </c>
      <c r="H656">
        <f t="shared" ca="1" si="603"/>
        <v>107.16895718139679</v>
      </c>
      <c r="I656">
        <f t="shared" ca="1" si="603"/>
        <v>103.35583059906725</v>
      </c>
      <c r="J656">
        <f t="shared" ref="J656:P656" ca="1" si="607">I656*EXP(($C$6-0.5*$C$7^2)*$C$12+$C$7*SQRT($C$12)*NORMINV(RAND(),0,1))</f>
        <v>108.55148963161921</v>
      </c>
      <c r="K656">
        <f t="shared" ca="1" si="607"/>
        <v>101.92468288274833</v>
      </c>
      <c r="L656">
        <f t="shared" ca="1" si="607"/>
        <v>103.86200176230786</v>
      </c>
      <c r="M656">
        <f t="shared" ca="1" si="607"/>
        <v>109.9427487284307</v>
      </c>
      <c r="N656">
        <f t="shared" ca="1" si="607"/>
        <v>102.76275984061373</v>
      </c>
      <c r="O656">
        <f t="shared" ca="1" si="607"/>
        <v>114.0673237480828</v>
      </c>
      <c r="P656">
        <f t="shared" ca="1" si="607"/>
        <v>109.24721899463245</v>
      </c>
      <c r="Q656">
        <f t="shared" ca="1" si="604"/>
        <v>114.0673237480828</v>
      </c>
      <c r="R656">
        <f t="shared" ca="1" si="605"/>
        <v>0</v>
      </c>
      <c r="S656">
        <f t="shared" ca="1" si="606"/>
        <v>0</v>
      </c>
    </row>
    <row r="657" spans="5:19" x14ac:dyDescent="0.75">
      <c r="E657">
        <v>652</v>
      </c>
      <c r="F657">
        <f t="shared" si="602"/>
        <v>100</v>
      </c>
      <c r="G657">
        <f t="shared" ca="1" si="603"/>
        <v>100.42658035230944</v>
      </c>
      <c r="H657">
        <f t="shared" ca="1" si="603"/>
        <v>101.75581330457702</v>
      </c>
      <c r="I657">
        <f t="shared" ca="1" si="603"/>
        <v>106.17678689085757</v>
      </c>
      <c r="J657">
        <f t="shared" ref="J657:P657" ca="1" si="608">I657*EXP(($C$6-0.5*$C$7^2)*$C$12+$C$7*SQRT($C$12)*NORMINV(RAND(),0,1))</f>
        <v>107.58148798927455</v>
      </c>
      <c r="K657">
        <f t="shared" ca="1" si="608"/>
        <v>111.08674369160796</v>
      </c>
      <c r="L657">
        <f t="shared" ca="1" si="608"/>
        <v>108.31277215598547</v>
      </c>
      <c r="M657">
        <f t="shared" ca="1" si="608"/>
        <v>112.62301357315314</v>
      </c>
      <c r="N657">
        <f t="shared" ca="1" si="608"/>
        <v>113.04717892996676</v>
      </c>
      <c r="O657">
        <f t="shared" ca="1" si="608"/>
        <v>116.8589419650977</v>
      </c>
      <c r="P657">
        <f t="shared" ca="1" si="608"/>
        <v>122.50891766391872</v>
      </c>
      <c r="Q657">
        <f t="shared" ca="1" si="604"/>
        <v>122.50891766391872</v>
      </c>
      <c r="R657">
        <f t="shared" ca="1" si="605"/>
        <v>0</v>
      </c>
      <c r="S657">
        <f t="shared" ca="1" si="606"/>
        <v>0</v>
      </c>
    </row>
    <row r="658" spans="5:19" x14ac:dyDescent="0.75">
      <c r="E658">
        <v>653</v>
      </c>
      <c r="F658">
        <f t="shared" si="602"/>
        <v>100</v>
      </c>
      <c r="G658">
        <f t="shared" ca="1" si="603"/>
        <v>98.432382196932281</v>
      </c>
      <c r="H658">
        <f t="shared" ca="1" si="603"/>
        <v>101.35225369555661</v>
      </c>
      <c r="I658">
        <f t="shared" ca="1" si="603"/>
        <v>105.30821012970299</v>
      </c>
      <c r="J658">
        <f t="shared" ref="J658:P658" ca="1" si="609">I658*EXP(($C$6-0.5*$C$7^2)*$C$12+$C$7*SQRT($C$12)*NORMINV(RAND(),0,1))</f>
        <v>110.5357791108671</v>
      </c>
      <c r="K658">
        <f t="shared" ca="1" si="609"/>
        <v>113.26249584940915</v>
      </c>
      <c r="L658">
        <f t="shared" ca="1" si="609"/>
        <v>109.82970102093559</v>
      </c>
      <c r="M658">
        <f t="shared" ca="1" si="609"/>
        <v>117.92307488982354</v>
      </c>
      <c r="N658">
        <f t="shared" ca="1" si="609"/>
        <v>112.9812829987787</v>
      </c>
      <c r="O658">
        <f t="shared" ca="1" si="609"/>
        <v>107.64016534640982</v>
      </c>
      <c r="P658">
        <f t="shared" ca="1" si="609"/>
        <v>111.76326339994849</v>
      </c>
      <c r="Q658">
        <f t="shared" ca="1" si="604"/>
        <v>117.92307488982354</v>
      </c>
      <c r="R658">
        <f t="shared" ca="1" si="605"/>
        <v>0</v>
      </c>
      <c r="S658">
        <f t="shared" ca="1" si="606"/>
        <v>0</v>
      </c>
    </row>
    <row r="659" spans="5:19" x14ac:dyDescent="0.75">
      <c r="E659">
        <v>654</v>
      </c>
      <c r="F659">
        <f t="shared" si="602"/>
        <v>100</v>
      </c>
      <c r="G659">
        <f t="shared" ca="1" si="603"/>
        <v>95.07031213611738</v>
      </c>
      <c r="H659">
        <f t="shared" ca="1" si="603"/>
        <v>97.437716585608442</v>
      </c>
      <c r="I659">
        <f t="shared" ca="1" si="603"/>
        <v>94.882484606802436</v>
      </c>
      <c r="J659">
        <f t="shared" ref="J659:P659" ca="1" si="610">I659*EXP(($C$6-0.5*$C$7^2)*$C$12+$C$7*SQRT($C$12)*NORMINV(RAND(),0,1))</f>
        <v>89.961084410862455</v>
      </c>
      <c r="K659">
        <f t="shared" ca="1" si="610"/>
        <v>99.646985356135147</v>
      </c>
      <c r="L659">
        <f t="shared" ca="1" si="610"/>
        <v>96.952917132514457</v>
      </c>
      <c r="M659">
        <f t="shared" ca="1" si="610"/>
        <v>92.936172569484327</v>
      </c>
      <c r="N659">
        <f t="shared" ca="1" si="610"/>
        <v>97.201308103909085</v>
      </c>
      <c r="O659">
        <f t="shared" ca="1" si="610"/>
        <v>98.937280119664194</v>
      </c>
      <c r="P659">
        <f t="shared" ca="1" si="610"/>
        <v>97.99708335337148</v>
      </c>
      <c r="Q659">
        <f t="shared" ca="1" si="604"/>
        <v>99.646985356135147</v>
      </c>
      <c r="R659">
        <f t="shared" ca="1" si="605"/>
        <v>0</v>
      </c>
      <c r="S659">
        <f t="shared" ca="1" si="606"/>
        <v>0</v>
      </c>
    </row>
    <row r="660" spans="5:19" x14ac:dyDescent="0.75">
      <c r="E660">
        <v>655</v>
      </c>
      <c r="F660">
        <f t="shared" si="602"/>
        <v>100</v>
      </c>
      <c r="G660">
        <f t="shared" ca="1" si="603"/>
        <v>106.23229884411698</v>
      </c>
      <c r="H660">
        <f t="shared" ca="1" si="603"/>
        <v>110.02753006647734</v>
      </c>
      <c r="I660">
        <f t="shared" ca="1" si="603"/>
        <v>112.87670405047956</v>
      </c>
      <c r="J660">
        <f t="shared" ref="J660:P660" ca="1" si="611">I660*EXP(($C$6-0.5*$C$7^2)*$C$12+$C$7*SQRT($C$12)*NORMINV(RAND(),0,1))</f>
        <v>113.68343680258418</v>
      </c>
      <c r="K660">
        <f t="shared" ca="1" si="611"/>
        <v>116.53288903983631</v>
      </c>
      <c r="L660">
        <f t="shared" ca="1" si="611"/>
        <v>112.39498887777319</v>
      </c>
      <c r="M660">
        <f t="shared" ca="1" si="611"/>
        <v>117.7220822719292</v>
      </c>
      <c r="N660">
        <f t="shared" ca="1" si="611"/>
        <v>110.13837858374561</v>
      </c>
      <c r="O660">
        <f t="shared" ca="1" si="611"/>
        <v>105.15317879800608</v>
      </c>
      <c r="P660">
        <f t="shared" ca="1" si="611"/>
        <v>96.516681655603307</v>
      </c>
      <c r="Q660">
        <f t="shared" ca="1" si="604"/>
        <v>117.7220822719292</v>
      </c>
      <c r="R660">
        <f t="shared" ca="1" si="605"/>
        <v>0</v>
      </c>
      <c r="S660">
        <f t="shared" ca="1" si="606"/>
        <v>0</v>
      </c>
    </row>
    <row r="661" spans="5:19" x14ac:dyDescent="0.75">
      <c r="E661">
        <v>656</v>
      </c>
      <c r="F661">
        <f t="shared" si="602"/>
        <v>100</v>
      </c>
      <c r="G661">
        <f t="shared" ca="1" si="603"/>
        <v>101.6891545865154</v>
      </c>
      <c r="H661">
        <f t="shared" ca="1" si="603"/>
        <v>107.83334094630969</v>
      </c>
      <c r="I661">
        <f t="shared" ca="1" si="603"/>
        <v>108.83893513650207</v>
      </c>
      <c r="J661">
        <f t="shared" ref="J661:P661" ca="1" si="612">I661*EXP(($C$6-0.5*$C$7^2)*$C$12+$C$7*SQRT($C$12)*NORMINV(RAND(),0,1))</f>
        <v>108.72052196555478</v>
      </c>
      <c r="K661">
        <f t="shared" ca="1" si="612"/>
        <v>113.45282269677259</v>
      </c>
      <c r="L661">
        <f t="shared" ca="1" si="612"/>
        <v>111.14974639133032</v>
      </c>
      <c r="M661">
        <f t="shared" ca="1" si="612"/>
        <v>107.40018339153826</v>
      </c>
      <c r="N661">
        <f t="shared" ca="1" si="612"/>
        <v>100.22182351253386</v>
      </c>
      <c r="O661">
        <f t="shared" ca="1" si="612"/>
        <v>101.47933531008869</v>
      </c>
      <c r="P661">
        <f t="shared" ca="1" si="612"/>
        <v>95.343068276237659</v>
      </c>
      <c r="Q661">
        <f t="shared" ca="1" si="604"/>
        <v>113.45282269677259</v>
      </c>
      <c r="R661">
        <f t="shared" ca="1" si="605"/>
        <v>0</v>
      </c>
      <c r="S661">
        <f t="shared" ca="1" si="606"/>
        <v>0</v>
      </c>
    </row>
    <row r="662" spans="5:19" x14ac:dyDescent="0.75">
      <c r="E662">
        <v>657</v>
      </c>
      <c r="F662">
        <f t="shared" si="602"/>
        <v>100</v>
      </c>
      <c r="G662">
        <f t="shared" ca="1" si="603"/>
        <v>98.055439166231608</v>
      </c>
      <c r="H662">
        <f t="shared" ca="1" si="603"/>
        <v>89.694634031066201</v>
      </c>
      <c r="I662">
        <f t="shared" ca="1" si="603"/>
        <v>91.235652464753187</v>
      </c>
      <c r="J662">
        <f t="shared" ref="J662:P662" ca="1" si="613">I662*EXP(($C$6-0.5*$C$7^2)*$C$12+$C$7*SQRT($C$12)*NORMINV(RAND(),0,1))</f>
        <v>88.685412251447744</v>
      </c>
      <c r="K662">
        <f t="shared" ca="1" si="613"/>
        <v>89.180993441507766</v>
      </c>
      <c r="L662">
        <f t="shared" ca="1" si="613"/>
        <v>87.866489475171534</v>
      </c>
      <c r="M662">
        <f t="shared" ca="1" si="613"/>
        <v>85.220333714178039</v>
      </c>
      <c r="N662">
        <f t="shared" ca="1" si="613"/>
        <v>82.594694301303434</v>
      </c>
      <c r="O662">
        <f t="shared" ca="1" si="613"/>
        <v>88.713827720506913</v>
      </c>
      <c r="P662">
        <f t="shared" ca="1" si="613"/>
        <v>91.45160179142222</v>
      </c>
      <c r="Q662">
        <f t="shared" ca="1" si="604"/>
        <v>98.055439166231608</v>
      </c>
      <c r="R662">
        <f t="shared" ca="1" si="605"/>
        <v>0</v>
      </c>
      <c r="S662">
        <f t="shared" ca="1" si="606"/>
        <v>0</v>
      </c>
    </row>
    <row r="663" spans="5:19" x14ac:dyDescent="0.75">
      <c r="E663">
        <v>658</v>
      </c>
      <c r="F663">
        <f t="shared" si="602"/>
        <v>100</v>
      </c>
      <c r="G663">
        <f t="shared" ca="1" si="603"/>
        <v>105.22220936325107</v>
      </c>
      <c r="H663">
        <f t="shared" ca="1" si="603"/>
        <v>114.07996662894716</v>
      </c>
      <c r="I663">
        <f t="shared" ca="1" si="603"/>
        <v>116.98688431622099</v>
      </c>
      <c r="J663">
        <f t="shared" ref="J663:P663" ca="1" si="614">I663*EXP(($C$6-0.5*$C$7^2)*$C$12+$C$7*SQRT($C$12)*NORMINV(RAND(),0,1))</f>
        <v>116.21372856518174</v>
      </c>
      <c r="K663">
        <f t="shared" ca="1" si="614"/>
        <v>112.54166492318878</v>
      </c>
      <c r="L663">
        <f t="shared" ca="1" si="614"/>
        <v>111.30888619389079</v>
      </c>
      <c r="M663">
        <f t="shared" ca="1" si="614"/>
        <v>121.05383141214415</v>
      </c>
      <c r="N663">
        <f t="shared" ca="1" si="614"/>
        <v>118.05340894174218</v>
      </c>
      <c r="O663">
        <f t="shared" ca="1" si="614"/>
        <v>118.89367919157924</v>
      </c>
      <c r="P663">
        <f t="shared" ca="1" si="614"/>
        <v>123.42781994666876</v>
      </c>
      <c r="Q663">
        <f t="shared" ca="1" si="604"/>
        <v>123.42781994666876</v>
      </c>
      <c r="R663">
        <f t="shared" ca="1" si="605"/>
        <v>0</v>
      </c>
      <c r="S663">
        <f t="shared" ca="1" si="606"/>
        <v>0</v>
      </c>
    </row>
    <row r="664" spans="5:19" x14ac:dyDescent="0.75">
      <c r="E664">
        <v>659</v>
      </c>
      <c r="F664">
        <f t="shared" si="602"/>
        <v>100</v>
      </c>
      <c r="G664">
        <f t="shared" ca="1" si="603"/>
        <v>110.49561631374374</v>
      </c>
      <c r="H664">
        <f t="shared" ca="1" si="603"/>
        <v>111.25284098426337</v>
      </c>
      <c r="I664">
        <f t="shared" ca="1" si="603"/>
        <v>107.96199489478012</v>
      </c>
      <c r="J664">
        <f t="shared" ref="J664:P664" ca="1" si="615">I664*EXP(($C$6-0.5*$C$7^2)*$C$12+$C$7*SQRT($C$12)*NORMINV(RAND(),0,1))</f>
        <v>111.79926939248197</v>
      </c>
      <c r="K664">
        <f t="shared" ca="1" si="615"/>
        <v>113.64119830504733</v>
      </c>
      <c r="L664">
        <f t="shared" ca="1" si="615"/>
        <v>114.79662736091974</v>
      </c>
      <c r="M664">
        <f t="shared" ca="1" si="615"/>
        <v>111.74848303911375</v>
      </c>
      <c r="N664">
        <f t="shared" ca="1" si="615"/>
        <v>109.55257635898448</v>
      </c>
      <c r="O664">
        <f t="shared" ca="1" si="615"/>
        <v>110.77338191334786</v>
      </c>
      <c r="P664">
        <f t="shared" ca="1" si="615"/>
        <v>106.46606272497479</v>
      </c>
      <c r="Q664">
        <f t="shared" ca="1" si="604"/>
        <v>114.79662736091974</v>
      </c>
      <c r="R664">
        <f t="shared" ca="1" si="605"/>
        <v>0</v>
      </c>
      <c r="S664">
        <f t="shared" ca="1" si="606"/>
        <v>0</v>
      </c>
    </row>
    <row r="665" spans="5:19" x14ac:dyDescent="0.75">
      <c r="E665">
        <v>660</v>
      </c>
      <c r="F665">
        <f t="shared" si="602"/>
        <v>100</v>
      </c>
      <c r="G665">
        <f t="shared" ca="1" si="603"/>
        <v>107.40840632635833</v>
      </c>
      <c r="H665">
        <f t="shared" ca="1" si="603"/>
        <v>102.53087292243616</v>
      </c>
      <c r="I665">
        <f t="shared" ca="1" si="603"/>
        <v>104.74390668085307</v>
      </c>
      <c r="J665">
        <f t="shared" ref="J665:P665" ca="1" si="616">I665*EXP(($C$6-0.5*$C$7^2)*$C$12+$C$7*SQRT($C$12)*NORMINV(RAND(),0,1))</f>
        <v>101.95244887641476</v>
      </c>
      <c r="K665">
        <f t="shared" ca="1" si="616"/>
        <v>99.192997928410264</v>
      </c>
      <c r="L665">
        <f t="shared" ca="1" si="616"/>
        <v>98.898958921088166</v>
      </c>
      <c r="M665">
        <f t="shared" ca="1" si="616"/>
        <v>110.97015723419503</v>
      </c>
      <c r="N665">
        <f t="shared" ca="1" si="616"/>
        <v>114.61939559989877</v>
      </c>
      <c r="O665">
        <f t="shared" ca="1" si="616"/>
        <v>125.09836951299613</v>
      </c>
      <c r="P665">
        <f t="shared" ca="1" si="616"/>
        <v>128.32434842472017</v>
      </c>
      <c r="Q665">
        <f t="shared" ca="1" si="604"/>
        <v>128.32434842472017</v>
      </c>
      <c r="R665">
        <f t="shared" ca="1" si="605"/>
        <v>0</v>
      </c>
      <c r="S665">
        <f t="shared" ca="1" si="606"/>
        <v>0</v>
      </c>
    </row>
    <row r="666" spans="5:19" x14ac:dyDescent="0.75">
      <c r="E666">
        <v>661</v>
      </c>
      <c r="F666">
        <f t="shared" si="602"/>
        <v>100</v>
      </c>
      <c r="G666">
        <f t="shared" ca="1" si="603"/>
        <v>93.733400112351973</v>
      </c>
      <c r="H666">
        <f t="shared" ca="1" si="603"/>
        <v>97.437595939757912</v>
      </c>
      <c r="I666">
        <f t="shared" ca="1" si="603"/>
        <v>93.500946174846419</v>
      </c>
      <c r="J666">
        <f t="shared" ref="J666:P666" ca="1" si="617">I666*EXP(($C$6-0.5*$C$7^2)*$C$12+$C$7*SQRT($C$12)*NORMINV(RAND(),0,1))</f>
        <v>91.089850601721523</v>
      </c>
      <c r="K666">
        <f t="shared" ca="1" si="617"/>
        <v>95.594358595961694</v>
      </c>
      <c r="L666">
        <f t="shared" ca="1" si="617"/>
        <v>102.17750535017485</v>
      </c>
      <c r="M666">
        <f t="shared" ca="1" si="617"/>
        <v>106.96392766998888</v>
      </c>
      <c r="N666">
        <f t="shared" ca="1" si="617"/>
        <v>106.12159612859502</v>
      </c>
      <c r="O666">
        <f t="shared" ca="1" si="617"/>
        <v>101.19884919722774</v>
      </c>
      <c r="P666">
        <f t="shared" ca="1" si="617"/>
        <v>106.64864870985235</v>
      </c>
      <c r="Q666">
        <f t="shared" ca="1" si="604"/>
        <v>106.96392766998888</v>
      </c>
      <c r="R666">
        <f t="shared" ca="1" si="605"/>
        <v>4.6486487098523526</v>
      </c>
      <c r="S666">
        <f t="shared" ca="1" si="606"/>
        <v>4.53387316425672</v>
      </c>
    </row>
    <row r="667" spans="5:19" x14ac:dyDescent="0.75">
      <c r="E667">
        <v>662</v>
      </c>
      <c r="F667">
        <f t="shared" si="602"/>
        <v>100</v>
      </c>
      <c r="G667">
        <f t="shared" ca="1" si="603"/>
        <v>106.00220836141013</v>
      </c>
      <c r="H667">
        <f t="shared" ca="1" si="603"/>
        <v>102.66366112548471</v>
      </c>
      <c r="I667">
        <f t="shared" ca="1" si="603"/>
        <v>95.654444280319254</v>
      </c>
      <c r="J667">
        <f t="shared" ref="J667:P667" ca="1" si="618">I667*EXP(($C$6-0.5*$C$7^2)*$C$12+$C$7*SQRT($C$12)*NORMINV(RAND(),0,1))</f>
        <v>97.726953410687571</v>
      </c>
      <c r="K667">
        <f t="shared" ca="1" si="618"/>
        <v>99.739190792376576</v>
      </c>
      <c r="L667">
        <f t="shared" ca="1" si="618"/>
        <v>90.472765863358561</v>
      </c>
      <c r="M667">
        <f t="shared" ca="1" si="618"/>
        <v>91.246970369183288</v>
      </c>
      <c r="N667">
        <f t="shared" ca="1" si="618"/>
        <v>86.971530819582668</v>
      </c>
      <c r="O667">
        <f t="shared" ca="1" si="618"/>
        <v>91.553224181559926</v>
      </c>
      <c r="P667">
        <f t="shared" ca="1" si="618"/>
        <v>93.587972181328084</v>
      </c>
      <c r="Q667">
        <f t="shared" ca="1" si="604"/>
        <v>106.00220836141013</v>
      </c>
      <c r="R667">
        <f t="shared" ca="1" si="605"/>
        <v>0</v>
      </c>
      <c r="S667">
        <f t="shared" ca="1" si="606"/>
        <v>0</v>
      </c>
    </row>
    <row r="668" spans="5:19" x14ac:dyDescent="0.75">
      <c r="E668">
        <v>663</v>
      </c>
      <c r="F668">
        <f t="shared" si="602"/>
        <v>100</v>
      </c>
      <c r="G668">
        <f t="shared" ca="1" si="603"/>
        <v>97.263807915140532</v>
      </c>
      <c r="H668">
        <f t="shared" ca="1" si="603"/>
        <v>95.680331343208493</v>
      </c>
      <c r="I668">
        <f t="shared" ca="1" si="603"/>
        <v>101.43125366995679</v>
      </c>
      <c r="J668">
        <f t="shared" ref="J668:P668" ca="1" si="619">I668*EXP(($C$6-0.5*$C$7^2)*$C$12+$C$7*SQRT($C$12)*NORMINV(RAND(),0,1))</f>
        <v>99.043459974411689</v>
      </c>
      <c r="K668">
        <f t="shared" ca="1" si="619"/>
        <v>104.5956342298428</v>
      </c>
      <c r="L668">
        <f t="shared" ca="1" si="619"/>
        <v>103.10322058588513</v>
      </c>
      <c r="M668">
        <f t="shared" ca="1" si="619"/>
        <v>95.486043175740377</v>
      </c>
      <c r="N668">
        <f t="shared" ca="1" si="619"/>
        <v>97.460797516809151</v>
      </c>
      <c r="O668">
        <f t="shared" ca="1" si="619"/>
        <v>100.05208620961538</v>
      </c>
      <c r="P668">
        <f t="shared" ca="1" si="619"/>
        <v>97.986160784039129</v>
      </c>
      <c r="Q668">
        <f t="shared" ca="1" si="604"/>
        <v>104.5956342298428</v>
      </c>
      <c r="R668">
        <f t="shared" ca="1" si="605"/>
        <v>0</v>
      </c>
      <c r="S668">
        <f t="shared" ca="1" si="606"/>
        <v>0</v>
      </c>
    </row>
    <row r="669" spans="5:19" x14ac:dyDescent="0.75">
      <c r="E669">
        <v>664</v>
      </c>
      <c r="F669">
        <f t="shared" si="602"/>
        <v>100</v>
      </c>
      <c r="G669">
        <f t="shared" ca="1" si="603"/>
        <v>103.35795762599724</v>
      </c>
      <c r="H669">
        <f t="shared" ca="1" si="603"/>
        <v>109.0678166663115</v>
      </c>
      <c r="I669">
        <f t="shared" ca="1" si="603"/>
        <v>108.70754338653556</v>
      </c>
      <c r="J669">
        <f t="shared" ref="J669:P669" ca="1" si="620">I669*EXP(($C$6-0.5*$C$7^2)*$C$12+$C$7*SQRT($C$12)*NORMINV(RAND(),0,1))</f>
        <v>111.65549085066337</v>
      </c>
      <c r="K669">
        <f t="shared" ca="1" si="620"/>
        <v>109.55460778232262</v>
      </c>
      <c r="L669">
        <f t="shared" ca="1" si="620"/>
        <v>112.69454201519009</v>
      </c>
      <c r="M669">
        <f t="shared" ca="1" si="620"/>
        <v>119.50243195312861</v>
      </c>
      <c r="N669">
        <f t="shared" ca="1" si="620"/>
        <v>124.65535305060646</v>
      </c>
      <c r="O669">
        <f t="shared" ca="1" si="620"/>
        <v>121.16109114046952</v>
      </c>
      <c r="P669">
        <f t="shared" ca="1" si="620"/>
        <v>123.64679450694911</v>
      </c>
      <c r="Q669">
        <f t="shared" ca="1" si="604"/>
        <v>124.65535305060646</v>
      </c>
      <c r="R669">
        <f t="shared" ca="1" si="605"/>
        <v>0</v>
      </c>
      <c r="S669">
        <f t="shared" ca="1" si="606"/>
        <v>0</v>
      </c>
    </row>
    <row r="670" spans="5:19" x14ac:dyDescent="0.75">
      <c r="E670">
        <v>665</v>
      </c>
      <c r="F670">
        <f t="shared" si="602"/>
        <v>100</v>
      </c>
      <c r="G670">
        <f t="shared" ca="1" si="603"/>
        <v>103.21475978697516</v>
      </c>
      <c r="H670">
        <f t="shared" ca="1" si="603"/>
        <v>100.77893156650347</v>
      </c>
      <c r="I670">
        <f t="shared" ca="1" si="603"/>
        <v>108.02602317353325</v>
      </c>
      <c r="J670">
        <f t="shared" ref="J670:P670" ca="1" si="621">I670*EXP(($C$6-0.5*$C$7^2)*$C$12+$C$7*SQRT($C$12)*NORMINV(RAND(),0,1))</f>
        <v>115.31264051729532</v>
      </c>
      <c r="K670">
        <f t="shared" ca="1" si="621"/>
        <v>118.40487050955252</v>
      </c>
      <c r="L670">
        <f t="shared" ca="1" si="621"/>
        <v>115.56349450927243</v>
      </c>
      <c r="M670">
        <f t="shared" ca="1" si="621"/>
        <v>113.88638655623062</v>
      </c>
      <c r="N670">
        <f t="shared" ca="1" si="621"/>
        <v>107.94518982574289</v>
      </c>
      <c r="O670">
        <f t="shared" ca="1" si="621"/>
        <v>113.89631244634366</v>
      </c>
      <c r="P670">
        <f t="shared" ca="1" si="621"/>
        <v>114.78588093832876</v>
      </c>
      <c r="Q670">
        <f t="shared" ca="1" si="604"/>
        <v>118.40487050955252</v>
      </c>
      <c r="R670">
        <f t="shared" ca="1" si="605"/>
        <v>0</v>
      </c>
      <c r="S670">
        <f t="shared" ca="1" si="606"/>
        <v>0</v>
      </c>
    </row>
    <row r="671" spans="5:19" x14ac:dyDescent="0.75">
      <c r="E671">
        <v>666</v>
      </c>
      <c r="F671">
        <f t="shared" si="602"/>
        <v>100</v>
      </c>
      <c r="G671">
        <f t="shared" ca="1" si="603"/>
        <v>97.831927255033463</v>
      </c>
      <c r="H671">
        <f t="shared" ca="1" si="603"/>
        <v>96.758164686081045</v>
      </c>
      <c r="I671">
        <f t="shared" ca="1" si="603"/>
        <v>90.604520384975231</v>
      </c>
      <c r="J671">
        <f t="shared" ref="J671:P671" ca="1" si="622">I671*EXP(($C$6-0.5*$C$7^2)*$C$12+$C$7*SQRT($C$12)*NORMINV(RAND(),0,1))</f>
        <v>85.1456856897195</v>
      </c>
      <c r="K671">
        <f t="shared" ca="1" si="622"/>
        <v>86.528324220756389</v>
      </c>
      <c r="L671">
        <f t="shared" ca="1" si="622"/>
        <v>82.900737953598608</v>
      </c>
      <c r="M671">
        <f t="shared" ca="1" si="622"/>
        <v>85.047278201314086</v>
      </c>
      <c r="N671">
        <f t="shared" ca="1" si="622"/>
        <v>87.033290627393612</v>
      </c>
      <c r="O671">
        <f t="shared" ca="1" si="622"/>
        <v>84.233798930923172</v>
      </c>
      <c r="P671">
        <f t="shared" ca="1" si="622"/>
        <v>85.043912731925772</v>
      </c>
      <c r="Q671">
        <f t="shared" ca="1" si="604"/>
        <v>97.831927255033463</v>
      </c>
      <c r="R671">
        <f t="shared" ca="1" si="605"/>
        <v>0</v>
      </c>
      <c r="S671">
        <f t="shared" ca="1" si="606"/>
        <v>0</v>
      </c>
    </row>
    <row r="672" spans="5:19" x14ac:dyDescent="0.75">
      <c r="E672">
        <v>667</v>
      </c>
      <c r="F672">
        <f t="shared" si="602"/>
        <v>100</v>
      </c>
      <c r="G672">
        <f t="shared" ca="1" si="603"/>
        <v>103.92115733272502</v>
      </c>
      <c r="H672">
        <f t="shared" ca="1" si="603"/>
        <v>113.83297316127288</v>
      </c>
      <c r="I672">
        <f t="shared" ca="1" si="603"/>
        <v>115.2326827117587</v>
      </c>
      <c r="J672">
        <f t="shared" ref="J672:P672" ca="1" si="623">I672*EXP(($C$6-0.5*$C$7^2)*$C$12+$C$7*SQRT($C$12)*NORMINV(RAND(),0,1))</f>
        <v>108.56681049222519</v>
      </c>
      <c r="K672">
        <f t="shared" ca="1" si="623"/>
        <v>109.2125795027178</v>
      </c>
      <c r="L672">
        <f t="shared" ca="1" si="623"/>
        <v>106.55656274559512</v>
      </c>
      <c r="M672">
        <f t="shared" ca="1" si="623"/>
        <v>106.49668395013153</v>
      </c>
      <c r="N672">
        <f t="shared" ca="1" si="623"/>
        <v>110.58107220445117</v>
      </c>
      <c r="O672">
        <f t="shared" ca="1" si="623"/>
        <v>110.19491924555628</v>
      </c>
      <c r="P672">
        <f t="shared" ca="1" si="623"/>
        <v>107.95321678045325</v>
      </c>
      <c r="Q672">
        <f t="shared" ca="1" si="604"/>
        <v>115.2326827117587</v>
      </c>
      <c r="R672">
        <f t="shared" ca="1" si="605"/>
        <v>0</v>
      </c>
      <c r="S672">
        <f t="shared" ca="1" si="606"/>
        <v>0</v>
      </c>
    </row>
    <row r="673" spans="5:19" x14ac:dyDescent="0.75">
      <c r="E673">
        <v>668</v>
      </c>
      <c r="F673">
        <f t="shared" si="602"/>
        <v>100</v>
      </c>
      <c r="G673">
        <f t="shared" ca="1" si="603"/>
        <v>99.94046555126161</v>
      </c>
      <c r="H673">
        <f t="shared" ca="1" si="603"/>
        <v>101.29141370616526</v>
      </c>
      <c r="I673">
        <f t="shared" ca="1" si="603"/>
        <v>100.61364581160834</v>
      </c>
      <c r="J673">
        <f t="shared" ref="J673:P673" ca="1" si="624">I673*EXP(($C$6-0.5*$C$7^2)*$C$12+$C$7*SQRT($C$12)*NORMINV(RAND(),0,1))</f>
        <v>100.07731633683727</v>
      </c>
      <c r="K673">
        <f t="shared" ca="1" si="624"/>
        <v>98.969233474126057</v>
      </c>
      <c r="L673">
        <f t="shared" ca="1" si="624"/>
        <v>99.629417360786945</v>
      </c>
      <c r="M673">
        <f t="shared" ca="1" si="624"/>
        <v>105.73372291231901</v>
      </c>
      <c r="N673">
        <f t="shared" ca="1" si="624"/>
        <v>97.918788968877948</v>
      </c>
      <c r="O673">
        <f t="shared" ca="1" si="624"/>
        <v>98.122706357817066</v>
      </c>
      <c r="P673">
        <f t="shared" ca="1" si="624"/>
        <v>97.823216051961381</v>
      </c>
      <c r="Q673">
        <f t="shared" ca="1" si="604"/>
        <v>105.73372291231901</v>
      </c>
      <c r="R673">
        <f t="shared" ca="1" si="605"/>
        <v>0</v>
      </c>
      <c r="S673">
        <f t="shared" ca="1" si="606"/>
        <v>0</v>
      </c>
    </row>
    <row r="674" spans="5:19" x14ac:dyDescent="0.75">
      <c r="E674">
        <v>669</v>
      </c>
      <c r="F674">
        <f t="shared" si="602"/>
        <v>100</v>
      </c>
      <c r="G674">
        <f t="shared" ca="1" si="603"/>
        <v>105.58639959313838</v>
      </c>
      <c r="H674">
        <f t="shared" ca="1" si="603"/>
        <v>102.35151328918832</v>
      </c>
      <c r="I674">
        <f t="shared" ca="1" si="603"/>
        <v>109.47667554003381</v>
      </c>
      <c r="J674">
        <f t="shared" ref="J674:P674" ca="1" si="625">I674*EXP(($C$6-0.5*$C$7^2)*$C$12+$C$7*SQRT($C$12)*NORMINV(RAND(),0,1))</f>
        <v>110.19953176356947</v>
      </c>
      <c r="K674">
        <f t="shared" ca="1" si="625"/>
        <v>108.49258624484398</v>
      </c>
      <c r="L674">
        <f t="shared" ca="1" si="625"/>
        <v>105.36887679757497</v>
      </c>
      <c r="M674">
        <f t="shared" ca="1" si="625"/>
        <v>96.545298973850976</v>
      </c>
      <c r="N674">
        <f t="shared" ca="1" si="625"/>
        <v>90.77475978304831</v>
      </c>
      <c r="O674">
        <f t="shared" ca="1" si="625"/>
        <v>97.005676237291496</v>
      </c>
      <c r="P674">
        <f t="shared" ca="1" si="625"/>
        <v>89.901005974561158</v>
      </c>
      <c r="Q674">
        <f t="shared" ca="1" si="604"/>
        <v>110.19953176356947</v>
      </c>
      <c r="R674">
        <f t="shared" ca="1" si="605"/>
        <v>0</v>
      </c>
      <c r="S674">
        <f t="shared" ca="1" si="606"/>
        <v>0</v>
      </c>
    </row>
    <row r="675" spans="5:19" x14ac:dyDescent="0.75">
      <c r="E675">
        <v>670</v>
      </c>
      <c r="F675">
        <f t="shared" si="602"/>
        <v>100</v>
      </c>
      <c r="G675">
        <f t="shared" ca="1" si="603"/>
        <v>95.551294829040998</v>
      </c>
      <c r="H675">
        <f t="shared" ca="1" si="603"/>
        <v>92.106442533021522</v>
      </c>
      <c r="I675">
        <f t="shared" ca="1" si="603"/>
        <v>85.927305369867781</v>
      </c>
      <c r="J675">
        <f t="shared" ref="J675:P675" ca="1" si="626">I675*EXP(($C$6-0.5*$C$7^2)*$C$12+$C$7*SQRT($C$12)*NORMINV(RAND(),0,1))</f>
        <v>76.495707385184588</v>
      </c>
      <c r="K675">
        <f t="shared" ca="1" si="626"/>
        <v>79.419271957396688</v>
      </c>
      <c r="L675">
        <f t="shared" ca="1" si="626"/>
        <v>83.645845420152042</v>
      </c>
      <c r="M675">
        <f t="shared" ca="1" si="626"/>
        <v>84.267943170035736</v>
      </c>
      <c r="N675">
        <f t="shared" ca="1" si="626"/>
        <v>86.05908880829503</v>
      </c>
      <c r="O675">
        <f t="shared" ca="1" si="626"/>
        <v>80.453144275466755</v>
      </c>
      <c r="P675">
        <f t="shared" ca="1" si="626"/>
        <v>80.001181988569883</v>
      </c>
      <c r="Q675">
        <f t="shared" ca="1" si="604"/>
        <v>95.551294829040998</v>
      </c>
      <c r="R675">
        <f t="shared" ca="1" si="605"/>
        <v>0</v>
      </c>
      <c r="S675">
        <f t="shared" ca="1" si="606"/>
        <v>0</v>
      </c>
    </row>
    <row r="676" spans="5:19" x14ac:dyDescent="0.75">
      <c r="E676">
        <v>671</v>
      </c>
      <c r="F676">
        <f t="shared" si="602"/>
        <v>100</v>
      </c>
      <c r="G676">
        <f t="shared" ca="1" si="603"/>
        <v>101.13588302532214</v>
      </c>
      <c r="H676">
        <f t="shared" ca="1" si="603"/>
        <v>98.357852608428544</v>
      </c>
      <c r="I676">
        <f t="shared" ca="1" si="603"/>
        <v>110.69005622729006</v>
      </c>
      <c r="J676">
        <f t="shared" ref="J676:P676" ca="1" si="627">I676*EXP(($C$6-0.5*$C$7^2)*$C$12+$C$7*SQRT($C$12)*NORMINV(RAND(),0,1))</f>
        <v>101.37136138781634</v>
      </c>
      <c r="K676">
        <f t="shared" ca="1" si="627"/>
        <v>99.928830007778743</v>
      </c>
      <c r="L676">
        <f t="shared" ca="1" si="627"/>
        <v>93.312064209631728</v>
      </c>
      <c r="M676">
        <f t="shared" ca="1" si="627"/>
        <v>96.309130238524986</v>
      </c>
      <c r="N676">
        <f t="shared" ca="1" si="627"/>
        <v>94.832035313259382</v>
      </c>
      <c r="O676">
        <f t="shared" ca="1" si="627"/>
        <v>103.03727385669481</v>
      </c>
      <c r="P676">
        <f t="shared" ca="1" si="627"/>
        <v>107.60166558530157</v>
      </c>
      <c r="Q676">
        <f t="shared" ca="1" si="604"/>
        <v>110.69005622729006</v>
      </c>
      <c r="R676">
        <f t="shared" ca="1" si="605"/>
        <v>0</v>
      </c>
      <c r="S676">
        <f t="shared" ca="1" si="606"/>
        <v>0</v>
      </c>
    </row>
    <row r="677" spans="5:19" x14ac:dyDescent="0.75">
      <c r="E677">
        <v>672</v>
      </c>
      <c r="F677">
        <f t="shared" si="602"/>
        <v>100</v>
      </c>
      <c r="G677">
        <f t="shared" ca="1" si="603"/>
        <v>97.757890226039635</v>
      </c>
      <c r="H677">
        <f t="shared" ca="1" si="603"/>
        <v>93.420688974135203</v>
      </c>
      <c r="I677">
        <f t="shared" ca="1" si="603"/>
        <v>94.86831437685683</v>
      </c>
      <c r="J677">
        <f t="shared" ref="J677:P677" ca="1" si="628">I677*EXP(($C$6-0.5*$C$7^2)*$C$12+$C$7*SQRT($C$12)*NORMINV(RAND(),0,1))</f>
        <v>98.48988546239741</v>
      </c>
      <c r="K677">
        <f t="shared" ca="1" si="628"/>
        <v>105.41710176508275</v>
      </c>
      <c r="L677">
        <f t="shared" ca="1" si="628"/>
        <v>97.24344061285754</v>
      </c>
      <c r="M677">
        <f t="shared" ca="1" si="628"/>
        <v>92.662682926899748</v>
      </c>
      <c r="N677">
        <f t="shared" ca="1" si="628"/>
        <v>94.065710574732108</v>
      </c>
      <c r="O677">
        <f t="shared" ca="1" si="628"/>
        <v>89.108686743852743</v>
      </c>
      <c r="P677">
        <f t="shared" ca="1" si="628"/>
        <v>89.578001296656865</v>
      </c>
      <c r="Q677">
        <f t="shared" ca="1" si="604"/>
        <v>105.41710176508275</v>
      </c>
      <c r="R677">
        <f t="shared" ca="1" si="605"/>
        <v>0</v>
      </c>
      <c r="S677">
        <f t="shared" ca="1" si="606"/>
        <v>0</v>
      </c>
    </row>
    <row r="678" spans="5:19" x14ac:dyDescent="0.75">
      <c r="E678">
        <v>673</v>
      </c>
      <c r="F678">
        <f t="shared" si="602"/>
        <v>100</v>
      </c>
      <c r="G678">
        <f t="shared" ca="1" si="603"/>
        <v>96.176878233714092</v>
      </c>
      <c r="H678">
        <f t="shared" ca="1" si="603"/>
        <v>102.29118100403176</v>
      </c>
      <c r="I678">
        <f t="shared" ca="1" si="603"/>
        <v>101.2398835750671</v>
      </c>
      <c r="J678">
        <f t="shared" ref="J678:P678" ca="1" si="629">I678*EXP(($C$6-0.5*$C$7^2)*$C$12+$C$7*SQRT($C$12)*NORMINV(RAND(),0,1))</f>
        <v>99.114448018587396</v>
      </c>
      <c r="K678">
        <f t="shared" ca="1" si="629"/>
        <v>101.51455964419672</v>
      </c>
      <c r="L678">
        <f t="shared" ca="1" si="629"/>
        <v>94.803720166021492</v>
      </c>
      <c r="M678">
        <f t="shared" ca="1" si="629"/>
        <v>100.09505119236803</v>
      </c>
      <c r="N678">
        <f t="shared" ca="1" si="629"/>
        <v>102.10347050677234</v>
      </c>
      <c r="O678">
        <f t="shared" ca="1" si="629"/>
        <v>101.52843298508996</v>
      </c>
      <c r="P678">
        <f t="shared" ca="1" si="629"/>
        <v>98.238108470249955</v>
      </c>
      <c r="Q678">
        <f t="shared" ca="1" si="604"/>
        <v>102.29118100403176</v>
      </c>
      <c r="R678">
        <f t="shared" ca="1" si="605"/>
        <v>0</v>
      </c>
      <c r="S678">
        <f t="shared" ca="1" si="606"/>
        <v>0</v>
      </c>
    </row>
    <row r="679" spans="5:19" x14ac:dyDescent="0.75">
      <c r="E679">
        <v>674</v>
      </c>
      <c r="F679">
        <f t="shared" si="602"/>
        <v>100</v>
      </c>
      <c r="G679">
        <f t="shared" ca="1" si="603"/>
        <v>106.53992363050439</v>
      </c>
      <c r="H679">
        <f t="shared" ca="1" si="603"/>
        <v>108.28082646025506</v>
      </c>
      <c r="I679">
        <f t="shared" ca="1" si="603"/>
        <v>108.71970826727846</v>
      </c>
      <c r="J679">
        <f t="shared" ref="J679:P679" ca="1" si="630">I679*EXP(($C$6-0.5*$C$7^2)*$C$12+$C$7*SQRT($C$12)*NORMINV(RAND(),0,1))</f>
        <v>104.95072381505349</v>
      </c>
      <c r="K679">
        <f t="shared" ca="1" si="630"/>
        <v>99.222995087850535</v>
      </c>
      <c r="L679">
        <f t="shared" ca="1" si="630"/>
        <v>103.85104201250671</v>
      </c>
      <c r="M679">
        <f t="shared" ca="1" si="630"/>
        <v>115.23420802373963</v>
      </c>
      <c r="N679">
        <f t="shared" ca="1" si="630"/>
        <v>112.56060361912992</v>
      </c>
      <c r="O679">
        <f t="shared" ca="1" si="630"/>
        <v>116.17477628847145</v>
      </c>
      <c r="P679">
        <f t="shared" ca="1" si="630"/>
        <v>120.59166065794825</v>
      </c>
      <c r="Q679">
        <f t="shared" ca="1" si="604"/>
        <v>120.59166065794825</v>
      </c>
      <c r="R679">
        <f t="shared" ca="1" si="605"/>
        <v>0</v>
      </c>
      <c r="S679">
        <f t="shared" ca="1" si="606"/>
        <v>0</v>
      </c>
    </row>
    <row r="680" spans="5:19" x14ac:dyDescent="0.75">
      <c r="E680">
        <v>675</v>
      </c>
      <c r="F680">
        <f t="shared" si="602"/>
        <v>100</v>
      </c>
      <c r="G680">
        <f t="shared" ca="1" si="603"/>
        <v>106.27150893410138</v>
      </c>
      <c r="H680">
        <f t="shared" ca="1" si="603"/>
        <v>113.63601507195956</v>
      </c>
      <c r="I680">
        <f t="shared" ca="1" si="603"/>
        <v>111.50533265183986</v>
      </c>
      <c r="J680">
        <f t="shared" ref="J680:P680" ca="1" si="631">I680*EXP(($C$6-0.5*$C$7^2)*$C$12+$C$7*SQRT($C$12)*NORMINV(RAND(),0,1))</f>
        <v>115.57859684059646</v>
      </c>
      <c r="K680">
        <f t="shared" ca="1" si="631"/>
        <v>121.03256015138444</v>
      </c>
      <c r="L680">
        <f t="shared" ca="1" si="631"/>
        <v>110.95740000317085</v>
      </c>
      <c r="M680">
        <f t="shared" ca="1" si="631"/>
        <v>107.02888863616154</v>
      </c>
      <c r="N680">
        <f t="shared" ca="1" si="631"/>
        <v>103.74284532040051</v>
      </c>
      <c r="O680">
        <f t="shared" ca="1" si="631"/>
        <v>105.50274370135135</v>
      </c>
      <c r="P680">
        <f t="shared" ca="1" si="631"/>
        <v>101.57353291612573</v>
      </c>
      <c r="Q680">
        <f t="shared" ca="1" si="604"/>
        <v>121.03256015138444</v>
      </c>
      <c r="R680">
        <f t="shared" ca="1" si="605"/>
        <v>0</v>
      </c>
      <c r="S680">
        <f t="shared" ca="1" si="606"/>
        <v>0</v>
      </c>
    </row>
    <row r="681" spans="5:19" x14ac:dyDescent="0.75">
      <c r="E681">
        <v>676</v>
      </c>
      <c r="F681">
        <f t="shared" si="602"/>
        <v>100</v>
      </c>
      <c r="G681">
        <f t="shared" ca="1" si="603"/>
        <v>96.244760188813387</v>
      </c>
      <c r="H681">
        <f t="shared" ca="1" si="603"/>
        <v>99.070483156660842</v>
      </c>
      <c r="I681">
        <f t="shared" ca="1" si="603"/>
        <v>98.485412043216215</v>
      </c>
      <c r="J681">
        <f t="shared" ref="J681:P681" ca="1" si="632">I681*EXP(($C$6-0.5*$C$7^2)*$C$12+$C$7*SQRT($C$12)*NORMINV(RAND(),0,1))</f>
        <v>93.395648409548187</v>
      </c>
      <c r="K681">
        <f t="shared" ca="1" si="632"/>
        <v>85.661984893795989</v>
      </c>
      <c r="L681">
        <f t="shared" ca="1" si="632"/>
        <v>88.570570502905511</v>
      </c>
      <c r="M681">
        <f t="shared" ca="1" si="632"/>
        <v>84.566146137485902</v>
      </c>
      <c r="N681">
        <f t="shared" ca="1" si="632"/>
        <v>89.228231352750456</v>
      </c>
      <c r="O681">
        <f t="shared" ca="1" si="632"/>
        <v>91.34768325790786</v>
      </c>
      <c r="P681">
        <f t="shared" ca="1" si="632"/>
        <v>87.469718763134566</v>
      </c>
      <c r="Q681">
        <f t="shared" ca="1" si="604"/>
        <v>99.070483156660842</v>
      </c>
      <c r="R681">
        <f t="shared" ca="1" si="605"/>
        <v>0</v>
      </c>
      <c r="S681">
        <f t="shared" ca="1" si="606"/>
        <v>0</v>
      </c>
    </row>
    <row r="682" spans="5:19" x14ac:dyDescent="0.75">
      <c r="E682">
        <v>677</v>
      </c>
      <c r="F682">
        <f t="shared" si="602"/>
        <v>100</v>
      </c>
      <c r="G682">
        <f t="shared" ca="1" si="603"/>
        <v>105.64868336842591</v>
      </c>
      <c r="H682">
        <f t="shared" ca="1" si="603"/>
        <v>108.13539435966115</v>
      </c>
      <c r="I682">
        <f t="shared" ca="1" si="603"/>
        <v>106.34433886556018</v>
      </c>
      <c r="J682">
        <f t="shared" ref="J682:P682" ca="1" si="633">I682*EXP(($C$6-0.5*$C$7^2)*$C$12+$C$7*SQRT($C$12)*NORMINV(RAND(),0,1))</f>
        <v>103.66808857665447</v>
      </c>
      <c r="K682">
        <f t="shared" ca="1" si="633"/>
        <v>97.226127369858403</v>
      </c>
      <c r="L682">
        <f t="shared" ca="1" si="633"/>
        <v>103.2003982242647</v>
      </c>
      <c r="M682">
        <f t="shared" ca="1" si="633"/>
        <v>106.44970675152553</v>
      </c>
      <c r="N682">
        <f t="shared" ca="1" si="633"/>
        <v>109.94158563531782</v>
      </c>
      <c r="O682">
        <f t="shared" ca="1" si="633"/>
        <v>113.52152312355274</v>
      </c>
      <c r="P682">
        <f t="shared" ca="1" si="633"/>
        <v>110.03986700714715</v>
      </c>
      <c r="Q682">
        <f t="shared" ca="1" si="604"/>
        <v>113.52152312355274</v>
      </c>
      <c r="R682">
        <f t="shared" ca="1" si="605"/>
        <v>0</v>
      </c>
      <c r="S682">
        <f t="shared" ca="1" si="606"/>
        <v>0</v>
      </c>
    </row>
    <row r="683" spans="5:19" x14ac:dyDescent="0.75">
      <c r="E683">
        <v>678</v>
      </c>
      <c r="F683">
        <f t="shared" si="602"/>
        <v>100</v>
      </c>
      <c r="G683">
        <f t="shared" ca="1" si="603"/>
        <v>102.63475692938002</v>
      </c>
      <c r="H683">
        <f t="shared" ca="1" si="603"/>
        <v>97.753666106320665</v>
      </c>
      <c r="I683">
        <f t="shared" ca="1" si="603"/>
        <v>98.292183016436923</v>
      </c>
      <c r="J683">
        <f t="shared" ref="J683:P683" ca="1" si="634">I683*EXP(($C$6-0.5*$C$7^2)*$C$12+$C$7*SQRT($C$12)*NORMINV(RAND(),0,1))</f>
        <v>99.340683416304074</v>
      </c>
      <c r="K683">
        <f t="shared" ca="1" si="634"/>
        <v>104.12004142084473</v>
      </c>
      <c r="L683">
        <f t="shared" ca="1" si="634"/>
        <v>98.631772846405454</v>
      </c>
      <c r="M683">
        <f t="shared" ca="1" si="634"/>
        <v>104.66032440648155</v>
      </c>
      <c r="N683">
        <f t="shared" ca="1" si="634"/>
        <v>98.301159345984118</v>
      </c>
      <c r="O683">
        <f t="shared" ca="1" si="634"/>
        <v>90.874700496767346</v>
      </c>
      <c r="P683">
        <f t="shared" ca="1" si="634"/>
        <v>94.2522058463896</v>
      </c>
      <c r="Q683">
        <f t="shared" ca="1" si="604"/>
        <v>104.66032440648155</v>
      </c>
      <c r="R683">
        <f t="shared" ca="1" si="605"/>
        <v>0</v>
      </c>
      <c r="S683">
        <f t="shared" ca="1" si="606"/>
        <v>0</v>
      </c>
    </row>
    <row r="684" spans="5:19" x14ac:dyDescent="0.75">
      <c r="E684">
        <v>679</v>
      </c>
      <c r="F684">
        <f t="shared" si="602"/>
        <v>100</v>
      </c>
      <c r="G684">
        <f t="shared" ca="1" si="603"/>
        <v>96.314608038399527</v>
      </c>
      <c r="H684">
        <f t="shared" ca="1" si="603"/>
        <v>97.849028714150734</v>
      </c>
      <c r="I684">
        <f t="shared" ca="1" si="603"/>
        <v>97.368388902510205</v>
      </c>
      <c r="J684">
        <f t="shared" ref="J684:P684" ca="1" si="635">I684*EXP(($C$6-0.5*$C$7^2)*$C$12+$C$7*SQRT($C$12)*NORMINV(RAND(),0,1))</f>
        <v>96.464204129085147</v>
      </c>
      <c r="K684">
        <f t="shared" ca="1" si="635"/>
        <v>98.06724418857128</v>
      </c>
      <c r="L684">
        <f t="shared" ca="1" si="635"/>
        <v>104.42115544023642</v>
      </c>
      <c r="M684">
        <f t="shared" ca="1" si="635"/>
        <v>106.22398491673317</v>
      </c>
      <c r="N684">
        <f t="shared" ca="1" si="635"/>
        <v>103.02612978975641</v>
      </c>
      <c r="O684">
        <f t="shared" ca="1" si="635"/>
        <v>102.75101200009379</v>
      </c>
      <c r="P684">
        <f t="shared" ca="1" si="635"/>
        <v>104.56190757472632</v>
      </c>
      <c r="Q684">
        <f t="shared" ca="1" si="604"/>
        <v>106.22398491673317</v>
      </c>
      <c r="R684">
        <f t="shared" ca="1" si="605"/>
        <v>2.5619075747263196</v>
      </c>
      <c r="S684">
        <f t="shared" ca="1" si="606"/>
        <v>2.4986538513310457</v>
      </c>
    </row>
    <row r="685" spans="5:19" x14ac:dyDescent="0.75">
      <c r="E685">
        <v>680</v>
      </c>
      <c r="F685">
        <f t="shared" si="602"/>
        <v>100</v>
      </c>
      <c r="G685">
        <f t="shared" ca="1" si="603"/>
        <v>98.751429343013498</v>
      </c>
      <c r="H685">
        <f t="shared" ca="1" si="603"/>
        <v>93.53909069221244</v>
      </c>
      <c r="I685">
        <f t="shared" ca="1" si="603"/>
        <v>95.120938254574625</v>
      </c>
      <c r="J685">
        <f t="shared" ref="J685:P685" ca="1" si="636">I685*EXP(($C$6-0.5*$C$7^2)*$C$12+$C$7*SQRT($C$12)*NORMINV(RAND(),0,1))</f>
        <v>92.460861777555664</v>
      </c>
      <c r="K685">
        <f t="shared" ca="1" si="636"/>
        <v>85.76010924825394</v>
      </c>
      <c r="L685">
        <f t="shared" ca="1" si="636"/>
        <v>86.236360750848931</v>
      </c>
      <c r="M685">
        <f t="shared" ca="1" si="636"/>
        <v>87.230051271826085</v>
      </c>
      <c r="N685">
        <f t="shared" ca="1" si="636"/>
        <v>82.894848201781699</v>
      </c>
      <c r="O685">
        <f t="shared" ca="1" si="636"/>
        <v>87.273062876578223</v>
      </c>
      <c r="P685">
        <f t="shared" ca="1" si="636"/>
        <v>90.536872184202394</v>
      </c>
      <c r="Q685">
        <f t="shared" ca="1" si="604"/>
        <v>98.751429343013498</v>
      </c>
      <c r="R685">
        <f t="shared" ca="1" si="605"/>
        <v>0</v>
      </c>
      <c r="S685">
        <f t="shared" ca="1" si="606"/>
        <v>0</v>
      </c>
    </row>
    <row r="686" spans="5:19" x14ac:dyDescent="0.75">
      <c r="E686">
        <v>681</v>
      </c>
      <c r="F686">
        <f t="shared" si="602"/>
        <v>100</v>
      </c>
      <c r="G686">
        <f t="shared" ca="1" si="603"/>
        <v>99.821511476575623</v>
      </c>
      <c r="H686">
        <f t="shared" ca="1" si="603"/>
        <v>99.297808094387605</v>
      </c>
      <c r="I686">
        <f t="shared" ca="1" si="603"/>
        <v>101.53325460668017</v>
      </c>
      <c r="J686">
        <f t="shared" ref="J686:P686" ca="1" si="637">I686*EXP(($C$6-0.5*$C$7^2)*$C$12+$C$7*SQRT($C$12)*NORMINV(RAND(),0,1))</f>
        <v>105.51485693956448</v>
      </c>
      <c r="K686">
        <f t="shared" ca="1" si="637"/>
        <v>113.04148264023668</v>
      </c>
      <c r="L686">
        <f t="shared" ca="1" si="637"/>
        <v>112.04089160109714</v>
      </c>
      <c r="M686">
        <f t="shared" ca="1" si="637"/>
        <v>104.48165429675491</v>
      </c>
      <c r="N686">
        <f t="shared" ca="1" si="637"/>
        <v>108.19508790263214</v>
      </c>
      <c r="O686">
        <f t="shared" ca="1" si="637"/>
        <v>106.12073369439459</v>
      </c>
      <c r="P686">
        <f t="shared" ca="1" si="637"/>
        <v>102.77080647121508</v>
      </c>
      <c r="Q686">
        <f t="shared" ca="1" si="604"/>
        <v>113.04148264023668</v>
      </c>
      <c r="R686">
        <f t="shared" ca="1" si="605"/>
        <v>0</v>
      </c>
      <c r="S686">
        <f t="shared" ca="1" si="606"/>
        <v>0</v>
      </c>
    </row>
    <row r="687" spans="5:19" x14ac:dyDescent="0.75">
      <c r="E687">
        <v>682</v>
      </c>
      <c r="F687">
        <f t="shared" si="602"/>
        <v>100</v>
      </c>
      <c r="G687">
        <f t="shared" ca="1" si="603"/>
        <v>95.659689551919172</v>
      </c>
      <c r="H687">
        <f t="shared" ca="1" si="603"/>
        <v>86.914504963643594</v>
      </c>
      <c r="I687">
        <f t="shared" ca="1" si="603"/>
        <v>85.298088263511048</v>
      </c>
      <c r="J687">
        <f t="shared" ref="J687:P687" ca="1" si="638">I687*EXP(($C$6-0.5*$C$7^2)*$C$12+$C$7*SQRT($C$12)*NORMINV(RAND(),0,1))</f>
        <v>84.757232417139136</v>
      </c>
      <c r="K687">
        <f t="shared" ca="1" si="638"/>
        <v>90.453826680918255</v>
      </c>
      <c r="L687">
        <f t="shared" ca="1" si="638"/>
        <v>88.202329850768791</v>
      </c>
      <c r="M687">
        <f t="shared" ca="1" si="638"/>
        <v>84.408516213881953</v>
      </c>
      <c r="N687">
        <f t="shared" ca="1" si="638"/>
        <v>92.457218700319046</v>
      </c>
      <c r="O687">
        <f t="shared" ca="1" si="638"/>
        <v>89.422741653378623</v>
      </c>
      <c r="P687">
        <f t="shared" ca="1" si="638"/>
        <v>92.504592555180452</v>
      </c>
      <c r="Q687">
        <f t="shared" ca="1" si="604"/>
        <v>95.659689551919172</v>
      </c>
      <c r="R687">
        <f t="shared" ca="1" si="605"/>
        <v>0</v>
      </c>
      <c r="S687">
        <f t="shared" ca="1" si="606"/>
        <v>0</v>
      </c>
    </row>
    <row r="688" spans="5:19" x14ac:dyDescent="0.75">
      <c r="E688">
        <v>683</v>
      </c>
      <c r="F688">
        <f t="shared" si="602"/>
        <v>100</v>
      </c>
      <c r="G688">
        <f t="shared" ca="1" si="603"/>
        <v>105.75217514702271</v>
      </c>
      <c r="H688">
        <f t="shared" ca="1" si="603"/>
        <v>106.95525287565721</v>
      </c>
      <c r="I688">
        <f t="shared" ca="1" si="603"/>
        <v>114.07701749848339</v>
      </c>
      <c r="J688">
        <f t="shared" ref="J688:P688" ca="1" si="639">I688*EXP(($C$6-0.5*$C$7^2)*$C$12+$C$7*SQRT($C$12)*NORMINV(RAND(),0,1))</f>
        <v>114.57139559909776</v>
      </c>
      <c r="K688">
        <f t="shared" ca="1" si="639"/>
        <v>112.35727519536005</v>
      </c>
      <c r="L688">
        <f t="shared" ca="1" si="639"/>
        <v>105.90294928655373</v>
      </c>
      <c r="M688">
        <f t="shared" ca="1" si="639"/>
        <v>101.24795233905411</v>
      </c>
      <c r="N688">
        <f t="shared" ca="1" si="639"/>
        <v>99.139433701162062</v>
      </c>
      <c r="O688">
        <f t="shared" ca="1" si="639"/>
        <v>99.201696738876038</v>
      </c>
      <c r="P688">
        <f t="shared" ca="1" si="639"/>
        <v>100.01606410496969</v>
      </c>
      <c r="Q688">
        <f t="shared" ca="1" si="604"/>
        <v>114.57139559909776</v>
      </c>
      <c r="R688">
        <f t="shared" ca="1" si="605"/>
        <v>0</v>
      </c>
      <c r="S688">
        <f t="shared" ca="1" si="606"/>
        <v>0</v>
      </c>
    </row>
    <row r="689" spans="5:19" x14ac:dyDescent="0.75">
      <c r="E689">
        <v>684</v>
      </c>
      <c r="F689">
        <f t="shared" si="602"/>
        <v>100</v>
      </c>
      <c r="G689">
        <f t="shared" ca="1" si="603"/>
        <v>104.9744210648049</v>
      </c>
      <c r="H689">
        <f t="shared" ca="1" si="603"/>
        <v>109.37742213685128</v>
      </c>
      <c r="I689">
        <f t="shared" ca="1" si="603"/>
        <v>102.70074660026441</v>
      </c>
      <c r="J689">
        <f t="shared" ref="J689:P689" ca="1" si="640">I689*EXP(($C$6-0.5*$C$7^2)*$C$12+$C$7*SQRT($C$12)*NORMINV(RAND(),0,1))</f>
        <v>101.51476476822667</v>
      </c>
      <c r="K689">
        <f t="shared" ca="1" si="640"/>
        <v>100.751479859837</v>
      </c>
      <c r="L689">
        <f t="shared" ca="1" si="640"/>
        <v>102.59263119869775</v>
      </c>
      <c r="M689">
        <f t="shared" ca="1" si="640"/>
        <v>94.290036510378059</v>
      </c>
      <c r="N689">
        <f t="shared" ca="1" si="640"/>
        <v>97.438916700276764</v>
      </c>
      <c r="O689">
        <f t="shared" ca="1" si="640"/>
        <v>96.896751700942374</v>
      </c>
      <c r="P689">
        <f t="shared" ca="1" si="640"/>
        <v>98.705286368776825</v>
      </c>
      <c r="Q689">
        <f t="shared" ca="1" si="604"/>
        <v>109.37742213685128</v>
      </c>
      <c r="R689">
        <f t="shared" ca="1" si="605"/>
        <v>0</v>
      </c>
      <c r="S689">
        <f t="shared" ca="1" si="606"/>
        <v>0</v>
      </c>
    </row>
    <row r="690" spans="5:19" x14ac:dyDescent="0.75">
      <c r="E690">
        <v>685</v>
      </c>
      <c r="F690">
        <f t="shared" si="602"/>
        <v>100</v>
      </c>
      <c r="G690">
        <f t="shared" ca="1" si="603"/>
        <v>102.80569085627617</v>
      </c>
      <c r="H690">
        <f t="shared" ca="1" si="603"/>
        <v>102.2774038241748</v>
      </c>
      <c r="I690">
        <f t="shared" ca="1" si="603"/>
        <v>113.13639001316841</v>
      </c>
      <c r="J690">
        <f t="shared" ref="J690:P690" ca="1" si="641">I690*EXP(($C$6-0.5*$C$7^2)*$C$12+$C$7*SQRT($C$12)*NORMINV(RAND(),0,1))</f>
        <v>109.71732932323184</v>
      </c>
      <c r="K690">
        <f t="shared" ca="1" si="641"/>
        <v>107.38405840964518</v>
      </c>
      <c r="L690">
        <f t="shared" ca="1" si="641"/>
        <v>109.8888023787904</v>
      </c>
      <c r="M690">
        <f t="shared" ca="1" si="641"/>
        <v>109.64470376095844</v>
      </c>
      <c r="N690">
        <f t="shared" ca="1" si="641"/>
        <v>101.36538708377785</v>
      </c>
      <c r="O690">
        <f t="shared" ca="1" si="641"/>
        <v>101.74249145332709</v>
      </c>
      <c r="P690">
        <f t="shared" ca="1" si="641"/>
        <v>100.50560566028015</v>
      </c>
      <c r="Q690">
        <f t="shared" ca="1" si="604"/>
        <v>113.13639001316841</v>
      </c>
      <c r="R690">
        <f t="shared" ca="1" si="605"/>
        <v>0</v>
      </c>
      <c r="S690">
        <f t="shared" ca="1" si="606"/>
        <v>0</v>
      </c>
    </row>
    <row r="691" spans="5:19" x14ac:dyDescent="0.75">
      <c r="E691">
        <v>686</v>
      </c>
      <c r="F691">
        <f t="shared" si="602"/>
        <v>100</v>
      </c>
      <c r="G691">
        <f t="shared" ca="1" si="603"/>
        <v>102.03438089397912</v>
      </c>
      <c r="H691">
        <f t="shared" ca="1" si="603"/>
        <v>101.37736984863724</v>
      </c>
      <c r="I691">
        <f t="shared" ca="1" si="603"/>
        <v>100.35011875684968</v>
      </c>
      <c r="J691">
        <f t="shared" ref="J691:P691" ca="1" si="642">I691*EXP(($C$6-0.5*$C$7^2)*$C$12+$C$7*SQRT($C$12)*NORMINV(RAND(),0,1))</f>
        <v>102.46121982898069</v>
      </c>
      <c r="K691">
        <f t="shared" ca="1" si="642"/>
        <v>108.12606831223314</v>
      </c>
      <c r="L691">
        <f t="shared" ca="1" si="642"/>
        <v>103.3861657903991</v>
      </c>
      <c r="M691">
        <f t="shared" ca="1" si="642"/>
        <v>105.06589384129782</v>
      </c>
      <c r="N691">
        <f t="shared" ca="1" si="642"/>
        <v>99.084475201409106</v>
      </c>
      <c r="O691">
        <f t="shared" ca="1" si="642"/>
        <v>102.31992066242579</v>
      </c>
      <c r="P691">
        <f t="shared" ca="1" si="642"/>
        <v>104.677439646572</v>
      </c>
      <c r="Q691">
        <f t="shared" ca="1" si="604"/>
        <v>108.12606831223314</v>
      </c>
      <c r="R691">
        <f t="shared" ca="1" si="605"/>
        <v>2.6774396465719974</v>
      </c>
      <c r="S691">
        <f t="shared" ca="1" si="606"/>
        <v>2.6113334261593049</v>
      </c>
    </row>
    <row r="692" spans="5:19" x14ac:dyDescent="0.75">
      <c r="E692">
        <v>687</v>
      </c>
      <c r="F692">
        <f t="shared" si="602"/>
        <v>100</v>
      </c>
      <c r="G692">
        <f t="shared" ca="1" si="603"/>
        <v>99.159084091583978</v>
      </c>
      <c r="H692">
        <f t="shared" ca="1" si="603"/>
        <v>93.466797335213172</v>
      </c>
      <c r="I692">
        <f t="shared" ca="1" si="603"/>
        <v>95.469466595020279</v>
      </c>
      <c r="J692">
        <f t="shared" ref="J692:P692" ca="1" si="643">I692*EXP(($C$6-0.5*$C$7^2)*$C$12+$C$7*SQRT($C$12)*NORMINV(RAND(),0,1))</f>
        <v>92.366596119010183</v>
      </c>
      <c r="K692">
        <f t="shared" ca="1" si="643"/>
        <v>93.916579335224142</v>
      </c>
      <c r="L692">
        <f t="shared" ca="1" si="643"/>
        <v>94.552990362291965</v>
      </c>
      <c r="M692">
        <f t="shared" ca="1" si="643"/>
        <v>97.609401415652144</v>
      </c>
      <c r="N692">
        <f t="shared" ca="1" si="643"/>
        <v>95.811746166469064</v>
      </c>
      <c r="O692">
        <f t="shared" ca="1" si="643"/>
        <v>89.714987887995846</v>
      </c>
      <c r="P692">
        <f t="shared" ca="1" si="643"/>
        <v>87.217420177879987</v>
      </c>
      <c r="Q692">
        <f t="shared" ca="1" si="604"/>
        <v>99.159084091583978</v>
      </c>
      <c r="R692">
        <f t="shared" ca="1" si="605"/>
        <v>0</v>
      </c>
      <c r="S692">
        <f t="shared" ca="1" si="606"/>
        <v>0</v>
      </c>
    </row>
    <row r="693" spans="5:19" x14ac:dyDescent="0.75">
      <c r="E693">
        <v>688</v>
      </c>
      <c r="F693">
        <f t="shared" si="602"/>
        <v>100</v>
      </c>
      <c r="G693">
        <f t="shared" ca="1" si="603"/>
        <v>97.319416180111858</v>
      </c>
      <c r="H693">
        <f t="shared" ca="1" si="603"/>
        <v>105.61164997278865</v>
      </c>
      <c r="I693">
        <f t="shared" ca="1" si="603"/>
        <v>118.68403000141772</v>
      </c>
      <c r="J693">
        <f t="shared" ref="J693:P693" ca="1" si="644">I693*EXP(($C$6-0.5*$C$7^2)*$C$12+$C$7*SQRT($C$12)*NORMINV(RAND(),0,1))</f>
        <v>117.46956477498838</v>
      </c>
      <c r="K693">
        <f t="shared" ca="1" si="644"/>
        <v>115.34934935494913</v>
      </c>
      <c r="L693">
        <f t="shared" ca="1" si="644"/>
        <v>113.29179464844698</v>
      </c>
      <c r="M693">
        <f t="shared" ca="1" si="644"/>
        <v>107.1182285776167</v>
      </c>
      <c r="N693">
        <f t="shared" ca="1" si="644"/>
        <v>104.0920065226383</v>
      </c>
      <c r="O693">
        <f t="shared" ca="1" si="644"/>
        <v>108.70362278063885</v>
      </c>
      <c r="P693">
        <f t="shared" ca="1" si="644"/>
        <v>111.06929283343214</v>
      </c>
      <c r="Q693">
        <f t="shared" ca="1" si="604"/>
        <v>118.68403000141772</v>
      </c>
      <c r="R693">
        <f t="shared" ca="1" si="605"/>
        <v>0</v>
      </c>
      <c r="S693">
        <f t="shared" ca="1" si="606"/>
        <v>0</v>
      </c>
    </row>
    <row r="694" spans="5:19" x14ac:dyDescent="0.75">
      <c r="E694">
        <v>689</v>
      </c>
      <c r="F694">
        <f t="shared" si="602"/>
        <v>100</v>
      </c>
      <c r="G694">
        <f t="shared" ca="1" si="603"/>
        <v>98.267526197302402</v>
      </c>
      <c r="H694">
        <f t="shared" ca="1" si="603"/>
        <v>100.78549953770479</v>
      </c>
      <c r="I694">
        <f t="shared" ca="1" si="603"/>
        <v>102.67092816059898</v>
      </c>
      <c r="J694">
        <f t="shared" ref="J694:P694" ca="1" si="645">I694*EXP(($C$6-0.5*$C$7^2)*$C$12+$C$7*SQRT($C$12)*NORMINV(RAND(),0,1))</f>
        <v>99.934555048429928</v>
      </c>
      <c r="K694">
        <f t="shared" ca="1" si="645"/>
        <v>114.93641751148594</v>
      </c>
      <c r="L694">
        <f t="shared" ca="1" si="645"/>
        <v>112.59870033902102</v>
      </c>
      <c r="M694">
        <f t="shared" ca="1" si="645"/>
        <v>114.99309905398205</v>
      </c>
      <c r="N694">
        <f t="shared" ca="1" si="645"/>
        <v>116.92393340580895</v>
      </c>
      <c r="O694">
        <f t="shared" ca="1" si="645"/>
        <v>118.8955905730338</v>
      </c>
      <c r="P694">
        <f t="shared" ca="1" si="645"/>
        <v>124.65190154221629</v>
      </c>
      <c r="Q694">
        <f t="shared" ca="1" si="604"/>
        <v>124.65190154221629</v>
      </c>
      <c r="R694">
        <f t="shared" ca="1" si="605"/>
        <v>0</v>
      </c>
      <c r="S694">
        <f t="shared" ca="1" si="606"/>
        <v>0</v>
      </c>
    </row>
    <row r="695" spans="5:19" x14ac:dyDescent="0.75">
      <c r="E695">
        <v>690</v>
      </c>
      <c r="F695">
        <f t="shared" si="602"/>
        <v>100</v>
      </c>
      <c r="G695">
        <f t="shared" ca="1" si="603"/>
        <v>95.972683907085724</v>
      </c>
      <c r="H695">
        <f t="shared" ca="1" si="603"/>
        <v>90.397245795938744</v>
      </c>
      <c r="I695">
        <f t="shared" ca="1" si="603"/>
        <v>91.47644052675733</v>
      </c>
      <c r="J695">
        <f t="shared" ref="J695:P695" ca="1" si="646">I695*EXP(($C$6-0.5*$C$7^2)*$C$12+$C$7*SQRT($C$12)*NORMINV(RAND(),0,1))</f>
        <v>89.832368702801347</v>
      </c>
      <c r="K695">
        <f t="shared" ca="1" si="646"/>
        <v>90.99514272071967</v>
      </c>
      <c r="L695">
        <f t="shared" ca="1" si="646"/>
        <v>89.249157323132422</v>
      </c>
      <c r="M695">
        <f t="shared" ca="1" si="646"/>
        <v>88.651893615669408</v>
      </c>
      <c r="N695">
        <f t="shared" ca="1" si="646"/>
        <v>86.441562401769403</v>
      </c>
      <c r="O695">
        <f t="shared" ca="1" si="646"/>
        <v>91.753959349566671</v>
      </c>
      <c r="P695">
        <f t="shared" ca="1" si="646"/>
        <v>89.904983909797082</v>
      </c>
      <c r="Q695">
        <f t="shared" ca="1" si="604"/>
        <v>95.972683907085724</v>
      </c>
      <c r="R695">
        <f t="shared" ca="1" si="605"/>
        <v>0</v>
      </c>
      <c r="S695">
        <f t="shared" ca="1" si="606"/>
        <v>0</v>
      </c>
    </row>
    <row r="696" spans="5:19" x14ac:dyDescent="0.75">
      <c r="E696">
        <v>691</v>
      </c>
      <c r="F696">
        <f t="shared" si="602"/>
        <v>100</v>
      </c>
      <c r="G696">
        <f t="shared" ca="1" si="603"/>
        <v>99.962324565123168</v>
      </c>
      <c r="H696">
        <f t="shared" ca="1" si="603"/>
        <v>101.47492998633582</v>
      </c>
      <c r="I696">
        <f t="shared" ca="1" si="603"/>
        <v>107.94354365432788</v>
      </c>
      <c r="J696">
        <f t="shared" ref="J696:P696" ca="1" si="647">I696*EXP(($C$6-0.5*$C$7^2)*$C$12+$C$7*SQRT($C$12)*NORMINV(RAND(),0,1))</f>
        <v>105.80082500684257</v>
      </c>
      <c r="K696">
        <f t="shared" ca="1" si="647"/>
        <v>106.01688225801846</v>
      </c>
      <c r="L696">
        <f t="shared" ca="1" si="647"/>
        <v>110.90863069217728</v>
      </c>
      <c r="M696">
        <f t="shared" ca="1" si="647"/>
        <v>119.77477270419284</v>
      </c>
      <c r="N696">
        <f t="shared" ca="1" si="647"/>
        <v>127.12795832871973</v>
      </c>
      <c r="O696">
        <f t="shared" ca="1" si="647"/>
        <v>127.53903394275167</v>
      </c>
      <c r="P696">
        <f t="shared" ca="1" si="647"/>
        <v>131.25467963798238</v>
      </c>
      <c r="Q696">
        <f t="shared" ca="1" si="604"/>
        <v>131.25467963798238</v>
      </c>
      <c r="R696">
        <f t="shared" ca="1" si="605"/>
        <v>0</v>
      </c>
      <c r="S696">
        <f t="shared" ca="1" si="606"/>
        <v>0</v>
      </c>
    </row>
    <row r="697" spans="5:19" x14ac:dyDescent="0.75">
      <c r="E697">
        <v>692</v>
      </c>
      <c r="F697">
        <f t="shared" si="602"/>
        <v>100</v>
      </c>
      <c r="G697">
        <f t="shared" ca="1" si="603"/>
        <v>104.64267775373783</v>
      </c>
      <c r="H697">
        <f t="shared" ca="1" si="603"/>
        <v>106.70009256250658</v>
      </c>
      <c r="I697">
        <f t="shared" ca="1" si="603"/>
        <v>105.26160165967232</v>
      </c>
      <c r="J697">
        <f t="shared" ref="J697:P697" ca="1" si="648">I697*EXP(($C$6-0.5*$C$7^2)*$C$12+$C$7*SQRT($C$12)*NORMINV(RAND(),0,1))</f>
        <v>105.15368588997323</v>
      </c>
      <c r="K697">
        <f t="shared" ca="1" si="648"/>
        <v>101.66637517546953</v>
      </c>
      <c r="L697">
        <f t="shared" ca="1" si="648"/>
        <v>101.37090804939901</v>
      </c>
      <c r="M697">
        <f t="shared" ca="1" si="648"/>
        <v>91.298768088595892</v>
      </c>
      <c r="N697">
        <f t="shared" ca="1" si="648"/>
        <v>91.36137330923583</v>
      </c>
      <c r="O697">
        <f t="shared" ca="1" si="648"/>
        <v>98.627219818546507</v>
      </c>
      <c r="P697">
        <f t="shared" ca="1" si="648"/>
        <v>106.7860187880125</v>
      </c>
      <c r="Q697">
        <f t="shared" ca="1" si="604"/>
        <v>106.7860187880125</v>
      </c>
      <c r="R697">
        <f t="shared" ca="1" si="605"/>
        <v>4.7860187880124982</v>
      </c>
      <c r="S697">
        <f t="shared" ca="1" si="606"/>
        <v>4.6678515631024169</v>
      </c>
    </row>
    <row r="698" spans="5:19" x14ac:dyDescent="0.75">
      <c r="E698">
        <v>693</v>
      </c>
      <c r="F698">
        <f t="shared" si="602"/>
        <v>100</v>
      </c>
      <c r="G698">
        <f t="shared" ca="1" si="603"/>
        <v>104.23610617002484</v>
      </c>
      <c r="H698">
        <f t="shared" ca="1" si="603"/>
        <v>99.846324793655327</v>
      </c>
      <c r="I698">
        <f t="shared" ca="1" si="603"/>
        <v>102.80091653143938</v>
      </c>
      <c r="J698">
        <f t="shared" ref="J698:P698" ca="1" si="649">I698*EXP(($C$6-0.5*$C$7^2)*$C$12+$C$7*SQRT($C$12)*NORMINV(RAND(),0,1))</f>
        <v>112.93085426701379</v>
      </c>
      <c r="K698">
        <f t="shared" ca="1" si="649"/>
        <v>114.64239409937262</v>
      </c>
      <c r="L698">
        <f t="shared" ca="1" si="649"/>
        <v>115.5754015118244</v>
      </c>
      <c r="M698">
        <f t="shared" ca="1" si="649"/>
        <v>115.04672568107665</v>
      </c>
      <c r="N698">
        <f t="shared" ca="1" si="649"/>
        <v>128.67399403557658</v>
      </c>
      <c r="O698">
        <f t="shared" ca="1" si="649"/>
        <v>134.50037169988454</v>
      </c>
      <c r="P698">
        <f t="shared" ca="1" si="649"/>
        <v>139.00701746101873</v>
      </c>
      <c r="Q698">
        <f t="shared" ca="1" si="604"/>
        <v>139.00701746101873</v>
      </c>
      <c r="R698">
        <f t="shared" ca="1" si="605"/>
        <v>0</v>
      </c>
      <c r="S698">
        <f t="shared" ca="1" si="606"/>
        <v>0</v>
      </c>
    </row>
    <row r="699" spans="5:19" x14ac:dyDescent="0.75">
      <c r="E699">
        <v>694</v>
      </c>
      <c r="F699">
        <f t="shared" si="602"/>
        <v>100</v>
      </c>
      <c r="G699">
        <f t="shared" ca="1" si="603"/>
        <v>94.471085465578469</v>
      </c>
      <c r="H699">
        <f t="shared" ca="1" si="603"/>
        <v>93.78872866621937</v>
      </c>
      <c r="I699">
        <f t="shared" ca="1" si="603"/>
        <v>97.265911803993546</v>
      </c>
      <c r="J699">
        <f t="shared" ref="J699:P699" ca="1" si="650">I699*EXP(($C$6-0.5*$C$7^2)*$C$12+$C$7*SQRT($C$12)*NORMINV(RAND(),0,1))</f>
        <v>96.573508423376936</v>
      </c>
      <c r="K699">
        <f t="shared" ca="1" si="650"/>
        <v>94.823610426268317</v>
      </c>
      <c r="L699">
        <f t="shared" ca="1" si="650"/>
        <v>93.950308825220475</v>
      </c>
      <c r="M699">
        <f t="shared" ca="1" si="650"/>
        <v>85.936691167237612</v>
      </c>
      <c r="N699">
        <f t="shared" ca="1" si="650"/>
        <v>91.275459720570055</v>
      </c>
      <c r="O699">
        <f t="shared" ca="1" si="650"/>
        <v>85.791649939802426</v>
      </c>
      <c r="P699">
        <f t="shared" ca="1" si="650"/>
        <v>87.409552724089721</v>
      </c>
      <c r="Q699">
        <f t="shared" ca="1" si="604"/>
        <v>97.265911803993546</v>
      </c>
      <c r="R699">
        <f t="shared" ca="1" si="605"/>
        <v>0</v>
      </c>
      <c r="S699">
        <f t="shared" ca="1" si="606"/>
        <v>0</v>
      </c>
    </row>
    <row r="700" spans="5:19" x14ac:dyDescent="0.75">
      <c r="E700">
        <v>695</v>
      </c>
      <c r="F700">
        <f t="shared" si="602"/>
        <v>100</v>
      </c>
      <c r="G700">
        <f t="shared" ca="1" si="603"/>
        <v>97.476549191445841</v>
      </c>
      <c r="H700">
        <f t="shared" ca="1" si="603"/>
        <v>102.22598763954247</v>
      </c>
      <c r="I700">
        <f t="shared" ca="1" si="603"/>
        <v>98.958699005123847</v>
      </c>
      <c r="J700">
        <f t="shared" ref="J700:P700" ca="1" si="651">I700*EXP(($C$6-0.5*$C$7^2)*$C$12+$C$7*SQRT($C$12)*NORMINV(RAND(),0,1))</f>
        <v>95.399965705526554</v>
      </c>
      <c r="K700">
        <f t="shared" ca="1" si="651"/>
        <v>92.803326301052806</v>
      </c>
      <c r="L700">
        <f t="shared" ca="1" si="651"/>
        <v>96.883332392633363</v>
      </c>
      <c r="M700">
        <f t="shared" ca="1" si="651"/>
        <v>103.09441569285539</v>
      </c>
      <c r="N700">
        <f t="shared" ca="1" si="651"/>
        <v>104.5932689026953</v>
      </c>
      <c r="O700">
        <f t="shared" ca="1" si="651"/>
        <v>102.59938737495777</v>
      </c>
      <c r="P700">
        <f t="shared" ca="1" si="651"/>
        <v>100.7341406105367</v>
      </c>
      <c r="Q700">
        <f t="shared" ca="1" si="604"/>
        <v>104.5932689026953</v>
      </c>
      <c r="R700">
        <f t="shared" ca="1" si="605"/>
        <v>0</v>
      </c>
      <c r="S700">
        <f t="shared" ca="1" si="606"/>
        <v>0</v>
      </c>
    </row>
    <row r="701" spans="5:19" x14ac:dyDescent="0.75">
      <c r="E701">
        <v>696</v>
      </c>
      <c r="F701">
        <f t="shared" si="602"/>
        <v>100</v>
      </c>
      <c r="G701">
        <f t="shared" ca="1" si="603"/>
        <v>100.09178541905739</v>
      </c>
      <c r="H701">
        <f t="shared" ca="1" si="603"/>
        <v>109.67685956023865</v>
      </c>
      <c r="I701">
        <f t="shared" ca="1" si="603"/>
        <v>116.07144121544837</v>
      </c>
      <c r="J701">
        <f t="shared" ref="J701:P701" ca="1" si="652">I701*EXP(($C$6-0.5*$C$7^2)*$C$12+$C$7*SQRT($C$12)*NORMINV(RAND(),0,1))</f>
        <v>115.98880846365371</v>
      </c>
      <c r="K701">
        <f t="shared" ca="1" si="652"/>
        <v>119.21751917725432</v>
      </c>
      <c r="L701">
        <f t="shared" ca="1" si="652"/>
        <v>116.2460093353484</v>
      </c>
      <c r="M701">
        <f t="shared" ca="1" si="652"/>
        <v>109.64612088496243</v>
      </c>
      <c r="N701">
        <f t="shared" ca="1" si="652"/>
        <v>112.23389825200189</v>
      </c>
      <c r="O701">
        <f t="shared" ca="1" si="652"/>
        <v>113.03916991652753</v>
      </c>
      <c r="P701">
        <f t="shared" ca="1" si="652"/>
        <v>104.77862984615851</v>
      </c>
      <c r="Q701">
        <f t="shared" ca="1" si="604"/>
        <v>119.21751917725432</v>
      </c>
      <c r="R701">
        <f t="shared" ca="1" si="605"/>
        <v>0</v>
      </c>
      <c r="S701">
        <f t="shared" ca="1" si="606"/>
        <v>0</v>
      </c>
    </row>
    <row r="702" spans="5:19" x14ac:dyDescent="0.75">
      <c r="E702">
        <v>697</v>
      </c>
      <c r="F702">
        <f t="shared" si="602"/>
        <v>100</v>
      </c>
      <c r="G702">
        <f t="shared" ca="1" si="603"/>
        <v>104.91050722655623</v>
      </c>
      <c r="H702">
        <f t="shared" ca="1" si="603"/>
        <v>100.50108382748603</v>
      </c>
      <c r="I702">
        <f t="shared" ca="1" si="603"/>
        <v>96.891483743399249</v>
      </c>
      <c r="J702">
        <f t="shared" ref="J702:P702" ca="1" si="653">I702*EXP(($C$6-0.5*$C$7^2)*$C$12+$C$7*SQRT($C$12)*NORMINV(RAND(),0,1))</f>
        <v>92.97101118790809</v>
      </c>
      <c r="K702">
        <f t="shared" ca="1" si="653"/>
        <v>93.082201731086926</v>
      </c>
      <c r="L702">
        <f t="shared" ca="1" si="653"/>
        <v>87.804094377634598</v>
      </c>
      <c r="M702">
        <f t="shared" ca="1" si="653"/>
        <v>97.015639095483323</v>
      </c>
      <c r="N702">
        <f t="shared" ca="1" si="653"/>
        <v>92.087988623000442</v>
      </c>
      <c r="O702">
        <f t="shared" ca="1" si="653"/>
        <v>86.135270586554171</v>
      </c>
      <c r="P702">
        <f t="shared" ca="1" si="653"/>
        <v>84.027709628574911</v>
      </c>
      <c r="Q702">
        <f t="shared" ca="1" si="604"/>
        <v>104.91050722655623</v>
      </c>
      <c r="R702">
        <f t="shared" ca="1" si="605"/>
        <v>0</v>
      </c>
      <c r="S702">
        <f t="shared" ca="1" si="606"/>
        <v>0</v>
      </c>
    </row>
    <row r="703" spans="5:19" x14ac:dyDescent="0.75">
      <c r="E703">
        <v>698</v>
      </c>
      <c r="F703">
        <f t="shared" si="602"/>
        <v>100</v>
      </c>
      <c r="G703">
        <f t="shared" ca="1" si="603"/>
        <v>103.07985868595746</v>
      </c>
      <c r="H703">
        <f t="shared" ca="1" si="603"/>
        <v>96.673022865985985</v>
      </c>
      <c r="I703">
        <f t="shared" ca="1" si="603"/>
        <v>99.02948940375714</v>
      </c>
      <c r="J703">
        <f t="shared" ref="J703:P703" ca="1" si="654">I703*EXP(($C$6-0.5*$C$7^2)*$C$12+$C$7*SQRT($C$12)*NORMINV(RAND(),0,1))</f>
        <v>96.33073152207136</v>
      </c>
      <c r="K703">
        <f t="shared" ca="1" si="654"/>
        <v>94.961443102920285</v>
      </c>
      <c r="L703">
        <f t="shared" ca="1" si="654"/>
        <v>95.874907815343846</v>
      </c>
      <c r="M703">
        <f t="shared" ca="1" si="654"/>
        <v>97.465799045512782</v>
      </c>
      <c r="N703">
        <f t="shared" ca="1" si="654"/>
        <v>103.74633665558284</v>
      </c>
      <c r="O703">
        <f t="shared" ca="1" si="654"/>
        <v>99.562467739181344</v>
      </c>
      <c r="P703">
        <f t="shared" ca="1" si="654"/>
        <v>98.692802794178917</v>
      </c>
      <c r="Q703">
        <f t="shared" ca="1" si="604"/>
        <v>103.74633665558284</v>
      </c>
      <c r="R703">
        <f t="shared" ca="1" si="605"/>
        <v>0</v>
      </c>
      <c r="S703">
        <f t="shared" ca="1" si="606"/>
        <v>0</v>
      </c>
    </row>
    <row r="704" spans="5:19" x14ac:dyDescent="0.75">
      <c r="E704">
        <v>699</v>
      </c>
      <c r="F704">
        <f t="shared" si="602"/>
        <v>100</v>
      </c>
      <c r="G704">
        <f t="shared" ca="1" si="603"/>
        <v>100.83900616978158</v>
      </c>
      <c r="H704">
        <f t="shared" ca="1" si="603"/>
        <v>101.94085527083539</v>
      </c>
      <c r="I704">
        <f t="shared" ca="1" si="603"/>
        <v>107.61705913892814</v>
      </c>
      <c r="J704">
        <f t="shared" ref="J704:P704" ca="1" si="655">I704*EXP(($C$6-0.5*$C$7^2)*$C$12+$C$7*SQRT($C$12)*NORMINV(RAND(),0,1))</f>
        <v>102.82974946910552</v>
      </c>
      <c r="K704">
        <f t="shared" ca="1" si="655"/>
        <v>93.625008204203311</v>
      </c>
      <c r="L704">
        <f t="shared" ca="1" si="655"/>
        <v>98.517458414676582</v>
      </c>
      <c r="M704">
        <f t="shared" ca="1" si="655"/>
        <v>100.15521078569381</v>
      </c>
      <c r="N704">
        <f t="shared" ca="1" si="655"/>
        <v>102.45446044285413</v>
      </c>
      <c r="O704">
        <f t="shared" ca="1" si="655"/>
        <v>106.96138200610949</v>
      </c>
      <c r="P704">
        <f t="shared" ca="1" si="655"/>
        <v>106.33059420147421</v>
      </c>
      <c r="Q704">
        <f t="shared" ca="1" si="604"/>
        <v>107.61705913892814</v>
      </c>
      <c r="R704">
        <f t="shared" ca="1" si="605"/>
        <v>4.3305942014742129</v>
      </c>
      <c r="S704">
        <f t="shared" ca="1" si="606"/>
        <v>4.2236714496702223</v>
      </c>
    </row>
    <row r="705" spans="5:19" x14ac:dyDescent="0.75">
      <c r="E705">
        <v>700</v>
      </c>
      <c r="F705">
        <f t="shared" si="602"/>
        <v>100</v>
      </c>
      <c r="G705">
        <f t="shared" ca="1" si="603"/>
        <v>105.35650445521271</v>
      </c>
      <c r="H705">
        <f t="shared" ca="1" si="603"/>
        <v>108.92883523898712</v>
      </c>
      <c r="I705">
        <f t="shared" ca="1" si="603"/>
        <v>101.96347106702878</v>
      </c>
      <c r="J705">
        <f t="shared" ref="J705:P705" ca="1" si="656">I705*EXP(($C$6-0.5*$C$7^2)*$C$12+$C$7*SQRT($C$12)*NORMINV(RAND(),0,1))</f>
        <v>106.91439173319085</v>
      </c>
      <c r="K705">
        <f t="shared" ca="1" si="656"/>
        <v>108.89621785165716</v>
      </c>
      <c r="L705">
        <f t="shared" ca="1" si="656"/>
        <v>110.26960186421726</v>
      </c>
      <c r="M705">
        <f t="shared" ca="1" si="656"/>
        <v>108.14747652577886</v>
      </c>
      <c r="N705">
        <f t="shared" ca="1" si="656"/>
        <v>110.92739351454155</v>
      </c>
      <c r="O705">
        <f t="shared" ca="1" si="656"/>
        <v>116.60711214794902</v>
      </c>
      <c r="P705">
        <f t="shared" ca="1" si="656"/>
        <v>117.03126725152288</v>
      </c>
      <c r="Q705">
        <f t="shared" ca="1" si="604"/>
        <v>117.03126725152288</v>
      </c>
      <c r="R705">
        <f t="shared" ca="1" si="605"/>
        <v>0</v>
      </c>
      <c r="S705">
        <f t="shared" ca="1" si="606"/>
        <v>0</v>
      </c>
    </row>
    <row r="706" spans="5:19" x14ac:dyDescent="0.75">
      <c r="E706">
        <v>701</v>
      </c>
      <c r="F706">
        <f t="shared" si="602"/>
        <v>100</v>
      </c>
      <c r="G706">
        <f t="shared" ca="1" si="603"/>
        <v>93.567497088654932</v>
      </c>
      <c r="H706">
        <f t="shared" ca="1" si="603"/>
        <v>90.193878092578203</v>
      </c>
      <c r="I706">
        <f t="shared" ca="1" si="603"/>
        <v>87.14726993392604</v>
      </c>
      <c r="J706">
        <f t="shared" ref="J706:P706" ca="1" si="657">I706*EXP(($C$6-0.5*$C$7^2)*$C$12+$C$7*SQRT($C$12)*NORMINV(RAND(),0,1))</f>
        <v>91.838926866857108</v>
      </c>
      <c r="K706">
        <f t="shared" ca="1" si="657"/>
        <v>95.401563718174842</v>
      </c>
      <c r="L706">
        <f t="shared" ca="1" si="657"/>
        <v>94.447779594107629</v>
      </c>
      <c r="M706">
        <f t="shared" ca="1" si="657"/>
        <v>96.090872500895586</v>
      </c>
      <c r="N706">
        <f t="shared" ca="1" si="657"/>
        <v>96.601906956814602</v>
      </c>
      <c r="O706">
        <f t="shared" ca="1" si="657"/>
        <v>91.892225119021788</v>
      </c>
      <c r="P706">
        <f t="shared" ca="1" si="657"/>
        <v>95.997691734944397</v>
      </c>
      <c r="Q706">
        <f t="shared" ca="1" si="604"/>
        <v>96.601906956814602</v>
      </c>
      <c r="R706">
        <f t="shared" ca="1" si="605"/>
        <v>0</v>
      </c>
      <c r="S706">
        <f t="shared" ca="1" si="606"/>
        <v>0</v>
      </c>
    </row>
    <row r="707" spans="5:19" x14ac:dyDescent="0.75">
      <c r="E707">
        <v>702</v>
      </c>
      <c r="F707">
        <f t="shared" si="602"/>
        <v>100</v>
      </c>
      <c r="G707">
        <f t="shared" ca="1" si="603"/>
        <v>101.85361004770009</v>
      </c>
      <c r="H707">
        <f t="shared" ca="1" si="603"/>
        <v>97.792545880569662</v>
      </c>
      <c r="I707">
        <f t="shared" ca="1" si="603"/>
        <v>98.35115992965045</v>
      </c>
      <c r="J707">
        <f t="shared" ref="J707:P707" ca="1" si="658">I707*EXP(($C$6-0.5*$C$7^2)*$C$12+$C$7*SQRT($C$12)*NORMINV(RAND(),0,1))</f>
        <v>101.92547522278254</v>
      </c>
      <c r="K707">
        <f t="shared" ca="1" si="658"/>
        <v>105.61372160230361</v>
      </c>
      <c r="L707">
        <f t="shared" ca="1" si="658"/>
        <v>111.17106377397691</v>
      </c>
      <c r="M707">
        <f t="shared" ca="1" si="658"/>
        <v>113.01372711227879</v>
      </c>
      <c r="N707">
        <f t="shared" ca="1" si="658"/>
        <v>123.14306017570496</v>
      </c>
      <c r="O707">
        <f t="shared" ca="1" si="658"/>
        <v>122.75773762013114</v>
      </c>
      <c r="P707">
        <f t="shared" ca="1" si="658"/>
        <v>134.2228296107867</v>
      </c>
      <c r="Q707">
        <f t="shared" ca="1" si="604"/>
        <v>134.2228296107867</v>
      </c>
      <c r="R707">
        <f t="shared" ca="1" si="605"/>
        <v>0</v>
      </c>
      <c r="S707">
        <f t="shared" ca="1" si="606"/>
        <v>0</v>
      </c>
    </row>
    <row r="708" spans="5:19" x14ac:dyDescent="0.75">
      <c r="E708">
        <v>703</v>
      </c>
      <c r="F708">
        <f t="shared" si="602"/>
        <v>100</v>
      </c>
      <c r="G708">
        <f t="shared" ca="1" si="603"/>
        <v>93.449277213670683</v>
      </c>
      <c r="H708">
        <f t="shared" ca="1" si="603"/>
        <v>90.706954454822906</v>
      </c>
      <c r="I708">
        <f t="shared" ca="1" si="603"/>
        <v>92.812310861039279</v>
      </c>
      <c r="J708">
        <f t="shared" ref="J708:P708" ca="1" si="659">I708*EXP(($C$6-0.5*$C$7^2)*$C$12+$C$7*SQRT($C$12)*NORMINV(RAND(),0,1))</f>
        <v>94.185892286130212</v>
      </c>
      <c r="K708">
        <f t="shared" ca="1" si="659"/>
        <v>86.351303092050401</v>
      </c>
      <c r="L708">
        <f t="shared" ca="1" si="659"/>
        <v>93.860248566902641</v>
      </c>
      <c r="M708">
        <f t="shared" ca="1" si="659"/>
        <v>95.853141593989903</v>
      </c>
      <c r="N708">
        <f t="shared" ca="1" si="659"/>
        <v>108.98990471227154</v>
      </c>
      <c r="O708">
        <f t="shared" ca="1" si="659"/>
        <v>108.63199202494107</v>
      </c>
      <c r="P708">
        <f t="shared" ca="1" si="659"/>
        <v>104.06447792488143</v>
      </c>
      <c r="Q708">
        <f t="shared" ca="1" si="604"/>
        <v>108.98990471227154</v>
      </c>
      <c r="R708">
        <f t="shared" ca="1" si="605"/>
        <v>2.0644779248814302</v>
      </c>
      <c r="S708">
        <f t="shared" ca="1" si="606"/>
        <v>2.0135057833005425</v>
      </c>
    </row>
    <row r="709" spans="5:19" x14ac:dyDescent="0.75">
      <c r="E709">
        <v>704</v>
      </c>
      <c r="F709">
        <f t="shared" si="602"/>
        <v>100</v>
      </c>
      <c r="G709">
        <f t="shared" ca="1" si="603"/>
        <v>105.58130697741741</v>
      </c>
      <c r="H709">
        <f t="shared" ca="1" si="603"/>
        <v>102.19296354666018</v>
      </c>
      <c r="I709">
        <f t="shared" ca="1" si="603"/>
        <v>94.54139837108103</v>
      </c>
      <c r="J709">
        <f t="shared" ref="J709:P709" ca="1" si="660">I709*EXP(($C$6-0.5*$C$7^2)*$C$12+$C$7*SQRT($C$12)*NORMINV(RAND(),0,1))</f>
        <v>91.83209337382371</v>
      </c>
      <c r="K709">
        <f t="shared" ca="1" si="660"/>
        <v>91.114077460812098</v>
      </c>
      <c r="L709">
        <f t="shared" ca="1" si="660"/>
        <v>96.236704693158217</v>
      </c>
      <c r="M709">
        <f t="shared" ca="1" si="660"/>
        <v>86.637536036645614</v>
      </c>
      <c r="N709">
        <f t="shared" ca="1" si="660"/>
        <v>88.967910110088624</v>
      </c>
      <c r="O709">
        <f t="shared" ca="1" si="660"/>
        <v>90.737762457320798</v>
      </c>
      <c r="P709">
        <f t="shared" ca="1" si="660"/>
        <v>88.648800125458962</v>
      </c>
      <c r="Q709">
        <f t="shared" ca="1" si="604"/>
        <v>105.58130697741741</v>
      </c>
      <c r="R709">
        <f t="shared" ca="1" si="605"/>
        <v>0</v>
      </c>
      <c r="S709">
        <f t="shared" ca="1" si="606"/>
        <v>0</v>
      </c>
    </row>
    <row r="710" spans="5:19" x14ac:dyDescent="0.75">
      <c r="E710">
        <v>705</v>
      </c>
      <c r="F710">
        <f t="shared" si="602"/>
        <v>100</v>
      </c>
      <c r="G710">
        <f t="shared" ca="1" si="603"/>
        <v>104.4120845045021</v>
      </c>
      <c r="H710">
        <f t="shared" ca="1" si="603"/>
        <v>110.57087089965789</v>
      </c>
      <c r="I710">
        <f t="shared" ca="1" si="603"/>
        <v>106.1796860218351</v>
      </c>
      <c r="J710">
        <f t="shared" ref="J710:P710" ca="1" si="661">I710*EXP(($C$6-0.5*$C$7^2)*$C$12+$C$7*SQRT($C$12)*NORMINV(RAND(),0,1))</f>
        <v>100.02085344991666</v>
      </c>
      <c r="K710">
        <f t="shared" ca="1" si="661"/>
        <v>96.165560808187763</v>
      </c>
      <c r="L710">
        <f t="shared" ca="1" si="661"/>
        <v>98.885598425425869</v>
      </c>
      <c r="M710">
        <f t="shared" ca="1" si="661"/>
        <v>102.72246246659638</v>
      </c>
      <c r="N710">
        <f t="shared" ca="1" si="661"/>
        <v>99.032987746691262</v>
      </c>
      <c r="O710">
        <f t="shared" ca="1" si="661"/>
        <v>108.56227301837022</v>
      </c>
      <c r="P710">
        <f t="shared" ca="1" si="661"/>
        <v>110.16952523093309</v>
      </c>
      <c r="Q710">
        <f t="shared" ca="1" si="604"/>
        <v>110.57087089965789</v>
      </c>
      <c r="R710">
        <f t="shared" ca="1" si="605"/>
        <v>0</v>
      </c>
      <c r="S710">
        <f t="shared" ca="1" si="606"/>
        <v>0</v>
      </c>
    </row>
    <row r="711" spans="5:19" x14ac:dyDescent="0.75">
      <c r="E711">
        <v>706</v>
      </c>
      <c r="F711">
        <f t="shared" ref="F711:F774" si="662">$C$5</f>
        <v>100</v>
      </c>
      <c r="G711">
        <f t="shared" ref="G711:P774" ca="1" si="663">F711*EXP(($C$6-0.5*$C$7^2)*$C$12+$C$7*SQRT($C$12)*NORMINV(RAND(),0,1))</f>
        <v>102.48273159280406</v>
      </c>
      <c r="H711">
        <f t="shared" ca="1" si="663"/>
        <v>104.90871332063826</v>
      </c>
      <c r="I711">
        <f t="shared" ca="1" si="663"/>
        <v>108.57498987339963</v>
      </c>
      <c r="J711">
        <f t="shared" ca="1" si="663"/>
        <v>106.05098632421416</v>
      </c>
      <c r="K711">
        <f t="shared" ca="1" si="663"/>
        <v>105.41656097044786</v>
      </c>
      <c r="L711">
        <f t="shared" ca="1" si="663"/>
        <v>107.40154731051118</v>
      </c>
      <c r="M711">
        <f t="shared" ca="1" si="663"/>
        <v>117.19422445144198</v>
      </c>
      <c r="N711">
        <f t="shared" ca="1" si="663"/>
        <v>116.81927500271564</v>
      </c>
      <c r="O711">
        <f t="shared" ca="1" si="663"/>
        <v>121.33504358024129</v>
      </c>
      <c r="P711">
        <f t="shared" ca="1" si="663"/>
        <v>120.87172615432314</v>
      </c>
      <c r="Q711">
        <f t="shared" ref="Q711:Q774" ca="1" si="664">MAX(G711:P711)</f>
        <v>121.33504358024129</v>
      </c>
      <c r="R711">
        <f t="shared" ref="R711:R774" ca="1" si="665">IF(Q711&gt;=$C$13,0, MAX(P711-$C$9,0))</f>
        <v>0</v>
      </c>
      <c r="S711">
        <f t="shared" ref="S711:S774" ca="1" si="666">EXP(-$C$6*$C$8)*R711</f>
        <v>0</v>
      </c>
    </row>
    <row r="712" spans="5:19" x14ac:dyDescent="0.75">
      <c r="E712">
        <v>707</v>
      </c>
      <c r="F712">
        <f t="shared" si="662"/>
        <v>100</v>
      </c>
      <c r="G712">
        <f t="shared" ca="1" si="663"/>
        <v>98.450881778895749</v>
      </c>
      <c r="H712">
        <f t="shared" ca="1" si="663"/>
        <v>90.19606136171052</v>
      </c>
      <c r="I712">
        <f t="shared" ca="1" si="663"/>
        <v>91.995870060645586</v>
      </c>
      <c r="J712">
        <f t="shared" ca="1" si="663"/>
        <v>99.519575157442532</v>
      </c>
      <c r="K712">
        <f t="shared" ca="1" si="663"/>
        <v>95.83022440744061</v>
      </c>
      <c r="L712">
        <f t="shared" ca="1" si="663"/>
        <v>91.522670831152041</v>
      </c>
      <c r="M712">
        <f t="shared" ca="1" si="663"/>
        <v>94.489196092595222</v>
      </c>
      <c r="N712">
        <f t="shared" ca="1" si="663"/>
        <v>97.241469994491112</v>
      </c>
      <c r="O712">
        <f t="shared" ca="1" si="663"/>
        <v>93.710145237758255</v>
      </c>
      <c r="P712">
        <f t="shared" ca="1" si="663"/>
        <v>91.712176337292149</v>
      </c>
      <c r="Q712">
        <f t="shared" ca="1" si="664"/>
        <v>99.519575157442532</v>
      </c>
      <c r="R712">
        <f t="shared" ca="1" si="665"/>
        <v>0</v>
      </c>
      <c r="S712">
        <f t="shared" ca="1" si="666"/>
        <v>0</v>
      </c>
    </row>
    <row r="713" spans="5:19" x14ac:dyDescent="0.75">
      <c r="E713">
        <v>708</v>
      </c>
      <c r="F713">
        <f t="shared" si="662"/>
        <v>100</v>
      </c>
      <c r="G713">
        <f t="shared" ca="1" si="663"/>
        <v>108.44530910709929</v>
      </c>
      <c r="H713">
        <f t="shared" ca="1" si="663"/>
        <v>109.17329565741622</v>
      </c>
      <c r="I713">
        <f t="shared" ca="1" si="663"/>
        <v>116.82287185620315</v>
      </c>
      <c r="J713">
        <f t="shared" ca="1" si="663"/>
        <v>118.13982334522433</v>
      </c>
      <c r="K713">
        <f t="shared" ca="1" si="663"/>
        <v>116.14255754835625</v>
      </c>
      <c r="L713">
        <f t="shared" ca="1" si="663"/>
        <v>122.36567025512707</v>
      </c>
      <c r="M713">
        <f t="shared" ca="1" si="663"/>
        <v>117.89454916673148</v>
      </c>
      <c r="N713">
        <f t="shared" ca="1" si="663"/>
        <v>123.71319895684404</v>
      </c>
      <c r="O713">
        <f t="shared" ca="1" si="663"/>
        <v>123.96822284708136</v>
      </c>
      <c r="P713">
        <f t="shared" ca="1" si="663"/>
        <v>121.39761964319131</v>
      </c>
      <c r="Q713">
        <f t="shared" ca="1" si="664"/>
        <v>123.96822284708136</v>
      </c>
      <c r="R713">
        <f t="shared" ca="1" si="665"/>
        <v>0</v>
      </c>
      <c r="S713">
        <f t="shared" ca="1" si="666"/>
        <v>0</v>
      </c>
    </row>
    <row r="714" spans="5:19" x14ac:dyDescent="0.75">
      <c r="E714">
        <v>709</v>
      </c>
      <c r="F714">
        <f t="shared" si="662"/>
        <v>100</v>
      </c>
      <c r="G714">
        <f t="shared" ca="1" si="663"/>
        <v>104.30963419812207</v>
      </c>
      <c r="H714">
        <f t="shared" ca="1" si="663"/>
        <v>105.95226142419308</v>
      </c>
      <c r="I714">
        <f t="shared" ca="1" si="663"/>
        <v>106.86467944763749</v>
      </c>
      <c r="J714">
        <f t="shared" ca="1" si="663"/>
        <v>111.44953393431103</v>
      </c>
      <c r="K714">
        <f t="shared" ca="1" si="663"/>
        <v>115.65753342197274</v>
      </c>
      <c r="L714">
        <f t="shared" ca="1" si="663"/>
        <v>118.15000200814582</v>
      </c>
      <c r="M714">
        <f t="shared" ca="1" si="663"/>
        <v>118.83196031381313</v>
      </c>
      <c r="N714">
        <f t="shared" ca="1" si="663"/>
        <v>117.16669406165906</v>
      </c>
      <c r="O714">
        <f t="shared" ca="1" si="663"/>
        <v>118.14823493010495</v>
      </c>
      <c r="P714">
        <f t="shared" ca="1" si="663"/>
        <v>119.43150382364378</v>
      </c>
      <c r="Q714">
        <f t="shared" ca="1" si="664"/>
        <v>119.43150382364378</v>
      </c>
      <c r="R714">
        <f t="shared" ca="1" si="665"/>
        <v>0</v>
      </c>
      <c r="S714">
        <f t="shared" ca="1" si="666"/>
        <v>0</v>
      </c>
    </row>
    <row r="715" spans="5:19" x14ac:dyDescent="0.75">
      <c r="E715">
        <v>710</v>
      </c>
      <c r="F715">
        <f t="shared" si="662"/>
        <v>100</v>
      </c>
      <c r="G715">
        <f t="shared" ca="1" si="663"/>
        <v>96.101261450900523</v>
      </c>
      <c r="H715">
        <f t="shared" ca="1" si="663"/>
        <v>93.934962038991472</v>
      </c>
      <c r="I715">
        <f t="shared" ca="1" si="663"/>
        <v>107.99381858785119</v>
      </c>
      <c r="J715">
        <f t="shared" ca="1" si="663"/>
        <v>110.13134226525283</v>
      </c>
      <c r="K715">
        <f t="shared" ca="1" si="663"/>
        <v>105.4375017853034</v>
      </c>
      <c r="L715">
        <f t="shared" ca="1" si="663"/>
        <v>110.79908359046875</v>
      </c>
      <c r="M715">
        <f t="shared" ca="1" si="663"/>
        <v>114.69779873102078</v>
      </c>
      <c r="N715">
        <f t="shared" ca="1" si="663"/>
        <v>114.68577419754128</v>
      </c>
      <c r="O715">
        <f t="shared" ca="1" si="663"/>
        <v>114.97824563119273</v>
      </c>
      <c r="P715">
        <f t="shared" ca="1" si="663"/>
        <v>119.50121481281541</v>
      </c>
      <c r="Q715">
        <f t="shared" ca="1" si="664"/>
        <v>119.50121481281541</v>
      </c>
      <c r="R715">
        <f t="shared" ca="1" si="665"/>
        <v>0</v>
      </c>
      <c r="S715">
        <f t="shared" ca="1" si="666"/>
        <v>0</v>
      </c>
    </row>
    <row r="716" spans="5:19" x14ac:dyDescent="0.75">
      <c r="E716">
        <v>711</v>
      </c>
      <c r="F716">
        <f t="shared" si="662"/>
        <v>100</v>
      </c>
      <c r="G716">
        <f t="shared" ca="1" si="663"/>
        <v>104.16379811947982</v>
      </c>
      <c r="H716">
        <f t="shared" ca="1" si="663"/>
        <v>104.68765384710125</v>
      </c>
      <c r="I716">
        <f t="shared" ca="1" si="663"/>
        <v>99.42388150408803</v>
      </c>
      <c r="J716">
        <f t="shared" ca="1" si="663"/>
        <v>99.952390126342749</v>
      </c>
      <c r="K716">
        <f t="shared" ca="1" si="663"/>
        <v>97.879471872879932</v>
      </c>
      <c r="L716">
        <f t="shared" ca="1" si="663"/>
        <v>98.735024917452179</v>
      </c>
      <c r="M716">
        <f t="shared" ca="1" si="663"/>
        <v>95.295810581507979</v>
      </c>
      <c r="N716">
        <f t="shared" ca="1" si="663"/>
        <v>93.82248205102168</v>
      </c>
      <c r="O716">
        <f t="shared" ca="1" si="663"/>
        <v>93.393413153136692</v>
      </c>
      <c r="P716">
        <f t="shared" ca="1" si="663"/>
        <v>86.504018306446937</v>
      </c>
      <c r="Q716">
        <f t="shared" ca="1" si="664"/>
        <v>104.68765384710125</v>
      </c>
      <c r="R716">
        <f t="shared" ca="1" si="665"/>
        <v>0</v>
      </c>
      <c r="S716">
        <f t="shared" ca="1" si="666"/>
        <v>0</v>
      </c>
    </row>
    <row r="717" spans="5:19" x14ac:dyDescent="0.75">
      <c r="E717">
        <v>712</v>
      </c>
      <c r="F717">
        <f t="shared" si="662"/>
        <v>100</v>
      </c>
      <c r="G717">
        <f t="shared" ca="1" si="663"/>
        <v>96.174566329543268</v>
      </c>
      <c r="H717">
        <f t="shared" ca="1" si="663"/>
        <v>107.3759179173405</v>
      </c>
      <c r="I717">
        <f t="shared" ca="1" si="663"/>
        <v>107.30952609421539</v>
      </c>
      <c r="J717">
        <f t="shared" ca="1" si="663"/>
        <v>112.32574661243912</v>
      </c>
      <c r="K717">
        <f t="shared" ca="1" si="663"/>
        <v>104.94292915052586</v>
      </c>
      <c r="L717">
        <f t="shared" ca="1" si="663"/>
        <v>109.40523280870863</v>
      </c>
      <c r="M717">
        <f t="shared" ca="1" si="663"/>
        <v>104.44454865464022</v>
      </c>
      <c r="N717">
        <f t="shared" ca="1" si="663"/>
        <v>100.25023055229511</v>
      </c>
      <c r="O717">
        <f t="shared" ca="1" si="663"/>
        <v>97.577505481965758</v>
      </c>
      <c r="P717">
        <f t="shared" ca="1" si="663"/>
        <v>94.436521359957283</v>
      </c>
      <c r="Q717">
        <f t="shared" ca="1" si="664"/>
        <v>112.32574661243912</v>
      </c>
      <c r="R717">
        <f t="shared" ca="1" si="665"/>
        <v>0</v>
      </c>
      <c r="S717">
        <f t="shared" ca="1" si="666"/>
        <v>0</v>
      </c>
    </row>
    <row r="718" spans="5:19" x14ac:dyDescent="0.75">
      <c r="E718">
        <v>713</v>
      </c>
      <c r="F718">
        <f t="shared" si="662"/>
        <v>100</v>
      </c>
      <c r="G718">
        <f t="shared" ca="1" si="663"/>
        <v>104.44294910713063</v>
      </c>
      <c r="H718">
        <f t="shared" ca="1" si="663"/>
        <v>111.94921665380082</v>
      </c>
      <c r="I718">
        <f t="shared" ca="1" si="663"/>
        <v>111.98380803780853</v>
      </c>
      <c r="J718">
        <f t="shared" ca="1" si="663"/>
        <v>106.58821747900681</v>
      </c>
      <c r="K718">
        <f t="shared" ca="1" si="663"/>
        <v>113.32628579377412</v>
      </c>
      <c r="L718">
        <f t="shared" ca="1" si="663"/>
        <v>118.20554891937672</v>
      </c>
      <c r="M718">
        <f t="shared" ca="1" si="663"/>
        <v>128.17306368792381</v>
      </c>
      <c r="N718">
        <f t="shared" ca="1" si="663"/>
        <v>135.95774189860728</v>
      </c>
      <c r="O718">
        <f t="shared" ca="1" si="663"/>
        <v>139.90337156625893</v>
      </c>
      <c r="P718">
        <f t="shared" ca="1" si="663"/>
        <v>149.24067899662259</v>
      </c>
      <c r="Q718">
        <f t="shared" ca="1" si="664"/>
        <v>149.24067899662259</v>
      </c>
      <c r="R718">
        <f t="shared" ca="1" si="665"/>
        <v>0</v>
      </c>
      <c r="S718">
        <f t="shared" ca="1" si="666"/>
        <v>0</v>
      </c>
    </row>
    <row r="719" spans="5:19" x14ac:dyDescent="0.75">
      <c r="E719">
        <v>714</v>
      </c>
      <c r="F719">
        <f t="shared" si="662"/>
        <v>100</v>
      </c>
      <c r="G719">
        <f t="shared" ca="1" si="663"/>
        <v>100.89128940427385</v>
      </c>
      <c r="H719">
        <f t="shared" ca="1" si="663"/>
        <v>95.821314938855238</v>
      </c>
      <c r="I719">
        <f t="shared" ca="1" si="663"/>
        <v>101.60719100270873</v>
      </c>
      <c r="J719">
        <f t="shared" ca="1" si="663"/>
        <v>94.187520303966679</v>
      </c>
      <c r="K719">
        <f t="shared" ca="1" si="663"/>
        <v>96.568864721679063</v>
      </c>
      <c r="L719">
        <f t="shared" ca="1" si="663"/>
        <v>96.857874434929698</v>
      </c>
      <c r="M719">
        <f t="shared" ca="1" si="663"/>
        <v>99.237732561620362</v>
      </c>
      <c r="N719">
        <f t="shared" ca="1" si="663"/>
        <v>104.25056761728425</v>
      </c>
      <c r="O719">
        <f t="shared" ca="1" si="663"/>
        <v>105.61500407185521</v>
      </c>
      <c r="P719">
        <f t="shared" ca="1" si="663"/>
        <v>98.120671160729046</v>
      </c>
      <c r="Q719">
        <f t="shared" ca="1" si="664"/>
        <v>105.61500407185521</v>
      </c>
      <c r="R719">
        <f t="shared" ca="1" si="665"/>
        <v>0</v>
      </c>
      <c r="S719">
        <f t="shared" ca="1" si="666"/>
        <v>0</v>
      </c>
    </row>
    <row r="720" spans="5:19" x14ac:dyDescent="0.75">
      <c r="E720">
        <v>715</v>
      </c>
      <c r="F720">
        <f t="shared" si="662"/>
        <v>100</v>
      </c>
      <c r="G720">
        <f t="shared" ca="1" si="663"/>
        <v>97.989363931076184</v>
      </c>
      <c r="H720">
        <f t="shared" ca="1" si="663"/>
        <v>99.398917566685398</v>
      </c>
      <c r="I720">
        <f t="shared" ca="1" si="663"/>
        <v>104.53505521610388</v>
      </c>
      <c r="J720">
        <f t="shared" ref="J720:P720" ca="1" si="667">I720*EXP(($C$6-0.5*$C$7^2)*$C$12+$C$7*SQRT($C$12)*NORMINV(RAND(),0,1))</f>
        <v>114.10532143486935</v>
      </c>
      <c r="K720">
        <f t="shared" ca="1" si="667"/>
        <v>105.92782432149302</v>
      </c>
      <c r="L720">
        <f t="shared" ca="1" si="667"/>
        <v>104.99483631776778</v>
      </c>
      <c r="M720">
        <f t="shared" ca="1" si="667"/>
        <v>97.110965373119384</v>
      </c>
      <c r="N720">
        <f t="shared" ca="1" si="667"/>
        <v>87.935242358216769</v>
      </c>
      <c r="O720">
        <f t="shared" ca="1" si="667"/>
        <v>84.03078248386781</v>
      </c>
      <c r="P720">
        <f t="shared" ca="1" si="667"/>
        <v>83.439355190824671</v>
      </c>
      <c r="Q720">
        <f t="shared" ca="1" si="664"/>
        <v>114.10532143486935</v>
      </c>
      <c r="R720">
        <f t="shared" ca="1" si="665"/>
        <v>0</v>
      </c>
      <c r="S720">
        <f t="shared" ca="1" si="666"/>
        <v>0</v>
      </c>
    </row>
    <row r="721" spans="5:19" x14ac:dyDescent="0.75">
      <c r="E721">
        <v>716</v>
      </c>
      <c r="F721">
        <f t="shared" si="662"/>
        <v>100</v>
      </c>
      <c r="G721">
        <f t="shared" ca="1" si="663"/>
        <v>98.238664392962605</v>
      </c>
      <c r="H721">
        <f t="shared" ca="1" si="663"/>
        <v>96.373076340479912</v>
      </c>
      <c r="I721">
        <f t="shared" ca="1" si="663"/>
        <v>93.060487110107601</v>
      </c>
      <c r="J721">
        <f t="shared" ref="J721:P721" ca="1" si="668">I721*EXP(($C$6-0.5*$C$7^2)*$C$12+$C$7*SQRT($C$12)*NORMINV(RAND(),0,1))</f>
        <v>91.415878477551473</v>
      </c>
      <c r="K721">
        <f t="shared" ca="1" si="668"/>
        <v>96.3318967080167</v>
      </c>
      <c r="L721">
        <f t="shared" ca="1" si="668"/>
        <v>106.34833610168684</v>
      </c>
      <c r="M721">
        <f t="shared" ca="1" si="668"/>
        <v>104.82650802834935</v>
      </c>
      <c r="N721">
        <f t="shared" ca="1" si="668"/>
        <v>100.75150834405844</v>
      </c>
      <c r="O721">
        <f t="shared" ca="1" si="668"/>
        <v>104.08429099502091</v>
      </c>
      <c r="P721">
        <f t="shared" ca="1" si="668"/>
        <v>109.61192330249929</v>
      </c>
      <c r="Q721">
        <f t="shared" ca="1" si="664"/>
        <v>109.61192330249929</v>
      </c>
      <c r="R721">
        <f t="shared" ca="1" si="665"/>
        <v>7.6119233024992923</v>
      </c>
      <c r="S721">
        <f t="shared" ca="1" si="666"/>
        <v>7.4239842465269996</v>
      </c>
    </row>
    <row r="722" spans="5:19" x14ac:dyDescent="0.75">
      <c r="E722">
        <v>717</v>
      </c>
      <c r="F722">
        <f t="shared" si="662"/>
        <v>100</v>
      </c>
      <c r="G722">
        <f t="shared" ca="1" si="663"/>
        <v>99.068863017473305</v>
      </c>
      <c r="H722">
        <f t="shared" ca="1" si="663"/>
        <v>101.33090282011526</v>
      </c>
      <c r="I722">
        <f t="shared" ca="1" si="663"/>
        <v>108.69432439654129</v>
      </c>
      <c r="J722">
        <f t="shared" ref="J722:P722" ca="1" si="669">I722*EXP(($C$6-0.5*$C$7^2)*$C$12+$C$7*SQRT($C$12)*NORMINV(RAND(),0,1))</f>
        <v>114.14841286284384</v>
      </c>
      <c r="K722">
        <f t="shared" ca="1" si="669"/>
        <v>115.01883126921874</v>
      </c>
      <c r="L722">
        <f t="shared" ca="1" si="669"/>
        <v>117.97378314174826</v>
      </c>
      <c r="M722">
        <f t="shared" ca="1" si="669"/>
        <v>118.69649202730041</v>
      </c>
      <c r="N722">
        <f t="shared" ca="1" si="669"/>
        <v>127.7494611654989</v>
      </c>
      <c r="O722">
        <f t="shared" ca="1" si="669"/>
        <v>128.76389272185486</v>
      </c>
      <c r="P722">
        <f t="shared" ca="1" si="669"/>
        <v>127.16605320490589</v>
      </c>
      <c r="Q722">
        <f t="shared" ca="1" si="664"/>
        <v>128.76389272185486</v>
      </c>
      <c r="R722">
        <f t="shared" ca="1" si="665"/>
        <v>0</v>
      </c>
      <c r="S722">
        <f t="shared" ca="1" si="666"/>
        <v>0</v>
      </c>
    </row>
    <row r="723" spans="5:19" x14ac:dyDescent="0.75">
      <c r="E723">
        <v>718</v>
      </c>
      <c r="F723">
        <f t="shared" si="662"/>
        <v>100</v>
      </c>
      <c r="G723">
        <f t="shared" ca="1" si="663"/>
        <v>102.37564579153961</v>
      </c>
      <c r="H723">
        <f t="shared" ca="1" si="663"/>
        <v>106.43322938262479</v>
      </c>
      <c r="I723">
        <f t="shared" ca="1" si="663"/>
        <v>109.44798213900505</v>
      </c>
      <c r="J723">
        <f t="shared" ref="J723:P723" ca="1" si="670">I723*EXP(($C$6-0.5*$C$7^2)*$C$12+$C$7*SQRT($C$12)*NORMINV(RAND(),0,1))</f>
        <v>115.03655730355385</v>
      </c>
      <c r="K723">
        <f t="shared" ca="1" si="670"/>
        <v>113.08569611770821</v>
      </c>
      <c r="L723">
        <f t="shared" ca="1" si="670"/>
        <v>117.08967716999474</v>
      </c>
      <c r="M723">
        <f t="shared" ca="1" si="670"/>
        <v>116.96943268139756</v>
      </c>
      <c r="N723">
        <f t="shared" ca="1" si="670"/>
        <v>112.68402637157692</v>
      </c>
      <c r="O723">
        <f t="shared" ca="1" si="670"/>
        <v>106.20968359673446</v>
      </c>
      <c r="P723">
        <f t="shared" ca="1" si="670"/>
        <v>113.17954998938913</v>
      </c>
      <c r="Q723">
        <f t="shared" ca="1" si="664"/>
        <v>117.08967716999474</v>
      </c>
      <c r="R723">
        <f t="shared" ca="1" si="665"/>
        <v>0</v>
      </c>
      <c r="S723">
        <f t="shared" ca="1" si="666"/>
        <v>0</v>
      </c>
    </row>
    <row r="724" spans="5:19" x14ac:dyDescent="0.75">
      <c r="E724">
        <v>719</v>
      </c>
      <c r="F724">
        <f t="shared" si="662"/>
        <v>100</v>
      </c>
      <c r="G724">
        <f t="shared" ca="1" si="663"/>
        <v>98.032803829054643</v>
      </c>
      <c r="H724">
        <f t="shared" ca="1" si="663"/>
        <v>94.164744397512763</v>
      </c>
      <c r="I724">
        <f t="shared" ca="1" si="663"/>
        <v>94.749692687567006</v>
      </c>
      <c r="J724">
        <f t="shared" ref="J724:P724" ca="1" si="671">I724*EXP(($C$6-0.5*$C$7^2)*$C$12+$C$7*SQRT($C$12)*NORMINV(RAND(),0,1))</f>
        <v>88.854201507439569</v>
      </c>
      <c r="K724">
        <f t="shared" ca="1" si="671"/>
        <v>87.24764032533642</v>
      </c>
      <c r="L724">
        <f t="shared" ca="1" si="671"/>
        <v>83.119726556704094</v>
      </c>
      <c r="M724">
        <f t="shared" ca="1" si="671"/>
        <v>81.023715983380853</v>
      </c>
      <c r="N724">
        <f t="shared" ca="1" si="671"/>
        <v>80.371800817589914</v>
      </c>
      <c r="O724">
        <f t="shared" ca="1" si="671"/>
        <v>82.326113495885807</v>
      </c>
      <c r="P724">
        <f t="shared" ca="1" si="671"/>
        <v>80.293837219789026</v>
      </c>
      <c r="Q724">
        <f t="shared" ca="1" si="664"/>
        <v>98.032803829054643</v>
      </c>
      <c r="R724">
        <f t="shared" ca="1" si="665"/>
        <v>0</v>
      </c>
      <c r="S724">
        <f t="shared" ca="1" si="666"/>
        <v>0</v>
      </c>
    </row>
    <row r="725" spans="5:19" x14ac:dyDescent="0.75">
      <c r="E725">
        <v>720</v>
      </c>
      <c r="F725">
        <f t="shared" si="662"/>
        <v>100</v>
      </c>
      <c r="G725">
        <f t="shared" ca="1" si="663"/>
        <v>101.55792000816879</v>
      </c>
      <c r="H725">
        <f t="shared" ca="1" si="663"/>
        <v>101.53854045862806</v>
      </c>
      <c r="I725">
        <f t="shared" ca="1" si="663"/>
        <v>100.67865857592564</v>
      </c>
      <c r="J725">
        <f t="shared" ref="J725:P725" ca="1" si="672">I725*EXP(($C$6-0.5*$C$7^2)*$C$12+$C$7*SQRT($C$12)*NORMINV(RAND(),0,1))</f>
        <v>100.42073955091017</v>
      </c>
      <c r="K725">
        <f t="shared" ca="1" si="672"/>
        <v>104.54868566529041</v>
      </c>
      <c r="L725">
        <f t="shared" ca="1" si="672"/>
        <v>112.63478888074106</v>
      </c>
      <c r="M725">
        <f t="shared" ca="1" si="672"/>
        <v>120.08927895558074</v>
      </c>
      <c r="N725">
        <f t="shared" ca="1" si="672"/>
        <v>120.60911211876716</v>
      </c>
      <c r="O725">
        <f t="shared" ca="1" si="672"/>
        <v>111.41046915093594</v>
      </c>
      <c r="P725">
        <f t="shared" ca="1" si="672"/>
        <v>109.62212784152052</v>
      </c>
      <c r="Q725">
        <f t="shared" ca="1" si="664"/>
        <v>120.60911211876716</v>
      </c>
      <c r="R725">
        <f t="shared" ca="1" si="665"/>
        <v>0</v>
      </c>
      <c r="S725">
        <f t="shared" ca="1" si="666"/>
        <v>0</v>
      </c>
    </row>
    <row r="726" spans="5:19" x14ac:dyDescent="0.75">
      <c r="E726">
        <v>721</v>
      </c>
      <c r="F726">
        <f t="shared" si="662"/>
        <v>100</v>
      </c>
      <c r="G726">
        <f t="shared" ca="1" si="663"/>
        <v>93.731269418934545</v>
      </c>
      <c r="H726">
        <f t="shared" ca="1" si="663"/>
        <v>88.710443277889794</v>
      </c>
      <c r="I726">
        <f t="shared" ca="1" si="663"/>
        <v>89.875675389492912</v>
      </c>
      <c r="J726">
        <f t="shared" ref="J726:P726" ca="1" si="673">I726*EXP(($C$6-0.5*$C$7^2)*$C$12+$C$7*SQRT($C$12)*NORMINV(RAND(),0,1))</f>
        <v>91.219098566289077</v>
      </c>
      <c r="K726">
        <f t="shared" ca="1" si="673"/>
        <v>86.617116746314437</v>
      </c>
      <c r="L726">
        <f t="shared" ca="1" si="673"/>
        <v>90.512647541753211</v>
      </c>
      <c r="M726">
        <f t="shared" ca="1" si="673"/>
        <v>93.748831724314869</v>
      </c>
      <c r="N726">
        <f t="shared" ca="1" si="673"/>
        <v>92.415804435671674</v>
      </c>
      <c r="O726">
        <f t="shared" ca="1" si="673"/>
        <v>95.031080410871837</v>
      </c>
      <c r="P726">
        <f t="shared" ca="1" si="673"/>
        <v>96.900842659803402</v>
      </c>
      <c r="Q726">
        <f t="shared" ca="1" si="664"/>
        <v>96.900842659803402</v>
      </c>
      <c r="R726">
        <f t="shared" ca="1" si="665"/>
        <v>0</v>
      </c>
      <c r="S726">
        <f t="shared" ca="1" si="666"/>
        <v>0</v>
      </c>
    </row>
    <row r="727" spans="5:19" x14ac:dyDescent="0.75">
      <c r="E727">
        <v>722</v>
      </c>
      <c r="F727">
        <f t="shared" si="662"/>
        <v>100</v>
      </c>
      <c r="G727">
        <f t="shared" ca="1" si="663"/>
        <v>109.10991050538364</v>
      </c>
      <c r="H727">
        <f t="shared" ca="1" si="663"/>
        <v>107.87923921571024</v>
      </c>
      <c r="I727">
        <f t="shared" ca="1" si="663"/>
        <v>110.6980809113159</v>
      </c>
      <c r="J727">
        <f t="shared" ref="J727:P727" ca="1" si="674">I727*EXP(($C$6-0.5*$C$7^2)*$C$12+$C$7*SQRT($C$12)*NORMINV(RAND(),0,1))</f>
        <v>109.6566086136058</v>
      </c>
      <c r="K727">
        <f t="shared" ca="1" si="674"/>
        <v>120.23283501671956</v>
      </c>
      <c r="L727">
        <f t="shared" ca="1" si="674"/>
        <v>122.71445817235032</v>
      </c>
      <c r="M727">
        <f t="shared" ca="1" si="674"/>
        <v>125.41227010397697</v>
      </c>
      <c r="N727">
        <f t="shared" ca="1" si="674"/>
        <v>125.54939517510677</v>
      </c>
      <c r="O727">
        <f t="shared" ca="1" si="674"/>
        <v>124.76877905396762</v>
      </c>
      <c r="P727">
        <f t="shared" ca="1" si="674"/>
        <v>127.53801014349825</v>
      </c>
      <c r="Q727">
        <f t="shared" ca="1" si="664"/>
        <v>127.53801014349825</v>
      </c>
      <c r="R727">
        <f t="shared" ca="1" si="665"/>
        <v>0</v>
      </c>
      <c r="S727">
        <f t="shared" ca="1" si="666"/>
        <v>0</v>
      </c>
    </row>
    <row r="728" spans="5:19" x14ac:dyDescent="0.75">
      <c r="E728">
        <v>723</v>
      </c>
      <c r="F728">
        <f t="shared" si="662"/>
        <v>100</v>
      </c>
      <c r="G728">
        <f t="shared" ca="1" si="663"/>
        <v>94.390059089738003</v>
      </c>
      <c r="H728">
        <f t="shared" ca="1" si="663"/>
        <v>89.004845759744583</v>
      </c>
      <c r="I728">
        <f t="shared" ca="1" si="663"/>
        <v>89.754147609239155</v>
      </c>
      <c r="J728">
        <f t="shared" ref="J728:P728" ca="1" si="675">I728*EXP(($C$6-0.5*$C$7^2)*$C$12+$C$7*SQRT($C$12)*NORMINV(RAND(),0,1))</f>
        <v>90.590827598590366</v>
      </c>
      <c r="K728">
        <f t="shared" ca="1" si="675"/>
        <v>92.859189430459239</v>
      </c>
      <c r="L728">
        <f t="shared" ca="1" si="675"/>
        <v>98.247055423784019</v>
      </c>
      <c r="M728">
        <f t="shared" ca="1" si="675"/>
        <v>96.409895768140075</v>
      </c>
      <c r="N728">
        <f t="shared" ca="1" si="675"/>
        <v>93.692866452026465</v>
      </c>
      <c r="O728">
        <f t="shared" ca="1" si="675"/>
        <v>92.219815395466824</v>
      </c>
      <c r="P728">
        <f t="shared" ca="1" si="675"/>
        <v>93.265566241372426</v>
      </c>
      <c r="Q728">
        <f t="shared" ca="1" si="664"/>
        <v>98.247055423784019</v>
      </c>
      <c r="R728">
        <f t="shared" ca="1" si="665"/>
        <v>0</v>
      </c>
      <c r="S728">
        <f t="shared" ca="1" si="666"/>
        <v>0</v>
      </c>
    </row>
    <row r="729" spans="5:19" x14ac:dyDescent="0.75">
      <c r="E729">
        <v>724</v>
      </c>
      <c r="F729">
        <f t="shared" si="662"/>
        <v>100</v>
      </c>
      <c r="G729">
        <f t="shared" ca="1" si="663"/>
        <v>100.86112732343638</v>
      </c>
      <c r="H729">
        <f t="shared" ca="1" si="663"/>
        <v>96.952941032826345</v>
      </c>
      <c r="I729">
        <f t="shared" ca="1" si="663"/>
        <v>100.92604561478387</v>
      </c>
      <c r="J729">
        <f t="shared" ref="J729:P729" ca="1" si="676">I729*EXP(($C$6-0.5*$C$7^2)*$C$12+$C$7*SQRT($C$12)*NORMINV(RAND(),0,1))</f>
        <v>102.77030162606063</v>
      </c>
      <c r="K729">
        <f t="shared" ca="1" si="676"/>
        <v>101.84661909474843</v>
      </c>
      <c r="L729">
        <f t="shared" ca="1" si="676"/>
        <v>103.33787067075511</v>
      </c>
      <c r="M729">
        <f t="shared" ca="1" si="676"/>
        <v>100.59304198352699</v>
      </c>
      <c r="N729">
        <f t="shared" ca="1" si="676"/>
        <v>96.796248951007982</v>
      </c>
      <c r="O729">
        <f t="shared" ca="1" si="676"/>
        <v>92.415520277540736</v>
      </c>
      <c r="P729">
        <f t="shared" ca="1" si="676"/>
        <v>91.311363132416275</v>
      </c>
      <c r="Q729">
        <f t="shared" ca="1" si="664"/>
        <v>103.33787067075511</v>
      </c>
      <c r="R729">
        <f t="shared" ca="1" si="665"/>
        <v>0</v>
      </c>
      <c r="S729">
        <f t="shared" ca="1" si="666"/>
        <v>0</v>
      </c>
    </row>
    <row r="730" spans="5:19" x14ac:dyDescent="0.75">
      <c r="E730">
        <v>725</v>
      </c>
      <c r="F730">
        <f t="shared" si="662"/>
        <v>100</v>
      </c>
      <c r="G730">
        <f t="shared" ca="1" si="663"/>
        <v>98.32080599290569</v>
      </c>
      <c r="H730">
        <f t="shared" ca="1" si="663"/>
        <v>98.761494182056595</v>
      </c>
      <c r="I730">
        <f t="shared" ca="1" si="663"/>
        <v>98.223078801710443</v>
      </c>
      <c r="J730">
        <f t="shared" ref="J730:P730" ca="1" si="677">I730*EXP(($C$6-0.5*$C$7^2)*$C$12+$C$7*SQRT($C$12)*NORMINV(RAND(),0,1))</f>
        <v>101.3657117883958</v>
      </c>
      <c r="K730">
        <f t="shared" ca="1" si="677"/>
        <v>108.19367948312369</v>
      </c>
      <c r="L730">
        <f t="shared" ca="1" si="677"/>
        <v>101.63376700093919</v>
      </c>
      <c r="M730">
        <f t="shared" ca="1" si="677"/>
        <v>102.00990521214101</v>
      </c>
      <c r="N730">
        <f t="shared" ca="1" si="677"/>
        <v>97.28288156425586</v>
      </c>
      <c r="O730">
        <f t="shared" ca="1" si="677"/>
        <v>106.81211191723372</v>
      </c>
      <c r="P730">
        <f t="shared" ca="1" si="677"/>
        <v>105.42773776055306</v>
      </c>
      <c r="Q730">
        <f t="shared" ca="1" si="664"/>
        <v>108.19367948312369</v>
      </c>
      <c r="R730">
        <f t="shared" ca="1" si="665"/>
        <v>3.4277377605530575</v>
      </c>
      <c r="S730">
        <f t="shared" ca="1" si="666"/>
        <v>3.3431066137011962</v>
      </c>
    </row>
    <row r="731" spans="5:19" x14ac:dyDescent="0.75">
      <c r="E731">
        <v>726</v>
      </c>
      <c r="F731">
        <f t="shared" si="662"/>
        <v>100</v>
      </c>
      <c r="G731">
        <f t="shared" ca="1" si="663"/>
        <v>97.121052372880129</v>
      </c>
      <c r="H731">
        <f t="shared" ca="1" si="663"/>
        <v>98.373164398874835</v>
      </c>
      <c r="I731">
        <f t="shared" ca="1" si="663"/>
        <v>101.68241393689426</v>
      </c>
      <c r="J731">
        <f t="shared" ref="J731:P731" ca="1" si="678">I731*EXP(($C$6-0.5*$C$7^2)*$C$12+$C$7*SQRT($C$12)*NORMINV(RAND(),0,1))</f>
        <v>103.5563755470659</v>
      </c>
      <c r="K731">
        <f t="shared" ca="1" si="678"/>
        <v>97.383413916639284</v>
      </c>
      <c r="L731">
        <f t="shared" ca="1" si="678"/>
        <v>97.94992303708807</v>
      </c>
      <c r="M731">
        <f t="shared" ca="1" si="678"/>
        <v>103.95642570223325</v>
      </c>
      <c r="N731">
        <f t="shared" ca="1" si="678"/>
        <v>98.558006170628616</v>
      </c>
      <c r="O731">
        <f t="shared" ca="1" si="678"/>
        <v>93.16349572375978</v>
      </c>
      <c r="P731">
        <f t="shared" ca="1" si="678"/>
        <v>93.821011002456899</v>
      </c>
      <c r="Q731">
        <f t="shared" ca="1" si="664"/>
        <v>103.95642570223325</v>
      </c>
      <c r="R731">
        <f t="shared" ca="1" si="665"/>
        <v>0</v>
      </c>
      <c r="S731">
        <f t="shared" ca="1" si="666"/>
        <v>0</v>
      </c>
    </row>
    <row r="732" spans="5:19" x14ac:dyDescent="0.75">
      <c r="E732">
        <v>727</v>
      </c>
      <c r="F732">
        <f t="shared" si="662"/>
        <v>100</v>
      </c>
      <c r="G732">
        <f t="shared" ca="1" si="663"/>
        <v>111.93871436906871</v>
      </c>
      <c r="H732">
        <f t="shared" ca="1" si="663"/>
        <v>112.41593137348883</v>
      </c>
      <c r="I732">
        <f t="shared" ca="1" si="663"/>
        <v>114.89882637359274</v>
      </c>
      <c r="J732">
        <f t="shared" ref="J732:P732" ca="1" si="679">I732*EXP(($C$6-0.5*$C$7^2)*$C$12+$C$7*SQRT($C$12)*NORMINV(RAND(),0,1))</f>
        <v>105.39732667209438</v>
      </c>
      <c r="K732">
        <f t="shared" ca="1" si="679"/>
        <v>111.49201619191227</v>
      </c>
      <c r="L732">
        <f t="shared" ca="1" si="679"/>
        <v>112.97878475873497</v>
      </c>
      <c r="M732">
        <f t="shared" ca="1" si="679"/>
        <v>113.67753240123274</v>
      </c>
      <c r="N732">
        <f t="shared" ca="1" si="679"/>
        <v>110.23416518791342</v>
      </c>
      <c r="O732">
        <f t="shared" ca="1" si="679"/>
        <v>113.21838847430897</v>
      </c>
      <c r="P732">
        <f t="shared" ca="1" si="679"/>
        <v>119.44829046622083</v>
      </c>
      <c r="Q732">
        <f t="shared" ca="1" si="664"/>
        <v>119.44829046622083</v>
      </c>
      <c r="R732">
        <f t="shared" ca="1" si="665"/>
        <v>0</v>
      </c>
      <c r="S732">
        <f t="shared" ca="1" si="666"/>
        <v>0</v>
      </c>
    </row>
    <row r="733" spans="5:19" x14ac:dyDescent="0.75">
      <c r="E733">
        <v>728</v>
      </c>
      <c r="F733">
        <f t="shared" si="662"/>
        <v>100</v>
      </c>
      <c r="G733">
        <f t="shared" ca="1" si="663"/>
        <v>99.025466298558968</v>
      </c>
      <c r="H733">
        <f t="shared" ca="1" si="663"/>
        <v>104.42729595641049</v>
      </c>
      <c r="I733">
        <f t="shared" ca="1" si="663"/>
        <v>95.278715362562863</v>
      </c>
      <c r="J733">
        <f t="shared" ref="J733:P733" ca="1" si="680">I733*EXP(($C$6-0.5*$C$7^2)*$C$12+$C$7*SQRT($C$12)*NORMINV(RAND(),0,1))</f>
        <v>103.55286245152517</v>
      </c>
      <c r="K733">
        <f t="shared" ca="1" si="680"/>
        <v>105.43071771404708</v>
      </c>
      <c r="L733">
        <f t="shared" ca="1" si="680"/>
        <v>104.17793762912255</v>
      </c>
      <c r="M733">
        <f t="shared" ca="1" si="680"/>
        <v>109.21930495831226</v>
      </c>
      <c r="N733">
        <f t="shared" ca="1" si="680"/>
        <v>108.84499322165384</v>
      </c>
      <c r="O733">
        <f t="shared" ca="1" si="680"/>
        <v>109.62996625028123</v>
      </c>
      <c r="P733">
        <f t="shared" ca="1" si="680"/>
        <v>113.22192713304665</v>
      </c>
      <c r="Q733">
        <f t="shared" ca="1" si="664"/>
        <v>113.22192713304665</v>
      </c>
      <c r="R733">
        <f t="shared" ca="1" si="665"/>
        <v>0</v>
      </c>
      <c r="S733">
        <f t="shared" ca="1" si="666"/>
        <v>0</v>
      </c>
    </row>
    <row r="734" spans="5:19" x14ac:dyDescent="0.75">
      <c r="E734">
        <v>729</v>
      </c>
      <c r="F734">
        <f t="shared" si="662"/>
        <v>100</v>
      </c>
      <c r="G734">
        <f t="shared" ca="1" si="663"/>
        <v>103.24568525015803</v>
      </c>
      <c r="H734">
        <f t="shared" ca="1" si="663"/>
        <v>107.06579285486487</v>
      </c>
      <c r="I734">
        <f t="shared" ca="1" si="663"/>
        <v>109.56302555932736</v>
      </c>
      <c r="J734">
        <f t="shared" ref="J734:P734" ca="1" si="681">I734*EXP(($C$6-0.5*$C$7^2)*$C$12+$C$7*SQRT($C$12)*NORMINV(RAND(),0,1))</f>
        <v>96.249278476373291</v>
      </c>
      <c r="K734">
        <f t="shared" ca="1" si="681"/>
        <v>95.547427105376585</v>
      </c>
      <c r="L734">
        <f t="shared" ca="1" si="681"/>
        <v>99.530090784137712</v>
      </c>
      <c r="M734">
        <f t="shared" ca="1" si="681"/>
        <v>101.74418405923214</v>
      </c>
      <c r="N734">
        <f t="shared" ca="1" si="681"/>
        <v>91.575994146618356</v>
      </c>
      <c r="O734">
        <f t="shared" ca="1" si="681"/>
        <v>93.783026502214284</v>
      </c>
      <c r="P734">
        <f t="shared" ca="1" si="681"/>
        <v>91.289745852094924</v>
      </c>
      <c r="Q734">
        <f t="shared" ca="1" si="664"/>
        <v>109.56302555932736</v>
      </c>
      <c r="R734">
        <f t="shared" ca="1" si="665"/>
        <v>0</v>
      </c>
      <c r="S734">
        <f t="shared" ca="1" si="666"/>
        <v>0</v>
      </c>
    </row>
    <row r="735" spans="5:19" x14ac:dyDescent="0.75">
      <c r="E735">
        <v>730</v>
      </c>
      <c r="F735">
        <f t="shared" si="662"/>
        <v>100</v>
      </c>
      <c r="G735">
        <f t="shared" ca="1" si="663"/>
        <v>98.37990200982216</v>
      </c>
      <c r="H735">
        <f t="shared" ca="1" si="663"/>
        <v>105.94001789051256</v>
      </c>
      <c r="I735">
        <f t="shared" ca="1" si="663"/>
        <v>105.7032644556072</v>
      </c>
      <c r="J735">
        <f t="shared" ref="J735:P735" ca="1" si="682">I735*EXP(($C$6-0.5*$C$7^2)*$C$12+$C$7*SQRT($C$12)*NORMINV(RAND(),0,1))</f>
        <v>111.9938934351144</v>
      </c>
      <c r="K735">
        <f t="shared" ca="1" si="682"/>
        <v>107.93125301283438</v>
      </c>
      <c r="L735">
        <f t="shared" ca="1" si="682"/>
        <v>105.4598984379741</v>
      </c>
      <c r="M735">
        <f t="shared" ca="1" si="682"/>
        <v>107.19922156863818</v>
      </c>
      <c r="N735">
        <f t="shared" ca="1" si="682"/>
        <v>110.17920151632559</v>
      </c>
      <c r="O735">
        <f t="shared" ca="1" si="682"/>
        <v>106.4622293507957</v>
      </c>
      <c r="P735">
        <f t="shared" ca="1" si="682"/>
        <v>103.16110530227357</v>
      </c>
      <c r="Q735">
        <f t="shared" ca="1" si="664"/>
        <v>111.9938934351144</v>
      </c>
      <c r="R735">
        <f t="shared" ca="1" si="665"/>
        <v>0</v>
      </c>
      <c r="S735">
        <f t="shared" ca="1" si="666"/>
        <v>0</v>
      </c>
    </row>
    <row r="736" spans="5:19" x14ac:dyDescent="0.75">
      <c r="E736">
        <v>731</v>
      </c>
      <c r="F736">
        <f t="shared" si="662"/>
        <v>100</v>
      </c>
      <c r="G736">
        <f t="shared" ca="1" si="663"/>
        <v>97.608372231239755</v>
      </c>
      <c r="H736">
        <f t="shared" ca="1" si="663"/>
        <v>98.249823441875009</v>
      </c>
      <c r="I736">
        <f t="shared" ca="1" si="663"/>
        <v>89.989601116712763</v>
      </c>
      <c r="J736">
        <f t="shared" ref="J736:P736" ca="1" si="683">I736*EXP(($C$6-0.5*$C$7^2)*$C$12+$C$7*SQRT($C$12)*NORMINV(RAND(),0,1))</f>
        <v>86.172196164059272</v>
      </c>
      <c r="K736">
        <f t="shared" ca="1" si="683"/>
        <v>84.836593039406893</v>
      </c>
      <c r="L736">
        <f t="shared" ca="1" si="683"/>
        <v>84.184080537142933</v>
      </c>
      <c r="M736">
        <f t="shared" ca="1" si="683"/>
        <v>90.979539566790748</v>
      </c>
      <c r="N736">
        <f t="shared" ca="1" si="683"/>
        <v>92.649217136788025</v>
      </c>
      <c r="O736">
        <f t="shared" ca="1" si="683"/>
        <v>89.066887302531399</v>
      </c>
      <c r="P736">
        <f t="shared" ca="1" si="683"/>
        <v>87.975475854958574</v>
      </c>
      <c r="Q736">
        <f t="shared" ca="1" si="664"/>
        <v>98.249823441875009</v>
      </c>
      <c r="R736">
        <f t="shared" ca="1" si="665"/>
        <v>0</v>
      </c>
      <c r="S736">
        <f t="shared" ca="1" si="666"/>
        <v>0</v>
      </c>
    </row>
    <row r="737" spans="5:19" x14ac:dyDescent="0.75">
      <c r="E737">
        <v>732</v>
      </c>
      <c r="F737">
        <f t="shared" si="662"/>
        <v>100</v>
      </c>
      <c r="G737">
        <f t="shared" ca="1" si="663"/>
        <v>99.465349655174492</v>
      </c>
      <c r="H737">
        <f t="shared" ca="1" si="663"/>
        <v>101.06403285337234</v>
      </c>
      <c r="I737">
        <f t="shared" ca="1" si="663"/>
        <v>103.69945710886083</v>
      </c>
      <c r="J737">
        <f t="shared" ref="J737:P737" ca="1" si="684">I737*EXP(($C$6-0.5*$C$7^2)*$C$12+$C$7*SQRT($C$12)*NORMINV(RAND(),0,1))</f>
        <v>103.22703614363554</v>
      </c>
      <c r="K737">
        <f t="shared" ca="1" si="684"/>
        <v>96.787735697674407</v>
      </c>
      <c r="L737">
        <f t="shared" ca="1" si="684"/>
        <v>110.71136347156815</v>
      </c>
      <c r="M737">
        <f t="shared" ca="1" si="684"/>
        <v>113.17205628180766</v>
      </c>
      <c r="N737">
        <f t="shared" ca="1" si="684"/>
        <v>116.07728724969589</v>
      </c>
      <c r="O737">
        <f t="shared" ca="1" si="684"/>
        <v>117.85828174424793</v>
      </c>
      <c r="P737">
        <f t="shared" ca="1" si="684"/>
        <v>111.24313015208246</v>
      </c>
      <c r="Q737">
        <f t="shared" ca="1" si="664"/>
        <v>117.85828174424793</v>
      </c>
      <c r="R737">
        <f t="shared" ca="1" si="665"/>
        <v>0</v>
      </c>
      <c r="S737">
        <f t="shared" ca="1" si="666"/>
        <v>0</v>
      </c>
    </row>
    <row r="738" spans="5:19" x14ac:dyDescent="0.75">
      <c r="E738">
        <v>733</v>
      </c>
      <c r="F738">
        <f t="shared" si="662"/>
        <v>100</v>
      </c>
      <c r="G738">
        <f t="shared" ca="1" si="663"/>
        <v>93.893375585952214</v>
      </c>
      <c r="H738">
        <f t="shared" ca="1" si="663"/>
        <v>97.645476575918224</v>
      </c>
      <c r="I738">
        <f t="shared" ca="1" si="663"/>
        <v>96.34305197365812</v>
      </c>
      <c r="J738">
        <f t="shared" ref="J738:P738" ca="1" si="685">I738*EXP(($C$6-0.5*$C$7^2)*$C$12+$C$7*SQRT($C$12)*NORMINV(RAND(),0,1))</f>
        <v>101.6538349275265</v>
      </c>
      <c r="K738">
        <f t="shared" ca="1" si="685"/>
        <v>101.30413105488698</v>
      </c>
      <c r="L738">
        <f t="shared" ca="1" si="685"/>
        <v>102.04819180636098</v>
      </c>
      <c r="M738">
        <f t="shared" ca="1" si="685"/>
        <v>106.41921198491488</v>
      </c>
      <c r="N738">
        <f t="shared" ca="1" si="685"/>
        <v>106.23368634198363</v>
      </c>
      <c r="O738">
        <f t="shared" ca="1" si="685"/>
        <v>103.25158682753214</v>
      </c>
      <c r="P738">
        <f t="shared" ca="1" si="685"/>
        <v>99.846743954896709</v>
      </c>
      <c r="Q738">
        <f t="shared" ca="1" si="664"/>
        <v>106.41921198491488</v>
      </c>
      <c r="R738">
        <f t="shared" ca="1" si="665"/>
        <v>0</v>
      </c>
      <c r="S738">
        <f t="shared" ca="1" si="666"/>
        <v>0</v>
      </c>
    </row>
    <row r="739" spans="5:19" x14ac:dyDescent="0.75">
      <c r="E739">
        <v>734</v>
      </c>
      <c r="F739">
        <f t="shared" si="662"/>
        <v>100</v>
      </c>
      <c r="G739">
        <f t="shared" ca="1" si="663"/>
        <v>109.55804853649886</v>
      </c>
      <c r="H739">
        <f t="shared" ca="1" si="663"/>
        <v>103.00531392520166</v>
      </c>
      <c r="I739">
        <f t="shared" ca="1" si="663"/>
        <v>97.455325889716732</v>
      </c>
      <c r="J739">
        <f t="shared" ref="J739:P739" ca="1" si="686">I739*EXP(($C$6-0.5*$C$7^2)*$C$12+$C$7*SQRT($C$12)*NORMINV(RAND(),0,1))</f>
        <v>98.690879608844668</v>
      </c>
      <c r="K739">
        <f t="shared" ca="1" si="686"/>
        <v>96.984746483021382</v>
      </c>
      <c r="L739">
        <f t="shared" ca="1" si="686"/>
        <v>98.88523735917029</v>
      </c>
      <c r="M739">
        <f t="shared" ca="1" si="686"/>
        <v>94.37240802295446</v>
      </c>
      <c r="N739">
        <f t="shared" ca="1" si="686"/>
        <v>97.63235852862374</v>
      </c>
      <c r="O739">
        <f t="shared" ca="1" si="686"/>
        <v>96.310218530505693</v>
      </c>
      <c r="P739">
        <f t="shared" ca="1" si="686"/>
        <v>94.14577314289285</v>
      </c>
      <c r="Q739">
        <f t="shared" ca="1" si="664"/>
        <v>109.55804853649886</v>
      </c>
      <c r="R739">
        <f t="shared" ca="1" si="665"/>
        <v>0</v>
      </c>
      <c r="S739">
        <f t="shared" ca="1" si="666"/>
        <v>0</v>
      </c>
    </row>
    <row r="740" spans="5:19" x14ac:dyDescent="0.75">
      <c r="E740">
        <v>735</v>
      </c>
      <c r="F740">
        <f t="shared" si="662"/>
        <v>100</v>
      </c>
      <c r="G740">
        <f t="shared" ca="1" si="663"/>
        <v>93.231016967939269</v>
      </c>
      <c r="H740">
        <f t="shared" ca="1" si="663"/>
        <v>89.179226422742076</v>
      </c>
      <c r="I740">
        <f t="shared" ca="1" si="663"/>
        <v>95.779518897255315</v>
      </c>
      <c r="J740">
        <f t="shared" ref="J740:P740" ca="1" si="687">I740*EXP(($C$6-0.5*$C$7^2)*$C$12+$C$7*SQRT($C$12)*NORMINV(RAND(),0,1))</f>
        <v>96.943629089128578</v>
      </c>
      <c r="K740">
        <f t="shared" ca="1" si="687"/>
        <v>98.88358692654721</v>
      </c>
      <c r="L740">
        <f t="shared" ca="1" si="687"/>
        <v>98.163233576390354</v>
      </c>
      <c r="M740">
        <f t="shared" ca="1" si="687"/>
        <v>99.977772749238213</v>
      </c>
      <c r="N740">
        <f t="shared" ca="1" si="687"/>
        <v>100.66065027089843</v>
      </c>
      <c r="O740">
        <f t="shared" ca="1" si="687"/>
        <v>103.86848334567549</v>
      </c>
      <c r="P740">
        <f t="shared" ca="1" si="687"/>
        <v>112.1086487930297</v>
      </c>
      <c r="Q740">
        <f t="shared" ca="1" si="664"/>
        <v>112.1086487930297</v>
      </c>
      <c r="R740">
        <f t="shared" ca="1" si="665"/>
        <v>0</v>
      </c>
      <c r="S740">
        <f t="shared" ca="1" si="666"/>
        <v>0</v>
      </c>
    </row>
    <row r="741" spans="5:19" x14ac:dyDescent="0.75">
      <c r="E741">
        <v>736</v>
      </c>
      <c r="F741">
        <f t="shared" si="662"/>
        <v>100</v>
      </c>
      <c r="G741">
        <f t="shared" ca="1" si="663"/>
        <v>104.37098448290962</v>
      </c>
      <c r="H741">
        <f t="shared" ca="1" si="663"/>
        <v>104.7727902573881</v>
      </c>
      <c r="I741">
        <f t="shared" ca="1" si="663"/>
        <v>100.33354603102825</v>
      </c>
      <c r="J741">
        <f t="shared" ref="J741:P741" ca="1" si="688">I741*EXP(($C$6-0.5*$C$7^2)*$C$12+$C$7*SQRT($C$12)*NORMINV(RAND(),0,1))</f>
        <v>102.94058775991735</v>
      </c>
      <c r="K741">
        <f t="shared" ca="1" si="688"/>
        <v>109.42671830316966</v>
      </c>
      <c r="L741">
        <f t="shared" ca="1" si="688"/>
        <v>106.1727064497375</v>
      </c>
      <c r="M741">
        <f t="shared" ca="1" si="688"/>
        <v>104.47045714268172</v>
      </c>
      <c r="N741">
        <f t="shared" ca="1" si="688"/>
        <v>96.213965304977876</v>
      </c>
      <c r="O741">
        <f t="shared" ca="1" si="688"/>
        <v>97.098493551310568</v>
      </c>
      <c r="P741">
        <f t="shared" ca="1" si="688"/>
        <v>96.032190810545828</v>
      </c>
      <c r="Q741">
        <f t="shared" ca="1" si="664"/>
        <v>109.42671830316966</v>
      </c>
      <c r="R741">
        <f t="shared" ca="1" si="665"/>
        <v>0</v>
      </c>
      <c r="S741">
        <f t="shared" ca="1" si="666"/>
        <v>0</v>
      </c>
    </row>
    <row r="742" spans="5:19" x14ac:dyDescent="0.75">
      <c r="E742">
        <v>737</v>
      </c>
      <c r="F742">
        <f t="shared" si="662"/>
        <v>100</v>
      </c>
      <c r="G742">
        <f t="shared" ca="1" si="663"/>
        <v>96.00083965748766</v>
      </c>
      <c r="H742">
        <f t="shared" ca="1" si="663"/>
        <v>94.882104920161865</v>
      </c>
      <c r="I742">
        <f t="shared" ca="1" si="663"/>
        <v>92.9430221133873</v>
      </c>
      <c r="J742">
        <f t="shared" ref="J742:P742" ca="1" si="689">I742*EXP(($C$6-0.5*$C$7^2)*$C$12+$C$7*SQRT($C$12)*NORMINV(RAND(),0,1))</f>
        <v>95.342299719204689</v>
      </c>
      <c r="K742">
        <f t="shared" ca="1" si="689"/>
        <v>100.90670235297691</v>
      </c>
      <c r="L742">
        <f t="shared" ca="1" si="689"/>
        <v>111.5145790579536</v>
      </c>
      <c r="M742">
        <f t="shared" ca="1" si="689"/>
        <v>114.81335558665572</v>
      </c>
      <c r="N742">
        <f t="shared" ca="1" si="689"/>
        <v>110.22744303444237</v>
      </c>
      <c r="O742">
        <f t="shared" ca="1" si="689"/>
        <v>114.23023558169406</v>
      </c>
      <c r="P742">
        <f t="shared" ca="1" si="689"/>
        <v>105.77061599360702</v>
      </c>
      <c r="Q742">
        <f t="shared" ca="1" si="664"/>
        <v>114.81335558665572</v>
      </c>
      <c r="R742">
        <f t="shared" ca="1" si="665"/>
        <v>0</v>
      </c>
      <c r="S742">
        <f t="shared" ca="1" si="666"/>
        <v>0</v>
      </c>
    </row>
    <row r="743" spans="5:19" x14ac:dyDescent="0.75">
      <c r="E743">
        <v>738</v>
      </c>
      <c r="F743">
        <f t="shared" si="662"/>
        <v>100</v>
      </c>
      <c r="G743">
        <f t="shared" ca="1" si="663"/>
        <v>104.85614130360455</v>
      </c>
      <c r="H743">
        <f t="shared" ca="1" si="663"/>
        <v>106.49727350508168</v>
      </c>
      <c r="I743">
        <f t="shared" ca="1" si="663"/>
        <v>104.00960914874754</v>
      </c>
      <c r="J743">
        <f t="shared" ref="J743:P743" ca="1" si="690">I743*EXP(($C$6-0.5*$C$7^2)*$C$12+$C$7*SQRT($C$12)*NORMINV(RAND(),0,1))</f>
        <v>102.23092439076213</v>
      </c>
      <c r="K743">
        <f t="shared" ca="1" si="690"/>
        <v>96.682803845438457</v>
      </c>
      <c r="L743">
        <f t="shared" ca="1" si="690"/>
        <v>95.656553464773353</v>
      </c>
      <c r="M743">
        <f t="shared" ca="1" si="690"/>
        <v>89.218559376360247</v>
      </c>
      <c r="N743">
        <f t="shared" ca="1" si="690"/>
        <v>82.523287067860537</v>
      </c>
      <c r="O743">
        <f t="shared" ca="1" si="690"/>
        <v>77.563033275513391</v>
      </c>
      <c r="P743">
        <f t="shared" ca="1" si="690"/>
        <v>75.489232341827915</v>
      </c>
      <c r="Q743">
        <f t="shared" ca="1" si="664"/>
        <v>106.49727350508168</v>
      </c>
      <c r="R743">
        <f t="shared" ca="1" si="665"/>
        <v>0</v>
      </c>
      <c r="S743">
        <f t="shared" ca="1" si="666"/>
        <v>0</v>
      </c>
    </row>
    <row r="744" spans="5:19" x14ac:dyDescent="0.75">
      <c r="E744">
        <v>739</v>
      </c>
      <c r="F744">
        <f t="shared" si="662"/>
        <v>100</v>
      </c>
      <c r="G744">
        <f t="shared" ca="1" si="663"/>
        <v>97.552981714177051</v>
      </c>
      <c r="H744">
        <f t="shared" ca="1" si="663"/>
        <v>95.194902246039632</v>
      </c>
      <c r="I744">
        <f t="shared" ca="1" si="663"/>
        <v>98.819865015741001</v>
      </c>
      <c r="J744">
        <f t="shared" ref="J744:P744" ca="1" si="691">I744*EXP(($C$6-0.5*$C$7^2)*$C$12+$C$7*SQRT($C$12)*NORMINV(RAND(),0,1))</f>
        <v>101.21768822039672</v>
      </c>
      <c r="K744">
        <f t="shared" ca="1" si="691"/>
        <v>105.20687485136349</v>
      </c>
      <c r="L744">
        <f t="shared" ca="1" si="691"/>
        <v>110.08546143738484</v>
      </c>
      <c r="M744">
        <f t="shared" ca="1" si="691"/>
        <v>108.72791455673287</v>
      </c>
      <c r="N744">
        <f t="shared" ca="1" si="691"/>
        <v>104.64920451914266</v>
      </c>
      <c r="O744">
        <f t="shared" ca="1" si="691"/>
        <v>102.96332400390783</v>
      </c>
      <c r="P744">
        <f t="shared" ca="1" si="691"/>
        <v>97.885969362361919</v>
      </c>
      <c r="Q744">
        <f t="shared" ca="1" si="664"/>
        <v>110.08546143738484</v>
      </c>
      <c r="R744">
        <f t="shared" ca="1" si="665"/>
        <v>0</v>
      </c>
      <c r="S744">
        <f t="shared" ca="1" si="666"/>
        <v>0</v>
      </c>
    </row>
    <row r="745" spans="5:19" x14ac:dyDescent="0.75">
      <c r="E745">
        <v>740</v>
      </c>
      <c r="F745">
        <f t="shared" si="662"/>
        <v>100</v>
      </c>
      <c r="G745">
        <f t="shared" ca="1" si="663"/>
        <v>97.09806853785652</v>
      </c>
      <c r="H745">
        <f t="shared" ca="1" si="663"/>
        <v>103.20584628413631</v>
      </c>
      <c r="I745">
        <f t="shared" ca="1" si="663"/>
        <v>99.128578925403644</v>
      </c>
      <c r="J745">
        <f t="shared" ref="J745:P745" ca="1" si="692">I745*EXP(($C$6-0.5*$C$7^2)*$C$12+$C$7*SQRT($C$12)*NORMINV(RAND(),0,1))</f>
        <v>97.257709676121834</v>
      </c>
      <c r="K745">
        <f t="shared" ca="1" si="692"/>
        <v>99.891319285081792</v>
      </c>
      <c r="L745">
        <f t="shared" ca="1" si="692"/>
        <v>99.257148156625917</v>
      </c>
      <c r="M745">
        <f t="shared" ca="1" si="692"/>
        <v>101.09541611569432</v>
      </c>
      <c r="N745">
        <f t="shared" ca="1" si="692"/>
        <v>102.8721989801444</v>
      </c>
      <c r="O745">
        <f t="shared" ca="1" si="692"/>
        <v>101.79696135766984</v>
      </c>
      <c r="P745">
        <f t="shared" ca="1" si="692"/>
        <v>104.05221059112243</v>
      </c>
      <c r="Q745">
        <f t="shared" ca="1" si="664"/>
        <v>104.05221059112243</v>
      </c>
      <c r="R745">
        <f t="shared" ca="1" si="665"/>
        <v>2.0522105911224315</v>
      </c>
      <c r="S745">
        <f t="shared" ca="1" si="666"/>
        <v>2.0015413310912313</v>
      </c>
    </row>
    <row r="746" spans="5:19" x14ac:dyDescent="0.75">
      <c r="E746">
        <v>741</v>
      </c>
      <c r="F746">
        <f t="shared" si="662"/>
        <v>100</v>
      </c>
      <c r="G746">
        <f t="shared" ca="1" si="663"/>
        <v>97.24188117933312</v>
      </c>
      <c r="H746">
        <f t="shared" ca="1" si="663"/>
        <v>92.779101047141623</v>
      </c>
      <c r="I746">
        <f t="shared" ca="1" si="663"/>
        <v>95.587585205792564</v>
      </c>
      <c r="J746">
        <f t="shared" ref="J746:P746" ca="1" si="693">I746*EXP(($C$6-0.5*$C$7^2)*$C$12+$C$7*SQRT($C$12)*NORMINV(RAND(),0,1))</f>
        <v>90.519736131782707</v>
      </c>
      <c r="K746">
        <f t="shared" ca="1" si="693"/>
        <v>91.565478911576278</v>
      </c>
      <c r="L746">
        <f t="shared" ca="1" si="693"/>
        <v>91.686376919931362</v>
      </c>
      <c r="M746">
        <f t="shared" ca="1" si="693"/>
        <v>93.053922464501866</v>
      </c>
      <c r="N746">
        <f t="shared" ca="1" si="693"/>
        <v>103.26626004290169</v>
      </c>
      <c r="O746">
        <f t="shared" ca="1" si="693"/>
        <v>100.72460556942616</v>
      </c>
      <c r="P746">
        <f t="shared" ca="1" si="693"/>
        <v>99.929756769774912</v>
      </c>
      <c r="Q746">
        <f t="shared" ca="1" si="664"/>
        <v>103.26626004290169</v>
      </c>
      <c r="R746">
        <f t="shared" ca="1" si="665"/>
        <v>0</v>
      </c>
      <c r="S746">
        <f t="shared" ca="1" si="666"/>
        <v>0</v>
      </c>
    </row>
    <row r="747" spans="5:19" x14ac:dyDescent="0.75">
      <c r="E747">
        <v>742</v>
      </c>
      <c r="F747">
        <f t="shared" si="662"/>
        <v>100</v>
      </c>
      <c r="G747">
        <f t="shared" ca="1" si="663"/>
        <v>105.56321626368978</v>
      </c>
      <c r="H747">
        <f t="shared" ca="1" si="663"/>
        <v>111.39720584032864</v>
      </c>
      <c r="I747">
        <f t="shared" ca="1" si="663"/>
        <v>111.12821045842948</v>
      </c>
      <c r="J747">
        <f t="shared" ref="J747:P747" ca="1" si="694">I747*EXP(($C$6-0.5*$C$7^2)*$C$12+$C$7*SQRT($C$12)*NORMINV(RAND(),0,1))</f>
        <v>115.0830230394718</v>
      </c>
      <c r="K747">
        <f t="shared" ca="1" si="694"/>
        <v>113.67184033814803</v>
      </c>
      <c r="L747">
        <f t="shared" ca="1" si="694"/>
        <v>114.87137400458576</v>
      </c>
      <c r="M747">
        <f t="shared" ca="1" si="694"/>
        <v>110.19241071610431</v>
      </c>
      <c r="N747">
        <f t="shared" ca="1" si="694"/>
        <v>114.14680887706677</v>
      </c>
      <c r="O747">
        <f t="shared" ca="1" si="694"/>
        <v>117.26613562637939</v>
      </c>
      <c r="P747">
        <f t="shared" ca="1" si="694"/>
        <v>119.47618216265312</v>
      </c>
      <c r="Q747">
        <f t="shared" ca="1" si="664"/>
        <v>119.47618216265312</v>
      </c>
      <c r="R747">
        <f t="shared" ca="1" si="665"/>
        <v>0</v>
      </c>
      <c r="S747">
        <f t="shared" ca="1" si="666"/>
        <v>0</v>
      </c>
    </row>
    <row r="748" spans="5:19" x14ac:dyDescent="0.75">
      <c r="E748">
        <v>743</v>
      </c>
      <c r="F748">
        <f t="shared" si="662"/>
        <v>100</v>
      </c>
      <c r="G748">
        <f t="shared" ca="1" si="663"/>
        <v>103.02662342869053</v>
      </c>
      <c r="H748">
        <f t="shared" ca="1" si="663"/>
        <v>96.52092854385667</v>
      </c>
      <c r="I748">
        <f t="shared" ca="1" si="663"/>
        <v>94.79559235287239</v>
      </c>
      <c r="J748">
        <f t="shared" ref="J748:P748" ca="1" si="695">I748*EXP(($C$6-0.5*$C$7^2)*$C$12+$C$7*SQRT($C$12)*NORMINV(RAND(),0,1))</f>
        <v>88.897093315969784</v>
      </c>
      <c r="K748">
        <f t="shared" ca="1" si="695"/>
        <v>96.125553459391398</v>
      </c>
      <c r="L748">
        <f t="shared" ca="1" si="695"/>
        <v>95.370022722004464</v>
      </c>
      <c r="M748">
        <f t="shared" ca="1" si="695"/>
        <v>99.476916746627424</v>
      </c>
      <c r="N748">
        <f t="shared" ca="1" si="695"/>
        <v>102.9041518888889</v>
      </c>
      <c r="O748">
        <f t="shared" ca="1" si="695"/>
        <v>105.30914991464653</v>
      </c>
      <c r="P748">
        <f t="shared" ca="1" si="695"/>
        <v>108.67264279681541</v>
      </c>
      <c r="Q748">
        <f t="shared" ca="1" si="664"/>
        <v>108.67264279681541</v>
      </c>
      <c r="R748">
        <f t="shared" ca="1" si="665"/>
        <v>6.6726427968154098</v>
      </c>
      <c r="S748">
        <f t="shared" ca="1" si="666"/>
        <v>6.5078946591585245</v>
      </c>
    </row>
    <row r="749" spans="5:19" x14ac:dyDescent="0.75">
      <c r="E749">
        <v>744</v>
      </c>
      <c r="F749">
        <f t="shared" si="662"/>
        <v>100</v>
      </c>
      <c r="G749">
        <f t="shared" ca="1" si="663"/>
        <v>101.2986560665552</v>
      </c>
      <c r="H749">
        <f t="shared" ca="1" si="663"/>
        <v>105.07736113170833</v>
      </c>
      <c r="I749">
        <f t="shared" ca="1" si="663"/>
        <v>96.671848223125011</v>
      </c>
      <c r="J749">
        <f t="shared" ref="J749:P749" ca="1" si="696">I749*EXP(($C$6-0.5*$C$7^2)*$C$12+$C$7*SQRT($C$12)*NORMINV(RAND(),0,1))</f>
        <v>92.589718711304656</v>
      </c>
      <c r="K749">
        <f t="shared" ca="1" si="696"/>
        <v>92.789674287913371</v>
      </c>
      <c r="L749">
        <f t="shared" ca="1" si="696"/>
        <v>96.291678687829616</v>
      </c>
      <c r="M749">
        <f t="shared" ca="1" si="696"/>
        <v>97.413795053855381</v>
      </c>
      <c r="N749">
        <f t="shared" ca="1" si="696"/>
        <v>92.20508991671845</v>
      </c>
      <c r="O749">
        <f t="shared" ca="1" si="696"/>
        <v>98.433678306651686</v>
      </c>
      <c r="P749">
        <f t="shared" ca="1" si="696"/>
        <v>94.771768439487374</v>
      </c>
      <c r="Q749">
        <f t="shared" ca="1" si="664"/>
        <v>105.07736113170833</v>
      </c>
      <c r="R749">
        <f t="shared" ca="1" si="665"/>
        <v>0</v>
      </c>
      <c r="S749">
        <f t="shared" ca="1" si="666"/>
        <v>0</v>
      </c>
    </row>
    <row r="750" spans="5:19" x14ac:dyDescent="0.75">
      <c r="E750">
        <v>745</v>
      </c>
      <c r="F750">
        <f t="shared" si="662"/>
        <v>100</v>
      </c>
      <c r="G750">
        <f t="shared" ca="1" si="663"/>
        <v>98.244463980563097</v>
      </c>
      <c r="H750">
        <f t="shared" ca="1" si="663"/>
        <v>103.45924220103934</v>
      </c>
      <c r="I750">
        <f t="shared" ca="1" si="663"/>
        <v>100.83763852901026</v>
      </c>
      <c r="J750">
        <f t="shared" ref="J750:P750" ca="1" si="697">I750*EXP(($C$6-0.5*$C$7^2)*$C$12+$C$7*SQRT($C$12)*NORMINV(RAND(),0,1))</f>
        <v>101.90720557110299</v>
      </c>
      <c r="K750">
        <f t="shared" ca="1" si="697"/>
        <v>103.12618727712712</v>
      </c>
      <c r="L750">
        <f t="shared" ca="1" si="697"/>
        <v>104.01047568994917</v>
      </c>
      <c r="M750">
        <f t="shared" ca="1" si="697"/>
        <v>101.86887115588306</v>
      </c>
      <c r="N750">
        <f t="shared" ca="1" si="697"/>
        <v>95.216388720047675</v>
      </c>
      <c r="O750">
        <f t="shared" ca="1" si="697"/>
        <v>101.37397716181192</v>
      </c>
      <c r="P750">
        <f t="shared" ca="1" si="697"/>
        <v>102.00775950565645</v>
      </c>
      <c r="Q750">
        <f t="shared" ca="1" si="664"/>
        <v>104.01047568994917</v>
      </c>
      <c r="R750">
        <f t="shared" ca="1" si="665"/>
        <v>7.7595056564518927E-3</v>
      </c>
      <c r="S750">
        <f t="shared" ca="1" si="666"/>
        <v>7.5679227791774452E-3</v>
      </c>
    </row>
    <row r="751" spans="5:19" x14ac:dyDescent="0.75">
      <c r="E751">
        <v>746</v>
      </c>
      <c r="F751">
        <f t="shared" si="662"/>
        <v>100</v>
      </c>
      <c r="G751">
        <f t="shared" ca="1" si="663"/>
        <v>99.347196601815398</v>
      </c>
      <c r="H751">
        <f t="shared" ca="1" si="663"/>
        <v>104.99334992103603</v>
      </c>
      <c r="I751">
        <f t="shared" ca="1" si="663"/>
        <v>110.29721481377258</v>
      </c>
      <c r="J751">
        <f t="shared" ref="J751:P751" ca="1" si="698">I751*EXP(($C$6-0.5*$C$7^2)*$C$12+$C$7*SQRT($C$12)*NORMINV(RAND(),0,1))</f>
        <v>109.4236673772034</v>
      </c>
      <c r="K751">
        <f t="shared" ca="1" si="698"/>
        <v>113.85264048710562</v>
      </c>
      <c r="L751">
        <f t="shared" ca="1" si="698"/>
        <v>118.66492935866076</v>
      </c>
      <c r="M751">
        <f t="shared" ca="1" si="698"/>
        <v>119.04976357485452</v>
      </c>
      <c r="N751">
        <f t="shared" ca="1" si="698"/>
        <v>123.26297121709445</v>
      </c>
      <c r="O751">
        <f t="shared" ca="1" si="698"/>
        <v>111.83490017848689</v>
      </c>
      <c r="P751">
        <f t="shared" ca="1" si="698"/>
        <v>113.58712269409632</v>
      </c>
      <c r="Q751">
        <f t="shared" ca="1" si="664"/>
        <v>123.26297121709445</v>
      </c>
      <c r="R751">
        <f t="shared" ca="1" si="665"/>
        <v>0</v>
      </c>
      <c r="S751">
        <f t="shared" ca="1" si="666"/>
        <v>0</v>
      </c>
    </row>
    <row r="752" spans="5:19" x14ac:dyDescent="0.75">
      <c r="E752">
        <v>747</v>
      </c>
      <c r="F752">
        <f t="shared" si="662"/>
        <v>100</v>
      </c>
      <c r="G752">
        <f t="shared" ca="1" si="663"/>
        <v>97.930927547573916</v>
      </c>
      <c r="H752">
        <f t="shared" ca="1" si="663"/>
        <v>111.14572359859189</v>
      </c>
      <c r="I752">
        <f t="shared" ca="1" si="663"/>
        <v>122.82607060843051</v>
      </c>
      <c r="J752">
        <f t="shared" ref="J752:P752" ca="1" si="699">I752*EXP(($C$6-0.5*$C$7^2)*$C$12+$C$7*SQRT($C$12)*NORMINV(RAND(),0,1))</f>
        <v>126.49734758587978</v>
      </c>
      <c r="K752">
        <f t="shared" ca="1" si="699"/>
        <v>133.69839550730367</v>
      </c>
      <c r="L752">
        <f t="shared" ca="1" si="699"/>
        <v>135.65774117430706</v>
      </c>
      <c r="M752">
        <f t="shared" ca="1" si="699"/>
        <v>137.62876965777818</v>
      </c>
      <c r="N752">
        <f t="shared" ca="1" si="699"/>
        <v>134.11240888324744</v>
      </c>
      <c r="O752">
        <f t="shared" ca="1" si="699"/>
        <v>140.10304794045487</v>
      </c>
      <c r="P752">
        <f t="shared" ca="1" si="699"/>
        <v>151.70009477493045</v>
      </c>
      <c r="Q752">
        <f t="shared" ca="1" si="664"/>
        <v>151.70009477493045</v>
      </c>
      <c r="R752">
        <f t="shared" ca="1" si="665"/>
        <v>0</v>
      </c>
      <c r="S752">
        <f t="shared" ca="1" si="666"/>
        <v>0</v>
      </c>
    </row>
    <row r="753" spans="5:19" x14ac:dyDescent="0.75">
      <c r="E753">
        <v>748</v>
      </c>
      <c r="F753">
        <f t="shared" si="662"/>
        <v>100</v>
      </c>
      <c r="G753">
        <f t="shared" ca="1" si="663"/>
        <v>99.659725393968401</v>
      </c>
      <c r="H753">
        <f t="shared" ca="1" si="663"/>
        <v>93.483443929066013</v>
      </c>
      <c r="I753">
        <f t="shared" ca="1" si="663"/>
        <v>89.134994311915165</v>
      </c>
      <c r="J753">
        <f t="shared" ref="J753:P753" ca="1" si="700">I753*EXP(($C$6-0.5*$C$7^2)*$C$12+$C$7*SQRT($C$12)*NORMINV(RAND(),0,1))</f>
        <v>83.404727811205362</v>
      </c>
      <c r="K753">
        <f t="shared" ca="1" si="700"/>
        <v>89.69984142005076</v>
      </c>
      <c r="L753">
        <f t="shared" ca="1" si="700"/>
        <v>93.329247074555767</v>
      </c>
      <c r="M753">
        <f t="shared" ca="1" si="700"/>
        <v>98.222249242654016</v>
      </c>
      <c r="N753">
        <f t="shared" ca="1" si="700"/>
        <v>101.95081977145149</v>
      </c>
      <c r="O753">
        <f t="shared" ca="1" si="700"/>
        <v>95.92824274174356</v>
      </c>
      <c r="P753">
        <f t="shared" ca="1" si="700"/>
        <v>91.09260373259859</v>
      </c>
      <c r="Q753">
        <f t="shared" ca="1" si="664"/>
        <v>101.95081977145149</v>
      </c>
      <c r="R753">
        <f t="shared" ca="1" si="665"/>
        <v>0</v>
      </c>
      <c r="S753">
        <f t="shared" ca="1" si="666"/>
        <v>0</v>
      </c>
    </row>
    <row r="754" spans="5:19" x14ac:dyDescent="0.75">
      <c r="E754">
        <v>749</v>
      </c>
      <c r="F754">
        <f t="shared" si="662"/>
        <v>100</v>
      </c>
      <c r="G754">
        <f t="shared" ca="1" si="663"/>
        <v>100.71599846734551</v>
      </c>
      <c r="H754">
        <f t="shared" ca="1" si="663"/>
        <v>97.81129156061705</v>
      </c>
      <c r="I754">
        <f t="shared" ca="1" si="663"/>
        <v>93.355202560192211</v>
      </c>
      <c r="J754">
        <f t="shared" ref="J754:P754" ca="1" si="701">I754*EXP(($C$6-0.5*$C$7^2)*$C$12+$C$7*SQRT($C$12)*NORMINV(RAND(),0,1))</f>
        <v>100.47011033728286</v>
      </c>
      <c r="K754">
        <f t="shared" ca="1" si="701"/>
        <v>97.396738248976334</v>
      </c>
      <c r="L754">
        <f t="shared" ca="1" si="701"/>
        <v>90.060625963275626</v>
      </c>
      <c r="M754">
        <f t="shared" ca="1" si="701"/>
        <v>82.739436337182141</v>
      </c>
      <c r="N754">
        <f t="shared" ca="1" si="701"/>
        <v>88.665336264991353</v>
      </c>
      <c r="O754">
        <f t="shared" ca="1" si="701"/>
        <v>91.742297040802072</v>
      </c>
      <c r="P754">
        <f t="shared" ca="1" si="701"/>
        <v>90.065088329865631</v>
      </c>
      <c r="Q754">
        <f t="shared" ca="1" si="664"/>
        <v>100.71599846734551</v>
      </c>
      <c r="R754">
        <f t="shared" ca="1" si="665"/>
        <v>0</v>
      </c>
      <c r="S754">
        <f t="shared" ca="1" si="666"/>
        <v>0</v>
      </c>
    </row>
    <row r="755" spans="5:19" x14ac:dyDescent="0.75">
      <c r="E755">
        <v>750</v>
      </c>
      <c r="F755">
        <f t="shared" si="662"/>
        <v>100</v>
      </c>
      <c r="G755">
        <f t="shared" ca="1" si="663"/>
        <v>100.32149176003031</v>
      </c>
      <c r="H755">
        <f t="shared" ca="1" si="663"/>
        <v>103.5028656122951</v>
      </c>
      <c r="I755">
        <f t="shared" ca="1" si="663"/>
        <v>103.69613319382523</v>
      </c>
      <c r="J755">
        <f t="shared" ref="J755:P755" ca="1" si="702">I755*EXP(($C$6-0.5*$C$7^2)*$C$12+$C$7*SQRT($C$12)*NORMINV(RAND(),0,1))</f>
        <v>103.20351712437737</v>
      </c>
      <c r="K755">
        <f t="shared" ca="1" si="702"/>
        <v>102.68760711548954</v>
      </c>
      <c r="L755">
        <f t="shared" ca="1" si="702"/>
        <v>104.71425760271791</v>
      </c>
      <c r="M755">
        <f t="shared" ca="1" si="702"/>
        <v>107.79682532257726</v>
      </c>
      <c r="N755">
        <f t="shared" ca="1" si="702"/>
        <v>109.1676750772172</v>
      </c>
      <c r="O755">
        <f t="shared" ca="1" si="702"/>
        <v>106.77488954101976</v>
      </c>
      <c r="P755">
        <f t="shared" ca="1" si="702"/>
        <v>113.62175227186603</v>
      </c>
      <c r="Q755">
        <f t="shared" ca="1" si="664"/>
        <v>113.62175227186603</v>
      </c>
      <c r="R755">
        <f t="shared" ca="1" si="665"/>
        <v>0</v>
      </c>
      <c r="S755">
        <f t="shared" ca="1" si="666"/>
        <v>0</v>
      </c>
    </row>
    <row r="756" spans="5:19" x14ac:dyDescent="0.75">
      <c r="E756">
        <v>751</v>
      </c>
      <c r="F756">
        <f t="shared" si="662"/>
        <v>100</v>
      </c>
      <c r="G756">
        <f t="shared" ca="1" si="663"/>
        <v>99.189257899081838</v>
      </c>
      <c r="H756">
        <f t="shared" ca="1" si="663"/>
        <v>92.843663482764597</v>
      </c>
      <c r="I756">
        <f t="shared" ca="1" si="663"/>
        <v>96.062609525361879</v>
      </c>
      <c r="J756">
        <f t="shared" ref="J756:P756" ca="1" si="703">I756*EXP(($C$6-0.5*$C$7^2)*$C$12+$C$7*SQRT($C$12)*NORMINV(RAND(),0,1))</f>
        <v>102.75970809377343</v>
      </c>
      <c r="K756">
        <f t="shared" ca="1" si="703"/>
        <v>105.52955104943022</v>
      </c>
      <c r="L756">
        <f t="shared" ca="1" si="703"/>
        <v>109.58665239460376</v>
      </c>
      <c r="M756">
        <f t="shared" ca="1" si="703"/>
        <v>111.94548591423825</v>
      </c>
      <c r="N756">
        <f t="shared" ca="1" si="703"/>
        <v>114.49790724026434</v>
      </c>
      <c r="O756">
        <f t="shared" ca="1" si="703"/>
        <v>117.35006843018094</v>
      </c>
      <c r="P756">
        <f t="shared" ca="1" si="703"/>
        <v>113.98249713022152</v>
      </c>
      <c r="Q756">
        <f t="shared" ca="1" si="664"/>
        <v>117.35006843018094</v>
      </c>
      <c r="R756">
        <f t="shared" ca="1" si="665"/>
        <v>0</v>
      </c>
      <c r="S756">
        <f t="shared" ca="1" si="666"/>
        <v>0</v>
      </c>
    </row>
    <row r="757" spans="5:19" x14ac:dyDescent="0.75">
      <c r="E757">
        <v>752</v>
      </c>
      <c r="F757">
        <f t="shared" si="662"/>
        <v>100</v>
      </c>
      <c r="G757">
        <f t="shared" ca="1" si="663"/>
        <v>107.17866621320178</v>
      </c>
      <c r="H757">
        <f t="shared" ca="1" si="663"/>
        <v>98.908861632397262</v>
      </c>
      <c r="I757">
        <f t="shared" ca="1" si="663"/>
        <v>108.60683311843411</v>
      </c>
      <c r="J757">
        <f t="shared" ref="J757:P757" ca="1" si="704">I757*EXP(($C$6-0.5*$C$7^2)*$C$12+$C$7*SQRT($C$12)*NORMINV(RAND(),0,1))</f>
        <v>105.57974026761885</v>
      </c>
      <c r="K757">
        <f t="shared" ca="1" si="704"/>
        <v>109.92430101729285</v>
      </c>
      <c r="L757">
        <f t="shared" ca="1" si="704"/>
        <v>99.573740160476831</v>
      </c>
      <c r="M757">
        <f t="shared" ca="1" si="704"/>
        <v>106.10052502258699</v>
      </c>
      <c r="N757">
        <f t="shared" ca="1" si="704"/>
        <v>112.62488119699066</v>
      </c>
      <c r="O757">
        <f t="shared" ca="1" si="704"/>
        <v>115.11451889723331</v>
      </c>
      <c r="P757">
        <f t="shared" ca="1" si="704"/>
        <v>114.05024204958207</v>
      </c>
      <c r="Q757">
        <f t="shared" ca="1" si="664"/>
        <v>115.11451889723331</v>
      </c>
      <c r="R757">
        <f t="shared" ca="1" si="665"/>
        <v>0</v>
      </c>
      <c r="S757">
        <f t="shared" ca="1" si="666"/>
        <v>0</v>
      </c>
    </row>
    <row r="758" spans="5:19" x14ac:dyDescent="0.75">
      <c r="E758">
        <v>753</v>
      </c>
      <c r="F758">
        <f t="shared" si="662"/>
        <v>100</v>
      </c>
      <c r="G758">
        <f t="shared" ca="1" si="663"/>
        <v>101.00068822951791</v>
      </c>
      <c r="H758">
        <f t="shared" ca="1" si="663"/>
        <v>94.902947458952156</v>
      </c>
      <c r="I758">
        <f t="shared" ca="1" si="663"/>
        <v>94.928612888179046</v>
      </c>
      <c r="J758">
        <f t="shared" ref="J758:P758" ca="1" si="705">I758*EXP(($C$6-0.5*$C$7^2)*$C$12+$C$7*SQRT($C$12)*NORMINV(RAND(),0,1))</f>
        <v>96.870613403316781</v>
      </c>
      <c r="K758">
        <f t="shared" ca="1" si="705"/>
        <v>93.186612118354319</v>
      </c>
      <c r="L758">
        <f t="shared" ca="1" si="705"/>
        <v>88.118491664621104</v>
      </c>
      <c r="M758">
        <f t="shared" ca="1" si="705"/>
        <v>90.313027003411023</v>
      </c>
      <c r="N758">
        <f t="shared" ca="1" si="705"/>
        <v>89.118342781385735</v>
      </c>
      <c r="O758">
        <f t="shared" ca="1" si="705"/>
        <v>80.337366861545462</v>
      </c>
      <c r="P758">
        <f t="shared" ca="1" si="705"/>
        <v>78.968517552745809</v>
      </c>
      <c r="Q758">
        <f t="shared" ca="1" si="664"/>
        <v>101.00068822951791</v>
      </c>
      <c r="R758">
        <f t="shared" ca="1" si="665"/>
        <v>0</v>
      </c>
      <c r="S758">
        <f t="shared" ca="1" si="666"/>
        <v>0</v>
      </c>
    </row>
    <row r="759" spans="5:19" x14ac:dyDescent="0.75">
      <c r="E759">
        <v>754</v>
      </c>
      <c r="F759">
        <f t="shared" si="662"/>
        <v>100</v>
      </c>
      <c r="G759">
        <f t="shared" ca="1" si="663"/>
        <v>98.364771856656972</v>
      </c>
      <c r="H759">
        <f t="shared" ca="1" si="663"/>
        <v>106.02397640121822</v>
      </c>
      <c r="I759">
        <f t="shared" ca="1" si="663"/>
        <v>104.40415437478391</v>
      </c>
      <c r="J759">
        <f t="shared" ref="J759:P759" ca="1" si="706">I759*EXP(($C$6-0.5*$C$7^2)*$C$12+$C$7*SQRT($C$12)*NORMINV(RAND(),0,1))</f>
        <v>100.58354334209908</v>
      </c>
      <c r="K759">
        <f t="shared" ca="1" si="706"/>
        <v>93.844151071086202</v>
      </c>
      <c r="L759">
        <f t="shared" ca="1" si="706"/>
        <v>96.283159799437811</v>
      </c>
      <c r="M759">
        <f t="shared" ca="1" si="706"/>
        <v>99.982582046244787</v>
      </c>
      <c r="N759">
        <f t="shared" ca="1" si="706"/>
        <v>96.51821580583028</v>
      </c>
      <c r="O759">
        <f t="shared" ca="1" si="706"/>
        <v>101.28690749097984</v>
      </c>
      <c r="P759">
        <f t="shared" ca="1" si="706"/>
        <v>108.35015172546737</v>
      </c>
      <c r="Q759">
        <f t="shared" ca="1" si="664"/>
        <v>108.35015172546737</v>
      </c>
      <c r="R759">
        <f t="shared" ca="1" si="665"/>
        <v>6.3501517254673701</v>
      </c>
      <c r="S759">
        <f t="shared" ca="1" si="666"/>
        <v>6.1933659207321456</v>
      </c>
    </row>
    <row r="760" spans="5:19" x14ac:dyDescent="0.75">
      <c r="E760">
        <v>755</v>
      </c>
      <c r="F760">
        <f t="shared" si="662"/>
        <v>100</v>
      </c>
      <c r="G760">
        <f t="shared" ca="1" si="663"/>
        <v>96.506077734689029</v>
      </c>
      <c r="H760">
        <f t="shared" ca="1" si="663"/>
        <v>93.791966194546788</v>
      </c>
      <c r="I760">
        <f t="shared" ca="1" si="663"/>
        <v>93.397663180638475</v>
      </c>
      <c r="J760">
        <f t="shared" ref="J760:P760" ca="1" si="707">I760*EXP(($C$6-0.5*$C$7^2)*$C$12+$C$7*SQRT($C$12)*NORMINV(RAND(),0,1))</f>
        <v>92.752671909373973</v>
      </c>
      <c r="K760">
        <f t="shared" ca="1" si="707"/>
        <v>89.513628806768267</v>
      </c>
      <c r="L760">
        <f t="shared" ca="1" si="707"/>
        <v>101.19657790537691</v>
      </c>
      <c r="M760">
        <f t="shared" ca="1" si="707"/>
        <v>102.25136812801452</v>
      </c>
      <c r="N760">
        <f t="shared" ca="1" si="707"/>
        <v>96.984818488927075</v>
      </c>
      <c r="O760">
        <f t="shared" ca="1" si="707"/>
        <v>93.077484356465149</v>
      </c>
      <c r="P760">
        <f t="shared" ca="1" si="707"/>
        <v>95.724470445585766</v>
      </c>
      <c r="Q760">
        <f t="shared" ca="1" si="664"/>
        <v>102.25136812801452</v>
      </c>
      <c r="R760">
        <f t="shared" ca="1" si="665"/>
        <v>0</v>
      </c>
      <c r="S760">
        <f t="shared" ca="1" si="666"/>
        <v>0</v>
      </c>
    </row>
    <row r="761" spans="5:19" x14ac:dyDescent="0.75">
      <c r="E761">
        <v>756</v>
      </c>
      <c r="F761">
        <f t="shared" si="662"/>
        <v>100</v>
      </c>
      <c r="G761">
        <f t="shared" ca="1" si="663"/>
        <v>97.613590794953979</v>
      </c>
      <c r="H761">
        <f t="shared" ca="1" si="663"/>
        <v>105.88637720023763</v>
      </c>
      <c r="I761">
        <f t="shared" ca="1" si="663"/>
        <v>108.73870253628131</v>
      </c>
      <c r="J761">
        <f t="shared" ref="J761:P761" ca="1" si="708">I761*EXP(($C$6-0.5*$C$7^2)*$C$12+$C$7*SQRT($C$12)*NORMINV(RAND(),0,1))</f>
        <v>94.903156892361778</v>
      </c>
      <c r="K761">
        <f t="shared" ca="1" si="708"/>
        <v>94.911346830079538</v>
      </c>
      <c r="L761">
        <f t="shared" ca="1" si="708"/>
        <v>98.39435594172933</v>
      </c>
      <c r="M761">
        <f t="shared" ca="1" si="708"/>
        <v>92.683640883152847</v>
      </c>
      <c r="N761">
        <f t="shared" ca="1" si="708"/>
        <v>90.366996229452184</v>
      </c>
      <c r="O761">
        <f t="shared" ca="1" si="708"/>
        <v>94.156609663305005</v>
      </c>
      <c r="P761">
        <f t="shared" ca="1" si="708"/>
        <v>90.91591139496002</v>
      </c>
      <c r="Q761">
        <f t="shared" ca="1" si="664"/>
        <v>108.73870253628131</v>
      </c>
      <c r="R761">
        <f t="shared" ca="1" si="665"/>
        <v>0</v>
      </c>
      <c r="S761">
        <f t="shared" ca="1" si="666"/>
        <v>0</v>
      </c>
    </row>
    <row r="762" spans="5:19" x14ac:dyDescent="0.75">
      <c r="E762">
        <v>757</v>
      </c>
      <c r="F762">
        <f t="shared" si="662"/>
        <v>100</v>
      </c>
      <c r="G762">
        <f t="shared" ca="1" si="663"/>
        <v>104.07156030024018</v>
      </c>
      <c r="H762">
        <f t="shared" ca="1" si="663"/>
        <v>102.75400696012919</v>
      </c>
      <c r="I762">
        <f t="shared" ca="1" si="663"/>
        <v>105.48345180798563</v>
      </c>
      <c r="J762">
        <f t="shared" ref="J762:P762" ca="1" si="709">I762*EXP(($C$6-0.5*$C$7^2)*$C$12+$C$7*SQRT($C$12)*NORMINV(RAND(),0,1))</f>
        <v>101.06670910915032</v>
      </c>
      <c r="K762">
        <f t="shared" ca="1" si="709"/>
        <v>96.792848469579937</v>
      </c>
      <c r="L762">
        <f t="shared" ca="1" si="709"/>
        <v>92.044368533347537</v>
      </c>
      <c r="M762">
        <f t="shared" ca="1" si="709"/>
        <v>93.758872642239879</v>
      </c>
      <c r="N762">
        <f t="shared" ca="1" si="709"/>
        <v>98.040612327969782</v>
      </c>
      <c r="O762">
        <f t="shared" ca="1" si="709"/>
        <v>90.199324651746821</v>
      </c>
      <c r="P762">
        <f t="shared" ca="1" si="709"/>
        <v>85.770864118490906</v>
      </c>
      <c r="Q762">
        <f t="shared" ca="1" si="664"/>
        <v>105.48345180798563</v>
      </c>
      <c r="R762">
        <f t="shared" ca="1" si="665"/>
        <v>0</v>
      </c>
      <c r="S762">
        <f t="shared" ca="1" si="666"/>
        <v>0</v>
      </c>
    </row>
    <row r="763" spans="5:19" x14ac:dyDescent="0.75">
      <c r="E763">
        <v>758</v>
      </c>
      <c r="F763">
        <f t="shared" si="662"/>
        <v>100</v>
      </c>
      <c r="G763">
        <f t="shared" ca="1" si="663"/>
        <v>97.521926048394349</v>
      </c>
      <c r="H763">
        <f t="shared" ca="1" si="663"/>
        <v>104.76743856684153</v>
      </c>
      <c r="I763">
        <f t="shared" ca="1" si="663"/>
        <v>105.73528416109387</v>
      </c>
      <c r="J763">
        <f t="shared" ref="J763:P763" ca="1" si="710">I763*EXP(($C$6-0.5*$C$7^2)*$C$12+$C$7*SQRT($C$12)*NORMINV(RAND(),0,1))</f>
        <v>105.37859733601391</v>
      </c>
      <c r="K763">
        <f t="shared" ca="1" si="710"/>
        <v>106.86090920952444</v>
      </c>
      <c r="L763">
        <f t="shared" ca="1" si="710"/>
        <v>100.1464259530772</v>
      </c>
      <c r="M763">
        <f t="shared" ca="1" si="710"/>
        <v>90.852676346022051</v>
      </c>
      <c r="N763">
        <f t="shared" ca="1" si="710"/>
        <v>93.879832357243728</v>
      </c>
      <c r="O763">
        <f t="shared" ca="1" si="710"/>
        <v>91.592653942286105</v>
      </c>
      <c r="P763">
        <f t="shared" ca="1" si="710"/>
        <v>83.137110998097796</v>
      </c>
      <c r="Q763">
        <f t="shared" ca="1" si="664"/>
        <v>106.86090920952444</v>
      </c>
      <c r="R763">
        <f t="shared" ca="1" si="665"/>
        <v>0</v>
      </c>
      <c r="S763">
        <f t="shared" ca="1" si="666"/>
        <v>0</v>
      </c>
    </row>
    <row r="764" spans="5:19" x14ac:dyDescent="0.75">
      <c r="E764">
        <v>759</v>
      </c>
      <c r="F764">
        <f t="shared" si="662"/>
        <v>100</v>
      </c>
      <c r="G764">
        <f t="shared" ca="1" si="663"/>
        <v>101.85455303754844</v>
      </c>
      <c r="H764">
        <f t="shared" ca="1" si="663"/>
        <v>98.451359032897159</v>
      </c>
      <c r="I764">
        <f t="shared" ca="1" si="663"/>
        <v>100.66262702835689</v>
      </c>
      <c r="J764">
        <f t="shared" ref="J764:P764" ca="1" si="711">I764*EXP(($C$6-0.5*$C$7^2)*$C$12+$C$7*SQRT($C$12)*NORMINV(RAND(),0,1))</f>
        <v>94.88028023897138</v>
      </c>
      <c r="K764">
        <f t="shared" ca="1" si="711"/>
        <v>90.294896437049502</v>
      </c>
      <c r="L764">
        <f t="shared" ca="1" si="711"/>
        <v>86.931658030446243</v>
      </c>
      <c r="M764">
        <f t="shared" ca="1" si="711"/>
        <v>84.25522765067646</v>
      </c>
      <c r="N764">
        <f t="shared" ca="1" si="711"/>
        <v>82.530447933443781</v>
      </c>
      <c r="O764">
        <f t="shared" ca="1" si="711"/>
        <v>76.513353321680171</v>
      </c>
      <c r="P764">
        <f t="shared" ca="1" si="711"/>
        <v>81.53682961809163</v>
      </c>
      <c r="Q764">
        <f t="shared" ca="1" si="664"/>
        <v>101.85455303754844</v>
      </c>
      <c r="R764">
        <f t="shared" ca="1" si="665"/>
        <v>0</v>
      </c>
      <c r="S764">
        <f t="shared" ca="1" si="666"/>
        <v>0</v>
      </c>
    </row>
    <row r="765" spans="5:19" x14ac:dyDescent="0.75">
      <c r="E765">
        <v>760</v>
      </c>
      <c r="F765">
        <f t="shared" si="662"/>
        <v>100</v>
      </c>
      <c r="G765">
        <f t="shared" ca="1" si="663"/>
        <v>105.38246401276159</v>
      </c>
      <c r="H765">
        <f t="shared" ca="1" si="663"/>
        <v>110.05654804086515</v>
      </c>
      <c r="I765">
        <f t="shared" ca="1" si="663"/>
        <v>116.24828567549915</v>
      </c>
      <c r="J765">
        <f t="shared" ref="J765:P765" ca="1" si="712">I765*EXP(($C$6-0.5*$C$7^2)*$C$12+$C$7*SQRT($C$12)*NORMINV(RAND(),0,1))</f>
        <v>128.38880976974724</v>
      </c>
      <c r="K765">
        <f t="shared" ca="1" si="712"/>
        <v>126.09501358797037</v>
      </c>
      <c r="L765">
        <f t="shared" ca="1" si="712"/>
        <v>122.85934024950512</v>
      </c>
      <c r="M765">
        <f t="shared" ca="1" si="712"/>
        <v>124.31370366694969</v>
      </c>
      <c r="N765">
        <f t="shared" ca="1" si="712"/>
        <v>128.51840307865484</v>
      </c>
      <c r="O765">
        <f t="shared" ca="1" si="712"/>
        <v>127.9788925056084</v>
      </c>
      <c r="P765">
        <f t="shared" ca="1" si="712"/>
        <v>135.01388689463303</v>
      </c>
      <c r="Q765">
        <f t="shared" ca="1" si="664"/>
        <v>135.01388689463303</v>
      </c>
      <c r="R765">
        <f t="shared" ca="1" si="665"/>
        <v>0</v>
      </c>
      <c r="S765">
        <f t="shared" ca="1" si="666"/>
        <v>0</v>
      </c>
    </row>
    <row r="766" spans="5:19" x14ac:dyDescent="0.75">
      <c r="E766">
        <v>761</v>
      </c>
      <c r="F766">
        <f t="shared" si="662"/>
        <v>100</v>
      </c>
      <c r="G766">
        <f t="shared" ca="1" si="663"/>
        <v>99.445497323758246</v>
      </c>
      <c r="H766">
        <f t="shared" ca="1" si="663"/>
        <v>100.80222387088624</v>
      </c>
      <c r="I766">
        <f t="shared" ca="1" si="663"/>
        <v>94.482752515512729</v>
      </c>
      <c r="J766">
        <f t="shared" ref="J766:P766" ca="1" si="713">I766*EXP(($C$6-0.5*$C$7^2)*$C$12+$C$7*SQRT($C$12)*NORMINV(RAND(),0,1))</f>
        <v>95.117304042524552</v>
      </c>
      <c r="K766">
        <f t="shared" ca="1" si="713"/>
        <v>99.476192383089654</v>
      </c>
      <c r="L766">
        <f t="shared" ca="1" si="713"/>
        <v>103.86443159374321</v>
      </c>
      <c r="M766">
        <f t="shared" ca="1" si="713"/>
        <v>105.8765855258069</v>
      </c>
      <c r="N766">
        <f t="shared" ca="1" si="713"/>
        <v>104.48283762692368</v>
      </c>
      <c r="O766">
        <f t="shared" ca="1" si="713"/>
        <v>104.40365677498839</v>
      </c>
      <c r="P766">
        <f t="shared" ca="1" si="713"/>
        <v>110.05258190016635</v>
      </c>
      <c r="Q766">
        <f t="shared" ca="1" si="664"/>
        <v>110.05258190016635</v>
      </c>
      <c r="R766">
        <f t="shared" ca="1" si="665"/>
        <v>0</v>
      </c>
      <c r="S766">
        <f t="shared" ca="1" si="666"/>
        <v>0</v>
      </c>
    </row>
    <row r="767" spans="5:19" x14ac:dyDescent="0.75">
      <c r="E767">
        <v>762</v>
      </c>
      <c r="F767">
        <f t="shared" si="662"/>
        <v>100</v>
      </c>
      <c r="G767">
        <f t="shared" ca="1" si="663"/>
        <v>91.65081587168855</v>
      </c>
      <c r="H767">
        <f t="shared" ca="1" si="663"/>
        <v>88.44518991065685</v>
      </c>
      <c r="I767">
        <f t="shared" ca="1" si="663"/>
        <v>84.83452358848163</v>
      </c>
      <c r="J767">
        <f t="shared" ref="J767:P767" ca="1" si="714">I767*EXP(($C$6-0.5*$C$7^2)*$C$12+$C$7*SQRT($C$12)*NORMINV(RAND(),0,1))</f>
        <v>84.327071382569514</v>
      </c>
      <c r="K767">
        <f t="shared" ca="1" si="714"/>
        <v>84.233437127699787</v>
      </c>
      <c r="L767">
        <f t="shared" ca="1" si="714"/>
        <v>82.156808389447448</v>
      </c>
      <c r="M767">
        <f t="shared" ca="1" si="714"/>
        <v>83.971995390791406</v>
      </c>
      <c r="N767">
        <f t="shared" ca="1" si="714"/>
        <v>85.308837666135403</v>
      </c>
      <c r="O767">
        <f t="shared" ca="1" si="714"/>
        <v>83.858064215554975</v>
      </c>
      <c r="P767">
        <f t="shared" ca="1" si="714"/>
        <v>73.439329963418785</v>
      </c>
      <c r="Q767">
        <f t="shared" ca="1" si="664"/>
        <v>91.65081587168855</v>
      </c>
      <c r="R767">
        <f t="shared" ca="1" si="665"/>
        <v>0</v>
      </c>
      <c r="S767">
        <f t="shared" ca="1" si="666"/>
        <v>0</v>
      </c>
    </row>
    <row r="768" spans="5:19" x14ac:dyDescent="0.75">
      <c r="E768">
        <v>763</v>
      </c>
      <c r="F768">
        <f t="shared" si="662"/>
        <v>100</v>
      </c>
      <c r="G768">
        <f t="shared" ca="1" si="663"/>
        <v>98.564836212282557</v>
      </c>
      <c r="H768">
        <f t="shared" ca="1" si="663"/>
        <v>101.58921564538035</v>
      </c>
      <c r="I768">
        <f t="shared" ca="1" si="663"/>
        <v>99.843726951303807</v>
      </c>
      <c r="J768">
        <f t="shared" ref="J768:P768" ca="1" si="715">I768*EXP(($C$6-0.5*$C$7^2)*$C$12+$C$7*SQRT($C$12)*NORMINV(RAND(),0,1))</f>
        <v>101.26277561812415</v>
      </c>
      <c r="K768">
        <f t="shared" ca="1" si="715"/>
        <v>98.950585284370106</v>
      </c>
      <c r="L768">
        <f t="shared" ca="1" si="715"/>
        <v>98.584229445963658</v>
      </c>
      <c r="M768">
        <f t="shared" ca="1" si="715"/>
        <v>93.794519531907284</v>
      </c>
      <c r="N768">
        <f t="shared" ca="1" si="715"/>
        <v>93.041813243859167</v>
      </c>
      <c r="O768">
        <f t="shared" ca="1" si="715"/>
        <v>84.947525296361903</v>
      </c>
      <c r="P768">
        <f t="shared" ca="1" si="715"/>
        <v>85.511208021919842</v>
      </c>
      <c r="Q768">
        <f t="shared" ca="1" si="664"/>
        <v>101.58921564538035</v>
      </c>
      <c r="R768">
        <f t="shared" ca="1" si="665"/>
        <v>0</v>
      </c>
      <c r="S768">
        <f t="shared" ca="1" si="666"/>
        <v>0</v>
      </c>
    </row>
    <row r="769" spans="5:19" x14ac:dyDescent="0.75">
      <c r="E769">
        <v>764</v>
      </c>
      <c r="F769">
        <f t="shared" si="662"/>
        <v>100</v>
      </c>
      <c r="G769">
        <f t="shared" ca="1" si="663"/>
        <v>99.308282500642903</v>
      </c>
      <c r="H769">
        <f t="shared" ca="1" si="663"/>
        <v>101.91963276418122</v>
      </c>
      <c r="I769">
        <f t="shared" ca="1" si="663"/>
        <v>105.90461947782768</v>
      </c>
      <c r="J769">
        <f t="shared" ref="J769:P769" ca="1" si="716">I769*EXP(($C$6-0.5*$C$7^2)*$C$12+$C$7*SQRT($C$12)*NORMINV(RAND(),0,1))</f>
        <v>115.15808405436168</v>
      </c>
      <c r="K769">
        <f t="shared" ca="1" si="716"/>
        <v>106.32534956190892</v>
      </c>
      <c r="L769">
        <f t="shared" ca="1" si="716"/>
        <v>101.37611072259945</v>
      </c>
      <c r="M769">
        <f t="shared" ca="1" si="716"/>
        <v>97.933274069772949</v>
      </c>
      <c r="N769">
        <f t="shared" ca="1" si="716"/>
        <v>100.08020333429401</v>
      </c>
      <c r="O769">
        <f t="shared" ca="1" si="716"/>
        <v>111.89472459564212</v>
      </c>
      <c r="P769">
        <f t="shared" ca="1" si="716"/>
        <v>108.69803481275933</v>
      </c>
      <c r="Q769">
        <f t="shared" ca="1" si="664"/>
        <v>115.15808405436168</v>
      </c>
      <c r="R769">
        <f t="shared" ca="1" si="665"/>
        <v>0</v>
      </c>
      <c r="S769">
        <f t="shared" ca="1" si="666"/>
        <v>0</v>
      </c>
    </row>
    <row r="770" spans="5:19" x14ac:dyDescent="0.75">
      <c r="E770">
        <v>765</v>
      </c>
      <c r="F770">
        <f t="shared" si="662"/>
        <v>100</v>
      </c>
      <c r="G770">
        <f t="shared" ca="1" si="663"/>
        <v>107.82423337506282</v>
      </c>
      <c r="H770">
        <f t="shared" ca="1" si="663"/>
        <v>108.56029747692364</v>
      </c>
      <c r="I770">
        <f t="shared" ca="1" si="663"/>
        <v>102.16949121642413</v>
      </c>
      <c r="J770">
        <f t="shared" ref="J770:P770" ca="1" si="717">I770*EXP(($C$6-0.5*$C$7^2)*$C$12+$C$7*SQRT($C$12)*NORMINV(RAND(),0,1))</f>
        <v>108.27661364617713</v>
      </c>
      <c r="K770">
        <f t="shared" ca="1" si="717"/>
        <v>108.47046338238464</v>
      </c>
      <c r="L770">
        <f t="shared" ca="1" si="717"/>
        <v>112.35741969363367</v>
      </c>
      <c r="M770">
        <f t="shared" ca="1" si="717"/>
        <v>115.18905496228983</v>
      </c>
      <c r="N770">
        <f t="shared" ca="1" si="717"/>
        <v>111.86385252081379</v>
      </c>
      <c r="O770">
        <f t="shared" ca="1" si="717"/>
        <v>105.9938492800779</v>
      </c>
      <c r="P770">
        <f t="shared" ca="1" si="717"/>
        <v>104.25620201125692</v>
      </c>
      <c r="Q770">
        <f t="shared" ca="1" si="664"/>
        <v>115.18905496228983</v>
      </c>
      <c r="R770">
        <f t="shared" ca="1" si="665"/>
        <v>0</v>
      </c>
      <c r="S770">
        <f t="shared" ca="1" si="666"/>
        <v>0</v>
      </c>
    </row>
    <row r="771" spans="5:19" x14ac:dyDescent="0.75">
      <c r="E771">
        <v>766</v>
      </c>
      <c r="F771">
        <f t="shared" si="662"/>
        <v>100</v>
      </c>
      <c r="G771">
        <f t="shared" ca="1" si="663"/>
        <v>102.83940586827798</v>
      </c>
      <c r="H771">
        <f t="shared" ca="1" si="663"/>
        <v>106.99637367240449</v>
      </c>
      <c r="I771">
        <f t="shared" ca="1" si="663"/>
        <v>113.03480715587555</v>
      </c>
      <c r="J771">
        <f t="shared" ref="J771:P771" ca="1" si="718">I771*EXP(($C$6-0.5*$C$7^2)*$C$12+$C$7*SQRT($C$12)*NORMINV(RAND(),0,1))</f>
        <v>119.31595725905945</v>
      </c>
      <c r="K771">
        <f t="shared" ca="1" si="718"/>
        <v>117.56622278170205</v>
      </c>
      <c r="L771">
        <f t="shared" ca="1" si="718"/>
        <v>126.47457205375554</v>
      </c>
      <c r="M771">
        <f t="shared" ca="1" si="718"/>
        <v>117.38826998509417</v>
      </c>
      <c r="N771">
        <f t="shared" ca="1" si="718"/>
        <v>114.19529324610866</v>
      </c>
      <c r="O771">
        <f t="shared" ca="1" si="718"/>
        <v>108.24168413368666</v>
      </c>
      <c r="P771">
        <f t="shared" ca="1" si="718"/>
        <v>108.62909690364131</v>
      </c>
      <c r="Q771">
        <f t="shared" ca="1" si="664"/>
        <v>126.47457205375554</v>
      </c>
      <c r="R771">
        <f t="shared" ca="1" si="665"/>
        <v>0</v>
      </c>
      <c r="S771">
        <f t="shared" ca="1" si="666"/>
        <v>0</v>
      </c>
    </row>
    <row r="772" spans="5:19" x14ac:dyDescent="0.75">
      <c r="E772">
        <v>767</v>
      </c>
      <c r="F772">
        <f t="shared" si="662"/>
        <v>100</v>
      </c>
      <c r="G772">
        <f t="shared" ca="1" si="663"/>
        <v>100.42428504127511</v>
      </c>
      <c r="H772">
        <f t="shared" ca="1" si="663"/>
        <v>100.26773259703593</v>
      </c>
      <c r="I772">
        <f t="shared" ca="1" si="663"/>
        <v>97.136415497520218</v>
      </c>
      <c r="J772">
        <f t="shared" ref="J772:P772" ca="1" si="719">I772*EXP(($C$6-0.5*$C$7^2)*$C$12+$C$7*SQRT($C$12)*NORMINV(RAND(),0,1))</f>
        <v>92.056259163916522</v>
      </c>
      <c r="K772">
        <f t="shared" ca="1" si="719"/>
        <v>82.592377262493656</v>
      </c>
      <c r="L772">
        <f t="shared" ca="1" si="719"/>
        <v>81.410200358316246</v>
      </c>
      <c r="M772">
        <f t="shared" ca="1" si="719"/>
        <v>86.873474349037366</v>
      </c>
      <c r="N772">
        <f t="shared" ca="1" si="719"/>
        <v>96.354786694190167</v>
      </c>
      <c r="O772">
        <f t="shared" ca="1" si="719"/>
        <v>92.14513049795778</v>
      </c>
      <c r="P772">
        <f t="shared" ca="1" si="719"/>
        <v>92.224748714870799</v>
      </c>
      <c r="Q772">
        <f t="shared" ca="1" si="664"/>
        <v>100.42428504127511</v>
      </c>
      <c r="R772">
        <f t="shared" ca="1" si="665"/>
        <v>0</v>
      </c>
      <c r="S772">
        <f t="shared" ca="1" si="666"/>
        <v>0</v>
      </c>
    </row>
    <row r="773" spans="5:19" x14ac:dyDescent="0.75">
      <c r="E773">
        <v>768</v>
      </c>
      <c r="F773">
        <f t="shared" si="662"/>
        <v>100</v>
      </c>
      <c r="G773">
        <f t="shared" ca="1" si="663"/>
        <v>100.50138789995341</v>
      </c>
      <c r="H773">
        <f t="shared" ca="1" si="663"/>
        <v>101.46134186250184</v>
      </c>
      <c r="I773">
        <f t="shared" ca="1" si="663"/>
        <v>98.899669572393989</v>
      </c>
      <c r="J773">
        <f t="shared" ref="J773:P773" ca="1" si="720">I773*EXP(($C$6-0.5*$C$7^2)*$C$12+$C$7*SQRT($C$12)*NORMINV(RAND(),0,1))</f>
        <v>103.25804408476095</v>
      </c>
      <c r="K773">
        <f t="shared" ca="1" si="720"/>
        <v>100.21288527505155</v>
      </c>
      <c r="L773">
        <f t="shared" ca="1" si="720"/>
        <v>102.27460169030626</v>
      </c>
      <c r="M773">
        <f t="shared" ca="1" si="720"/>
        <v>101.11451942879697</v>
      </c>
      <c r="N773">
        <f t="shared" ca="1" si="720"/>
        <v>101.91943291297943</v>
      </c>
      <c r="O773">
        <f t="shared" ca="1" si="720"/>
        <v>94.949350418949706</v>
      </c>
      <c r="P773">
        <f t="shared" ca="1" si="720"/>
        <v>93.727894003199822</v>
      </c>
      <c r="Q773">
        <f t="shared" ca="1" si="664"/>
        <v>103.25804408476095</v>
      </c>
      <c r="R773">
        <f t="shared" ca="1" si="665"/>
        <v>0</v>
      </c>
      <c r="S773">
        <f t="shared" ca="1" si="666"/>
        <v>0</v>
      </c>
    </row>
    <row r="774" spans="5:19" x14ac:dyDescent="0.75">
      <c r="E774">
        <v>769</v>
      </c>
      <c r="F774">
        <f t="shared" si="662"/>
        <v>100</v>
      </c>
      <c r="G774">
        <f t="shared" ca="1" si="663"/>
        <v>101.7443658097524</v>
      </c>
      <c r="H774">
        <f t="shared" ca="1" si="663"/>
        <v>101.00833064260704</v>
      </c>
      <c r="I774">
        <f t="shared" ca="1" si="663"/>
        <v>101.1012286321714</v>
      </c>
      <c r="J774">
        <f t="shared" ref="J774:P774" ca="1" si="721">I774*EXP(($C$6-0.5*$C$7^2)*$C$12+$C$7*SQRT($C$12)*NORMINV(RAND(),0,1))</f>
        <v>94.831998547455399</v>
      </c>
      <c r="K774">
        <f t="shared" ca="1" si="721"/>
        <v>92.541246907886389</v>
      </c>
      <c r="L774">
        <f t="shared" ca="1" si="721"/>
        <v>83.862598352835235</v>
      </c>
      <c r="M774">
        <f t="shared" ca="1" si="721"/>
        <v>82.370192043954091</v>
      </c>
      <c r="N774">
        <f t="shared" ca="1" si="721"/>
        <v>86.446958474446916</v>
      </c>
      <c r="O774">
        <f t="shared" ca="1" si="721"/>
        <v>84.29141436794113</v>
      </c>
      <c r="P774">
        <f t="shared" ca="1" si="721"/>
        <v>82.461729366601716</v>
      </c>
      <c r="Q774">
        <f t="shared" ca="1" si="664"/>
        <v>101.7443658097524</v>
      </c>
      <c r="R774">
        <f t="shared" ca="1" si="665"/>
        <v>0</v>
      </c>
      <c r="S774">
        <f t="shared" ca="1" si="666"/>
        <v>0</v>
      </c>
    </row>
    <row r="775" spans="5:19" x14ac:dyDescent="0.75">
      <c r="E775">
        <v>770</v>
      </c>
      <c r="F775">
        <f t="shared" ref="F775:F838" si="722">$C$5</f>
        <v>100</v>
      </c>
      <c r="G775">
        <f t="shared" ref="G775:P838" ca="1" si="723">F775*EXP(($C$6-0.5*$C$7^2)*$C$12+$C$7*SQRT($C$12)*NORMINV(RAND(),0,1))</f>
        <v>102.65252356593027</v>
      </c>
      <c r="H775">
        <f t="shared" ca="1" si="723"/>
        <v>105.7174228784107</v>
      </c>
      <c r="I775">
        <f t="shared" ca="1" si="723"/>
        <v>112.66700250006033</v>
      </c>
      <c r="J775">
        <f t="shared" ca="1" si="723"/>
        <v>103.70393816292791</v>
      </c>
      <c r="K775">
        <f t="shared" ca="1" si="723"/>
        <v>105.19925695376911</v>
      </c>
      <c r="L775">
        <f t="shared" ca="1" si="723"/>
        <v>110.40374471569419</v>
      </c>
      <c r="M775">
        <f t="shared" ca="1" si="723"/>
        <v>109.07344365014127</v>
      </c>
      <c r="N775">
        <f t="shared" ca="1" si="723"/>
        <v>122.58394319678638</v>
      </c>
      <c r="O775">
        <f t="shared" ca="1" si="723"/>
        <v>117.95803016071346</v>
      </c>
      <c r="P775">
        <f t="shared" ca="1" si="723"/>
        <v>123.69081790745</v>
      </c>
      <c r="Q775">
        <f t="shared" ref="Q775:Q838" ca="1" si="724">MAX(G775:P775)</f>
        <v>123.69081790745</v>
      </c>
      <c r="R775">
        <f t="shared" ref="R775:R838" ca="1" si="725">IF(Q775&gt;=$C$13,0, MAX(P775-$C$9,0))</f>
        <v>0</v>
      </c>
      <c r="S775">
        <f t="shared" ref="S775:S838" ca="1" si="726">EXP(-$C$6*$C$8)*R775</f>
        <v>0</v>
      </c>
    </row>
    <row r="776" spans="5:19" x14ac:dyDescent="0.75">
      <c r="E776">
        <v>771</v>
      </c>
      <c r="F776">
        <f t="shared" si="722"/>
        <v>100</v>
      </c>
      <c r="G776">
        <f t="shared" ca="1" si="723"/>
        <v>100.0996760412477</v>
      </c>
      <c r="H776">
        <f t="shared" ca="1" si="723"/>
        <v>103.15779773953449</v>
      </c>
      <c r="I776">
        <f t="shared" ca="1" si="723"/>
        <v>110.35140293849236</v>
      </c>
      <c r="J776">
        <f t="shared" ca="1" si="723"/>
        <v>108.15320424643492</v>
      </c>
      <c r="K776">
        <f t="shared" ca="1" si="723"/>
        <v>106.93042166504573</v>
      </c>
      <c r="L776">
        <f t="shared" ca="1" si="723"/>
        <v>115.46495187171119</v>
      </c>
      <c r="M776">
        <f t="shared" ca="1" si="723"/>
        <v>107.8767570449606</v>
      </c>
      <c r="N776">
        <f t="shared" ca="1" si="723"/>
        <v>97.643094236254669</v>
      </c>
      <c r="O776">
        <f t="shared" ca="1" si="723"/>
        <v>107.43690604676027</v>
      </c>
      <c r="P776">
        <f t="shared" ca="1" si="723"/>
        <v>105.58526771971205</v>
      </c>
      <c r="Q776">
        <f t="shared" ca="1" si="724"/>
        <v>115.46495187171119</v>
      </c>
      <c r="R776">
        <f t="shared" ca="1" si="725"/>
        <v>0</v>
      </c>
      <c r="S776">
        <f t="shared" ca="1" si="726"/>
        <v>0</v>
      </c>
    </row>
    <row r="777" spans="5:19" x14ac:dyDescent="0.75">
      <c r="E777">
        <v>772</v>
      </c>
      <c r="F777">
        <f t="shared" si="722"/>
        <v>100</v>
      </c>
      <c r="G777">
        <f t="shared" ca="1" si="723"/>
        <v>105.12240662956967</v>
      </c>
      <c r="H777">
        <f t="shared" ca="1" si="723"/>
        <v>111.53214454379747</v>
      </c>
      <c r="I777">
        <f t="shared" ca="1" si="723"/>
        <v>111.17533869009337</v>
      </c>
      <c r="J777">
        <f t="shared" ca="1" si="723"/>
        <v>118.52500487478636</v>
      </c>
      <c r="K777">
        <f t="shared" ca="1" si="723"/>
        <v>128.30318680904412</v>
      </c>
      <c r="L777">
        <f t="shared" ca="1" si="723"/>
        <v>120.11783417359813</v>
      </c>
      <c r="M777">
        <f t="shared" ca="1" si="723"/>
        <v>113.27197638676874</v>
      </c>
      <c r="N777">
        <f t="shared" ca="1" si="723"/>
        <v>110.8775480769844</v>
      </c>
      <c r="O777">
        <f t="shared" ca="1" si="723"/>
        <v>115.91433782641735</v>
      </c>
      <c r="P777">
        <f t="shared" ca="1" si="723"/>
        <v>114.22215081515643</v>
      </c>
      <c r="Q777">
        <f t="shared" ca="1" si="724"/>
        <v>128.30318680904412</v>
      </c>
      <c r="R777">
        <f t="shared" ca="1" si="725"/>
        <v>0</v>
      </c>
      <c r="S777">
        <f t="shared" ca="1" si="726"/>
        <v>0</v>
      </c>
    </row>
    <row r="778" spans="5:19" x14ac:dyDescent="0.75">
      <c r="E778">
        <v>773</v>
      </c>
      <c r="F778">
        <f t="shared" si="722"/>
        <v>100</v>
      </c>
      <c r="G778">
        <f t="shared" ca="1" si="723"/>
        <v>107.94574350465722</v>
      </c>
      <c r="H778">
        <f t="shared" ca="1" si="723"/>
        <v>108.63685831972116</v>
      </c>
      <c r="I778">
        <f t="shared" ca="1" si="723"/>
        <v>117.88727630967162</v>
      </c>
      <c r="J778">
        <f t="shared" ca="1" si="723"/>
        <v>110.75130248159375</v>
      </c>
      <c r="K778">
        <f t="shared" ca="1" si="723"/>
        <v>103.69608096310816</v>
      </c>
      <c r="L778">
        <f t="shared" ca="1" si="723"/>
        <v>109.15613968943131</v>
      </c>
      <c r="M778">
        <f t="shared" ca="1" si="723"/>
        <v>107.70863776674084</v>
      </c>
      <c r="N778">
        <f t="shared" ca="1" si="723"/>
        <v>105.02559602844899</v>
      </c>
      <c r="O778">
        <f t="shared" ca="1" si="723"/>
        <v>106.04196803365234</v>
      </c>
      <c r="P778">
        <f t="shared" ca="1" si="723"/>
        <v>105.36057428647409</v>
      </c>
      <c r="Q778">
        <f t="shared" ca="1" si="724"/>
        <v>117.88727630967162</v>
      </c>
      <c r="R778">
        <f t="shared" ca="1" si="725"/>
        <v>0</v>
      </c>
      <c r="S778">
        <f t="shared" ca="1" si="726"/>
        <v>0</v>
      </c>
    </row>
    <row r="779" spans="5:19" x14ac:dyDescent="0.75">
      <c r="E779">
        <v>774</v>
      </c>
      <c r="F779">
        <f t="shared" si="722"/>
        <v>100</v>
      </c>
      <c r="G779">
        <f t="shared" ca="1" si="723"/>
        <v>94.654693861227926</v>
      </c>
      <c r="H779">
        <f t="shared" ca="1" si="723"/>
        <v>95.035437299826867</v>
      </c>
      <c r="I779">
        <f t="shared" ca="1" si="723"/>
        <v>93.006644534932462</v>
      </c>
      <c r="J779">
        <f t="shared" ca="1" si="723"/>
        <v>90.253958700316772</v>
      </c>
      <c r="K779">
        <f t="shared" ca="1" si="723"/>
        <v>90.967503033962927</v>
      </c>
      <c r="L779">
        <f t="shared" ca="1" si="723"/>
        <v>95.732031827461554</v>
      </c>
      <c r="M779">
        <f t="shared" ca="1" si="723"/>
        <v>96.527897506996638</v>
      </c>
      <c r="N779">
        <f t="shared" ca="1" si="723"/>
        <v>103.37578831734545</v>
      </c>
      <c r="O779">
        <f t="shared" ca="1" si="723"/>
        <v>95.095635532571094</v>
      </c>
      <c r="P779">
        <f t="shared" ca="1" si="723"/>
        <v>100.30307907652853</v>
      </c>
      <c r="Q779">
        <f t="shared" ca="1" si="724"/>
        <v>103.37578831734545</v>
      </c>
      <c r="R779">
        <f t="shared" ca="1" si="725"/>
        <v>0</v>
      </c>
      <c r="S779">
        <f t="shared" ca="1" si="726"/>
        <v>0</v>
      </c>
    </row>
    <row r="780" spans="5:19" x14ac:dyDescent="0.75">
      <c r="E780">
        <v>775</v>
      </c>
      <c r="F780">
        <f t="shared" si="722"/>
        <v>100</v>
      </c>
      <c r="G780">
        <f t="shared" ca="1" si="723"/>
        <v>97.839886331955469</v>
      </c>
      <c r="H780">
        <f t="shared" ca="1" si="723"/>
        <v>90.724211017118677</v>
      </c>
      <c r="I780">
        <f t="shared" ca="1" si="723"/>
        <v>89.766111399855433</v>
      </c>
      <c r="J780">
        <f t="shared" ca="1" si="723"/>
        <v>87.73843429781229</v>
      </c>
      <c r="K780">
        <f t="shared" ca="1" si="723"/>
        <v>87.992186551780364</v>
      </c>
      <c r="L780">
        <f t="shared" ca="1" si="723"/>
        <v>84.584515577681927</v>
      </c>
      <c r="M780">
        <f t="shared" ca="1" si="723"/>
        <v>85.599163483321789</v>
      </c>
      <c r="N780">
        <f t="shared" ca="1" si="723"/>
        <v>89.990429379835504</v>
      </c>
      <c r="O780">
        <f t="shared" ca="1" si="723"/>
        <v>90.546704722001039</v>
      </c>
      <c r="P780">
        <f t="shared" ca="1" si="723"/>
        <v>89.243441398491967</v>
      </c>
      <c r="Q780">
        <f t="shared" ca="1" si="724"/>
        <v>97.839886331955469</v>
      </c>
      <c r="R780">
        <f t="shared" ca="1" si="725"/>
        <v>0</v>
      </c>
      <c r="S780">
        <f t="shared" ca="1" si="726"/>
        <v>0</v>
      </c>
    </row>
    <row r="781" spans="5:19" x14ac:dyDescent="0.75">
      <c r="E781">
        <v>776</v>
      </c>
      <c r="F781">
        <f t="shared" si="722"/>
        <v>100</v>
      </c>
      <c r="G781">
        <f t="shared" ca="1" si="723"/>
        <v>107.96541210195727</v>
      </c>
      <c r="H781">
        <f t="shared" ca="1" si="723"/>
        <v>103.20083168823822</v>
      </c>
      <c r="I781">
        <f t="shared" ca="1" si="723"/>
        <v>98.407895607141356</v>
      </c>
      <c r="J781">
        <f t="shared" ca="1" si="723"/>
        <v>91.109878234952433</v>
      </c>
      <c r="K781">
        <f t="shared" ca="1" si="723"/>
        <v>92.136284559958199</v>
      </c>
      <c r="L781">
        <f t="shared" ca="1" si="723"/>
        <v>87.629594378116394</v>
      </c>
      <c r="M781">
        <f t="shared" ca="1" si="723"/>
        <v>89.212239090042203</v>
      </c>
      <c r="N781">
        <f t="shared" ca="1" si="723"/>
        <v>93.16271079293972</v>
      </c>
      <c r="O781">
        <f t="shared" ca="1" si="723"/>
        <v>97.23416011256181</v>
      </c>
      <c r="P781">
        <f t="shared" ca="1" si="723"/>
        <v>95.832944786091574</v>
      </c>
      <c r="Q781">
        <f t="shared" ca="1" si="724"/>
        <v>107.96541210195727</v>
      </c>
      <c r="R781">
        <f t="shared" ca="1" si="725"/>
        <v>0</v>
      </c>
      <c r="S781">
        <f t="shared" ca="1" si="726"/>
        <v>0</v>
      </c>
    </row>
    <row r="782" spans="5:19" x14ac:dyDescent="0.75">
      <c r="E782">
        <v>777</v>
      </c>
      <c r="F782">
        <f t="shared" si="722"/>
        <v>100</v>
      </c>
      <c r="G782">
        <f t="shared" ca="1" si="723"/>
        <v>97.384121792869905</v>
      </c>
      <c r="H782">
        <f t="shared" ca="1" si="723"/>
        <v>101.6050000553421</v>
      </c>
      <c r="I782">
        <f t="shared" ca="1" si="723"/>
        <v>96.607454891331344</v>
      </c>
      <c r="J782">
        <f t="shared" ca="1" si="723"/>
        <v>107.41900456382639</v>
      </c>
      <c r="K782">
        <f t="shared" ca="1" si="723"/>
        <v>103.82592031000576</v>
      </c>
      <c r="L782">
        <f t="shared" ca="1" si="723"/>
        <v>101.16737932822009</v>
      </c>
      <c r="M782">
        <f t="shared" ca="1" si="723"/>
        <v>107.77002530879857</v>
      </c>
      <c r="N782">
        <f t="shared" ca="1" si="723"/>
        <v>107.82725332521562</v>
      </c>
      <c r="O782">
        <f t="shared" ca="1" si="723"/>
        <v>112.26543110508852</v>
      </c>
      <c r="P782">
        <f t="shared" ca="1" si="723"/>
        <v>110.11503531565663</v>
      </c>
      <c r="Q782">
        <f t="shared" ca="1" si="724"/>
        <v>112.26543110508852</v>
      </c>
      <c r="R782">
        <f t="shared" ca="1" si="725"/>
        <v>0</v>
      </c>
      <c r="S782">
        <f t="shared" ca="1" si="726"/>
        <v>0</v>
      </c>
    </row>
    <row r="783" spans="5:19" x14ac:dyDescent="0.75">
      <c r="E783">
        <v>778</v>
      </c>
      <c r="F783">
        <f t="shared" si="722"/>
        <v>100</v>
      </c>
      <c r="G783">
        <f t="shared" ca="1" si="723"/>
        <v>105.69154160436993</v>
      </c>
      <c r="H783">
        <f t="shared" ca="1" si="723"/>
        <v>96.553287206506127</v>
      </c>
      <c r="I783">
        <f t="shared" ca="1" si="723"/>
        <v>102.3078274051513</v>
      </c>
      <c r="J783">
        <f t="shared" ca="1" si="723"/>
        <v>100.62606964236124</v>
      </c>
      <c r="K783">
        <f t="shared" ca="1" si="723"/>
        <v>106.1870093063075</v>
      </c>
      <c r="L783">
        <f t="shared" ca="1" si="723"/>
        <v>105.55310185529133</v>
      </c>
      <c r="M783">
        <f t="shared" ca="1" si="723"/>
        <v>101.895662511208</v>
      </c>
      <c r="N783">
        <f t="shared" ca="1" si="723"/>
        <v>108.97940720276065</v>
      </c>
      <c r="O783">
        <f t="shared" ca="1" si="723"/>
        <v>113.65072844902295</v>
      </c>
      <c r="P783">
        <f t="shared" ca="1" si="723"/>
        <v>111.44726499500027</v>
      </c>
      <c r="Q783">
        <f t="shared" ca="1" si="724"/>
        <v>113.65072844902295</v>
      </c>
      <c r="R783">
        <f t="shared" ca="1" si="725"/>
        <v>0</v>
      </c>
      <c r="S783">
        <f t="shared" ca="1" si="726"/>
        <v>0</v>
      </c>
    </row>
    <row r="784" spans="5:19" x14ac:dyDescent="0.75">
      <c r="E784">
        <v>779</v>
      </c>
      <c r="F784">
        <f t="shared" si="722"/>
        <v>100</v>
      </c>
      <c r="G784">
        <f t="shared" ca="1" si="723"/>
        <v>107.34842865467549</v>
      </c>
      <c r="H784">
        <f t="shared" ca="1" si="723"/>
        <v>96.534449432045363</v>
      </c>
      <c r="I784">
        <f t="shared" ca="1" si="723"/>
        <v>89.845572300689213</v>
      </c>
      <c r="J784">
        <f t="shared" ref="J784:P784" ca="1" si="727">I784*EXP(($C$6-0.5*$C$7^2)*$C$12+$C$7*SQRT($C$12)*NORMINV(RAND(),0,1))</f>
        <v>94.444632259247896</v>
      </c>
      <c r="K784">
        <f t="shared" ca="1" si="727"/>
        <v>96.613955872242599</v>
      </c>
      <c r="L784">
        <f t="shared" ca="1" si="727"/>
        <v>88.218350338130463</v>
      </c>
      <c r="M784">
        <f t="shared" ca="1" si="727"/>
        <v>86.979378140845526</v>
      </c>
      <c r="N784">
        <f t="shared" ca="1" si="727"/>
        <v>82.536375765441534</v>
      </c>
      <c r="O784">
        <f t="shared" ca="1" si="727"/>
        <v>86.723690925351178</v>
      </c>
      <c r="P784">
        <f t="shared" ca="1" si="727"/>
        <v>85.369888856796749</v>
      </c>
      <c r="Q784">
        <f t="shared" ca="1" si="724"/>
        <v>107.34842865467549</v>
      </c>
      <c r="R784">
        <f t="shared" ca="1" si="725"/>
        <v>0</v>
      </c>
      <c r="S784">
        <f t="shared" ca="1" si="726"/>
        <v>0</v>
      </c>
    </row>
    <row r="785" spans="5:19" x14ac:dyDescent="0.75">
      <c r="E785">
        <v>780</v>
      </c>
      <c r="F785">
        <f t="shared" si="722"/>
        <v>100</v>
      </c>
      <c r="G785">
        <f t="shared" ca="1" si="723"/>
        <v>108.80320842046405</v>
      </c>
      <c r="H785">
        <f t="shared" ca="1" si="723"/>
        <v>105.09589965091239</v>
      </c>
      <c r="I785">
        <f t="shared" ca="1" si="723"/>
        <v>101.02249183865412</v>
      </c>
      <c r="J785">
        <f t="shared" ref="J785:P785" ca="1" si="728">I785*EXP(($C$6-0.5*$C$7^2)*$C$12+$C$7*SQRT($C$12)*NORMINV(RAND(),0,1))</f>
        <v>102.63407286192854</v>
      </c>
      <c r="K785">
        <f t="shared" ca="1" si="728"/>
        <v>106.43153766147871</v>
      </c>
      <c r="L785">
        <f t="shared" ca="1" si="728"/>
        <v>108.52642933202839</v>
      </c>
      <c r="M785">
        <f t="shared" ca="1" si="728"/>
        <v>106.97459314642735</v>
      </c>
      <c r="N785">
        <f t="shared" ca="1" si="728"/>
        <v>101.8596245673825</v>
      </c>
      <c r="O785">
        <f t="shared" ca="1" si="728"/>
        <v>98.409262138157828</v>
      </c>
      <c r="P785">
        <f t="shared" ca="1" si="728"/>
        <v>102.10975609027066</v>
      </c>
      <c r="Q785">
        <f t="shared" ca="1" si="724"/>
        <v>108.80320842046405</v>
      </c>
      <c r="R785">
        <f t="shared" ca="1" si="725"/>
        <v>0.10975609027066469</v>
      </c>
      <c r="S785">
        <f t="shared" ca="1" si="726"/>
        <v>0.10704620274645571</v>
      </c>
    </row>
    <row r="786" spans="5:19" x14ac:dyDescent="0.75">
      <c r="E786">
        <v>781</v>
      </c>
      <c r="F786">
        <f t="shared" si="722"/>
        <v>100</v>
      </c>
      <c r="G786">
        <f t="shared" ca="1" si="723"/>
        <v>103.7499057480079</v>
      </c>
      <c r="H786">
        <f t="shared" ca="1" si="723"/>
        <v>109.16895753204911</v>
      </c>
      <c r="I786">
        <f t="shared" ca="1" si="723"/>
        <v>102.22182719242288</v>
      </c>
      <c r="J786">
        <f t="shared" ref="J786:P786" ca="1" si="729">I786*EXP(($C$6-0.5*$C$7^2)*$C$12+$C$7*SQRT($C$12)*NORMINV(RAND(),0,1))</f>
        <v>99.802139372923449</v>
      </c>
      <c r="K786">
        <f t="shared" ca="1" si="729"/>
        <v>99.270736841891377</v>
      </c>
      <c r="L786">
        <f t="shared" ca="1" si="729"/>
        <v>102.01869304417046</v>
      </c>
      <c r="M786">
        <f t="shared" ca="1" si="729"/>
        <v>105.94867965199144</v>
      </c>
      <c r="N786">
        <f t="shared" ca="1" si="729"/>
        <v>106.56575620159248</v>
      </c>
      <c r="O786">
        <f t="shared" ca="1" si="729"/>
        <v>101.32571846624776</v>
      </c>
      <c r="P786">
        <f t="shared" ca="1" si="729"/>
        <v>100.20182275957312</v>
      </c>
      <c r="Q786">
        <f t="shared" ca="1" si="724"/>
        <v>109.16895753204911</v>
      </c>
      <c r="R786">
        <f t="shared" ca="1" si="725"/>
        <v>0</v>
      </c>
      <c r="S786">
        <f t="shared" ca="1" si="726"/>
        <v>0</v>
      </c>
    </row>
    <row r="787" spans="5:19" x14ac:dyDescent="0.75">
      <c r="E787">
        <v>782</v>
      </c>
      <c r="F787">
        <f t="shared" si="722"/>
        <v>100</v>
      </c>
      <c r="G787">
        <f t="shared" ca="1" si="723"/>
        <v>92.483268070827179</v>
      </c>
      <c r="H787">
        <f t="shared" ca="1" si="723"/>
        <v>93.163833371087009</v>
      </c>
      <c r="I787">
        <f t="shared" ca="1" si="723"/>
        <v>96.929482716447524</v>
      </c>
      <c r="J787">
        <f t="shared" ref="J787:P787" ca="1" si="730">I787*EXP(($C$6-0.5*$C$7^2)*$C$12+$C$7*SQRT($C$12)*NORMINV(RAND(),0,1))</f>
        <v>107.55881125613156</v>
      </c>
      <c r="K787">
        <f t="shared" ca="1" si="730"/>
        <v>109.52114349464794</v>
      </c>
      <c r="L787">
        <f t="shared" ca="1" si="730"/>
        <v>109.46425524999576</v>
      </c>
      <c r="M787">
        <f t="shared" ca="1" si="730"/>
        <v>115.24474341243757</v>
      </c>
      <c r="N787">
        <f t="shared" ca="1" si="730"/>
        <v>121.87539159260224</v>
      </c>
      <c r="O787">
        <f t="shared" ca="1" si="730"/>
        <v>119.36731663404649</v>
      </c>
      <c r="P787">
        <f t="shared" ca="1" si="730"/>
        <v>116.25614278439961</v>
      </c>
      <c r="Q787">
        <f t="shared" ca="1" si="724"/>
        <v>121.87539159260224</v>
      </c>
      <c r="R787">
        <f t="shared" ca="1" si="725"/>
        <v>0</v>
      </c>
      <c r="S787">
        <f t="shared" ca="1" si="726"/>
        <v>0</v>
      </c>
    </row>
    <row r="788" spans="5:19" x14ac:dyDescent="0.75">
      <c r="E788">
        <v>783</v>
      </c>
      <c r="F788">
        <f t="shared" si="722"/>
        <v>100</v>
      </c>
      <c r="G788">
        <f t="shared" ca="1" si="723"/>
        <v>91.009122497804626</v>
      </c>
      <c r="H788">
        <f t="shared" ca="1" si="723"/>
        <v>90.43077448353452</v>
      </c>
      <c r="I788">
        <f t="shared" ca="1" si="723"/>
        <v>94.286650366112156</v>
      </c>
      <c r="J788">
        <f t="shared" ref="J788:P788" ca="1" si="731">I788*EXP(($C$6-0.5*$C$7^2)*$C$12+$C$7*SQRT($C$12)*NORMINV(RAND(),0,1))</f>
        <v>92.067813767474306</v>
      </c>
      <c r="K788">
        <f t="shared" ca="1" si="731"/>
        <v>101.8291571438385</v>
      </c>
      <c r="L788">
        <f t="shared" ca="1" si="731"/>
        <v>104.14548350773467</v>
      </c>
      <c r="M788">
        <f t="shared" ca="1" si="731"/>
        <v>107.06687204125954</v>
      </c>
      <c r="N788">
        <f t="shared" ca="1" si="731"/>
        <v>101.77746979838724</v>
      </c>
      <c r="O788">
        <f t="shared" ca="1" si="731"/>
        <v>98.933285124658923</v>
      </c>
      <c r="P788">
        <f t="shared" ca="1" si="731"/>
        <v>89.924086698919254</v>
      </c>
      <c r="Q788">
        <f t="shared" ca="1" si="724"/>
        <v>107.06687204125954</v>
      </c>
      <c r="R788">
        <f t="shared" ca="1" si="725"/>
        <v>0</v>
      </c>
      <c r="S788">
        <f t="shared" ca="1" si="726"/>
        <v>0</v>
      </c>
    </row>
    <row r="789" spans="5:19" x14ac:dyDescent="0.75">
      <c r="E789">
        <v>784</v>
      </c>
      <c r="F789">
        <f t="shared" si="722"/>
        <v>100</v>
      </c>
      <c r="G789">
        <f t="shared" ca="1" si="723"/>
        <v>97.21193804895168</v>
      </c>
      <c r="H789">
        <f t="shared" ca="1" si="723"/>
        <v>95.494622952343789</v>
      </c>
      <c r="I789">
        <f t="shared" ca="1" si="723"/>
        <v>95.092935060335506</v>
      </c>
      <c r="J789">
        <f t="shared" ref="J789:P789" ca="1" si="732">I789*EXP(($C$6-0.5*$C$7^2)*$C$12+$C$7*SQRT($C$12)*NORMINV(RAND(),0,1))</f>
        <v>96.293978399594366</v>
      </c>
      <c r="K789">
        <f t="shared" ca="1" si="732"/>
        <v>100.04807461253499</v>
      </c>
      <c r="L789">
        <f t="shared" ca="1" si="732"/>
        <v>99.806835960728435</v>
      </c>
      <c r="M789">
        <f t="shared" ca="1" si="732"/>
        <v>103.99025304231755</v>
      </c>
      <c r="N789">
        <f t="shared" ca="1" si="732"/>
        <v>105.84420089737846</v>
      </c>
      <c r="O789">
        <f t="shared" ca="1" si="732"/>
        <v>103.74054584029548</v>
      </c>
      <c r="P789">
        <f t="shared" ca="1" si="732"/>
        <v>102.5985282898101</v>
      </c>
      <c r="Q789">
        <f t="shared" ca="1" si="724"/>
        <v>105.84420089737846</v>
      </c>
      <c r="R789">
        <f t="shared" ca="1" si="725"/>
        <v>0.59852828981010475</v>
      </c>
      <c r="S789">
        <f t="shared" ca="1" si="726"/>
        <v>0.58375057368116168</v>
      </c>
    </row>
    <row r="790" spans="5:19" x14ac:dyDescent="0.75">
      <c r="E790">
        <v>785</v>
      </c>
      <c r="F790">
        <f t="shared" si="722"/>
        <v>100</v>
      </c>
      <c r="G790">
        <f t="shared" ca="1" si="723"/>
        <v>105.46034179480787</v>
      </c>
      <c r="H790">
        <f t="shared" ca="1" si="723"/>
        <v>103.66293219079883</v>
      </c>
      <c r="I790">
        <f t="shared" ca="1" si="723"/>
        <v>100.06572130570751</v>
      </c>
      <c r="J790">
        <f t="shared" ref="J790:P790" ca="1" si="733">I790*EXP(($C$6-0.5*$C$7^2)*$C$12+$C$7*SQRT($C$12)*NORMINV(RAND(),0,1))</f>
        <v>100.05427762129658</v>
      </c>
      <c r="K790">
        <f t="shared" ca="1" si="733"/>
        <v>102.46120167994255</v>
      </c>
      <c r="L790">
        <f t="shared" ca="1" si="733"/>
        <v>105.78187218114779</v>
      </c>
      <c r="M790">
        <f t="shared" ca="1" si="733"/>
        <v>100.03255230085756</v>
      </c>
      <c r="N790">
        <f t="shared" ca="1" si="733"/>
        <v>101.94613120337952</v>
      </c>
      <c r="O790">
        <f t="shared" ca="1" si="733"/>
        <v>113.75688694537079</v>
      </c>
      <c r="P790">
        <f t="shared" ca="1" si="733"/>
        <v>116.1894339484448</v>
      </c>
      <c r="Q790">
        <f t="shared" ca="1" si="724"/>
        <v>116.1894339484448</v>
      </c>
      <c r="R790">
        <f t="shared" ca="1" si="725"/>
        <v>0</v>
      </c>
      <c r="S790">
        <f t="shared" ca="1" si="726"/>
        <v>0</v>
      </c>
    </row>
    <row r="791" spans="5:19" x14ac:dyDescent="0.75">
      <c r="E791">
        <v>786</v>
      </c>
      <c r="F791">
        <f t="shared" si="722"/>
        <v>100</v>
      </c>
      <c r="G791">
        <f t="shared" ca="1" si="723"/>
        <v>100.67306635011317</v>
      </c>
      <c r="H791">
        <f t="shared" ca="1" si="723"/>
        <v>99.2347711205053</v>
      </c>
      <c r="I791">
        <f t="shared" ca="1" si="723"/>
        <v>94.265756977102711</v>
      </c>
      <c r="J791">
        <f t="shared" ref="J791:P791" ca="1" si="734">I791*EXP(($C$6-0.5*$C$7^2)*$C$12+$C$7*SQRT($C$12)*NORMINV(RAND(),0,1))</f>
        <v>96.734940508274818</v>
      </c>
      <c r="K791">
        <f t="shared" ca="1" si="734"/>
        <v>97.955840847063072</v>
      </c>
      <c r="L791">
        <f t="shared" ca="1" si="734"/>
        <v>96.614249135940142</v>
      </c>
      <c r="M791">
        <f t="shared" ca="1" si="734"/>
        <v>105.35897463181389</v>
      </c>
      <c r="N791">
        <f t="shared" ca="1" si="734"/>
        <v>113.32254200040289</v>
      </c>
      <c r="O791">
        <f t="shared" ca="1" si="734"/>
        <v>115.83421288365145</v>
      </c>
      <c r="P791">
        <f t="shared" ca="1" si="734"/>
        <v>121.61553414970072</v>
      </c>
      <c r="Q791">
        <f t="shared" ca="1" si="724"/>
        <v>121.61553414970072</v>
      </c>
      <c r="R791">
        <f t="shared" ca="1" si="725"/>
        <v>0</v>
      </c>
      <c r="S791">
        <f t="shared" ca="1" si="726"/>
        <v>0</v>
      </c>
    </row>
    <row r="792" spans="5:19" x14ac:dyDescent="0.75">
      <c r="E792">
        <v>787</v>
      </c>
      <c r="F792">
        <f t="shared" si="722"/>
        <v>100</v>
      </c>
      <c r="G792">
        <f t="shared" ca="1" si="723"/>
        <v>99.80928036568406</v>
      </c>
      <c r="H792">
        <f t="shared" ca="1" si="723"/>
        <v>99.996237141550324</v>
      </c>
      <c r="I792">
        <f t="shared" ca="1" si="723"/>
        <v>99.206259778197463</v>
      </c>
      <c r="J792">
        <f t="shared" ref="J792:P792" ca="1" si="735">I792*EXP(($C$6-0.5*$C$7^2)*$C$12+$C$7*SQRT($C$12)*NORMINV(RAND(),0,1))</f>
        <v>105.12405102301557</v>
      </c>
      <c r="K792">
        <f t="shared" ca="1" si="735"/>
        <v>104.8172478507487</v>
      </c>
      <c r="L792">
        <f t="shared" ca="1" si="735"/>
        <v>101.20669735686522</v>
      </c>
      <c r="M792">
        <f t="shared" ca="1" si="735"/>
        <v>99.507216986638426</v>
      </c>
      <c r="N792">
        <f t="shared" ca="1" si="735"/>
        <v>108.84423561301028</v>
      </c>
      <c r="O792">
        <f t="shared" ca="1" si="735"/>
        <v>108.70236949594288</v>
      </c>
      <c r="P792">
        <f t="shared" ca="1" si="735"/>
        <v>108.26411530048867</v>
      </c>
      <c r="Q792">
        <f t="shared" ca="1" si="724"/>
        <v>108.84423561301028</v>
      </c>
      <c r="R792">
        <f t="shared" ca="1" si="725"/>
        <v>6.2641153004886689</v>
      </c>
      <c r="S792">
        <f t="shared" ca="1" si="726"/>
        <v>6.109453742654936</v>
      </c>
    </row>
    <row r="793" spans="5:19" x14ac:dyDescent="0.75">
      <c r="E793">
        <v>788</v>
      </c>
      <c r="F793">
        <f t="shared" si="722"/>
        <v>100</v>
      </c>
      <c r="G793">
        <f t="shared" ca="1" si="723"/>
        <v>103.00280094683478</v>
      </c>
      <c r="H793">
        <f t="shared" ca="1" si="723"/>
        <v>109.02296784300144</v>
      </c>
      <c r="I793">
        <f t="shared" ca="1" si="723"/>
        <v>106.74163418611751</v>
      </c>
      <c r="J793">
        <f t="shared" ref="J793:P793" ca="1" si="736">I793*EXP(($C$6-0.5*$C$7^2)*$C$12+$C$7*SQRT($C$12)*NORMINV(RAND(),0,1))</f>
        <v>109.44034657438895</v>
      </c>
      <c r="K793">
        <f t="shared" ca="1" si="736"/>
        <v>109.4010734053918</v>
      </c>
      <c r="L793">
        <f t="shared" ca="1" si="736"/>
        <v>109.32769327250764</v>
      </c>
      <c r="M793">
        <f t="shared" ca="1" si="736"/>
        <v>119.21533525718165</v>
      </c>
      <c r="N793">
        <f t="shared" ca="1" si="736"/>
        <v>116.2555151115871</v>
      </c>
      <c r="O793">
        <f t="shared" ca="1" si="736"/>
        <v>112.01205285187777</v>
      </c>
      <c r="P793">
        <f t="shared" ca="1" si="736"/>
        <v>108.00409590428484</v>
      </c>
      <c r="Q793">
        <f t="shared" ca="1" si="724"/>
        <v>119.21533525718165</v>
      </c>
      <c r="R793">
        <f t="shared" ca="1" si="725"/>
        <v>0</v>
      </c>
      <c r="S793">
        <f t="shared" ca="1" si="726"/>
        <v>0</v>
      </c>
    </row>
    <row r="794" spans="5:19" x14ac:dyDescent="0.75">
      <c r="E794">
        <v>789</v>
      </c>
      <c r="F794">
        <f t="shared" si="722"/>
        <v>100</v>
      </c>
      <c r="G794">
        <f t="shared" ca="1" si="723"/>
        <v>101.6459565662132</v>
      </c>
      <c r="H794">
        <f t="shared" ca="1" si="723"/>
        <v>101.83525802682311</v>
      </c>
      <c r="I794">
        <f t="shared" ca="1" si="723"/>
        <v>100.66752218966541</v>
      </c>
      <c r="J794">
        <f t="shared" ref="J794:P794" ca="1" si="737">I794*EXP(($C$6-0.5*$C$7^2)*$C$12+$C$7*SQRT($C$12)*NORMINV(RAND(),0,1))</f>
        <v>102.70351680906502</v>
      </c>
      <c r="K794">
        <f t="shared" ca="1" si="737"/>
        <v>104.84952256700365</v>
      </c>
      <c r="L794">
        <f t="shared" ca="1" si="737"/>
        <v>109.09090131751633</v>
      </c>
      <c r="M794">
        <f t="shared" ca="1" si="737"/>
        <v>118.19695660946431</v>
      </c>
      <c r="N794">
        <f t="shared" ca="1" si="737"/>
        <v>115.38377620709362</v>
      </c>
      <c r="O794">
        <f t="shared" ca="1" si="737"/>
        <v>121.0269632272402</v>
      </c>
      <c r="P794">
        <f t="shared" ca="1" si="737"/>
        <v>120.71514915287808</v>
      </c>
      <c r="Q794">
        <f t="shared" ca="1" si="724"/>
        <v>121.0269632272402</v>
      </c>
      <c r="R794">
        <f t="shared" ca="1" si="725"/>
        <v>0</v>
      </c>
      <c r="S794">
        <f t="shared" ca="1" si="726"/>
        <v>0</v>
      </c>
    </row>
    <row r="795" spans="5:19" x14ac:dyDescent="0.75">
      <c r="E795">
        <v>790</v>
      </c>
      <c r="F795">
        <f t="shared" si="722"/>
        <v>100</v>
      </c>
      <c r="G795">
        <f t="shared" ca="1" si="723"/>
        <v>102.59319001862366</v>
      </c>
      <c r="H795">
        <f t="shared" ca="1" si="723"/>
        <v>106.5032525480285</v>
      </c>
      <c r="I795">
        <f t="shared" ca="1" si="723"/>
        <v>110.11743795453511</v>
      </c>
      <c r="J795">
        <f t="shared" ref="J795:P795" ca="1" si="738">I795*EXP(($C$6-0.5*$C$7^2)*$C$12+$C$7*SQRT($C$12)*NORMINV(RAND(),0,1))</f>
        <v>110.16061278392743</v>
      </c>
      <c r="K795">
        <f t="shared" ca="1" si="738"/>
        <v>114.07914886324927</v>
      </c>
      <c r="L795">
        <f t="shared" ca="1" si="738"/>
        <v>110.21884161099722</v>
      </c>
      <c r="M795">
        <f t="shared" ca="1" si="738"/>
        <v>109.3494293224565</v>
      </c>
      <c r="N795">
        <f t="shared" ca="1" si="738"/>
        <v>109.67026550377403</v>
      </c>
      <c r="O795">
        <f t="shared" ca="1" si="738"/>
        <v>108.79903132772591</v>
      </c>
      <c r="P795">
        <f t="shared" ca="1" si="738"/>
        <v>113.46267835213013</v>
      </c>
      <c r="Q795">
        <f t="shared" ca="1" si="724"/>
        <v>114.07914886324927</v>
      </c>
      <c r="R795">
        <f t="shared" ca="1" si="725"/>
        <v>0</v>
      </c>
      <c r="S795">
        <f t="shared" ca="1" si="726"/>
        <v>0</v>
      </c>
    </row>
    <row r="796" spans="5:19" x14ac:dyDescent="0.75">
      <c r="E796">
        <v>791</v>
      </c>
      <c r="F796">
        <f t="shared" si="722"/>
        <v>100</v>
      </c>
      <c r="G796">
        <f t="shared" ca="1" si="723"/>
        <v>96.454655845278737</v>
      </c>
      <c r="H796">
        <f t="shared" ca="1" si="723"/>
        <v>93.995892643938006</v>
      </c>
      <c r="I796">
        <f t="shared" ca="1" si="723"/>
        <v>97.344106125576658</v>
      </c>
      <c r="J796">
        <f t="shared" ref="J796:P796" ca="1" si="739">I796*EXP(($C$6-0.5*$C$7^2)*$C$12+$C$7*SQRT($C$12)*NORMINV(RAND(),0,1))</f>
        <v>87.016814212543125</v>
      </c>
      <c r="K796">
        <f t="shared" ca="1" si="739"/>
        <v>79.932187386341482</v>
      </c>
      <c r="L796">
        <f t="shared" ca="1" si="739"/>
        <v>76.976098915856909</v>
      </c>
      <c r="M796">
        <f t="shared" ca="1" si="739"/>
        <v>76.338316601056974</v>
      </c>
      <c r="N796">
        <f t="shared" ca="1" si="739"/>
        <v>82.524441366860557</v>
      </c>
      <c r="O796">
        <f t="shared" ca="1" si="739"/>
        <v>80.13208982664726</v>
      </c>
      <c r="P796">
        <f t="shared" ca="1" si="739"/>
        <v>79.874938693758651</v>
      </c>
      <c r="Q796">
        <f t="shared" ca="1" si="724"/>
        <v>97.344106125576658</v>
      </c>
      <c r="R796">
        <f t="shared" ca="1" si="725"/>
        <v>0</v>
      </c>
      <c r="S796">
        <f t="shared" ca="1" si="726"/>
        <v>0</v>
      </c>
    </row>
    <row r="797" spans="5:19" x14ac:dyDescent="0.75">
      <c r="E797">
        <v>792</v>
      </c>
      <c r="F797">
        <f t="shared" si="722"/>
        <v>100</v>
      </c>
      <c r="G797">
        <f t="shared" ca="1" si="723"/>
        <v>98.606685735885975</v>
      </c>
      <c r="H797">
        <f t="shared" ca="1" si="723"/>
        <v>96.840344152694129</v>
      </c>
      <c r="I797">
        <f t="shared" ca="1" si="723"/>
        <v>97.061576765948942</v>
      </c>
      <c r="J797">
        <f t="shared" ref="J797:P797" ca="1" si="740">I797*EXP(($C$6-0.5*$C$7^2)*$C$12+$C$7*SQRT($C$12)*NORMINV(RAND(),0,1))</f>
        <v>100.7957020519063</v>
      </c>
      <c r="K797">
        <f t="shared" ca="1" si="740"/>
        <v>110.63240762180327</v>
      </c>
      <c r="L797">
        <f t="shared" ca="1" si="740"/>
        <v>114.37111997472248</v>
      </c>
      <c r="M797">
        <f t="shared" ca="1" si="740"/>
        <v>109.84499916041305</v>
      </c>
      <c r="N797">
        <f t="shared" ca="1" si="740"/>
        <v>108.75229545705189</v>
      </c>
      <c r="O797">
        <f t="shared" ca="1" si="740"/>
        <v>109.62767953627427</v>
      </c>
      <c r="P797">
        <f t="shared" ca="1" si="740"/>
        <v>119.7001566833051</v>
      </c>
      <c r="Q797">
        <f t="shared" ca="1" si="724"/>
        <v>119.7001566833051</v>
      </c>
      <c r="R797">
        <f t="shared" ca="1" si="725"/>
        <v>0</v>
      </c>
      <c r="S797">
        <f t="shared" ca="1" si="726"/>
        <v>0</v>
      </c>
    </row>
    <row r="798" spans="5:19" x14ac:dyDescent="0.75">
      <c r="E798">
        <v>793</v>
      </c>
      <c r="F798">
        <f t="shared" si="722"/>
        <v>100</v>
      </c>
      <c r="G798">
        <f t="shared" ca="1" si="723"/>
        <v>98.44467894305545</v>
      </c>
      <c r="H798">
        <f t="shared" ca="1" si="723"/>
        <v>102.05651136476709</v>
      </c>
      <c r="I798">
        <f t="shared" ca="1" si="723"/>
        <v>102.89010026583318</v>
      </c>
      <c r="J798">
        <f t="shared" ref="J798:P798" ca="1" si="741">I798*EXP(($C$6-0.5*$C$7^2)*$C$12+$C$7*SQRT($C$12)*NORMINV(RAND(),0,1))</f>
        <v>99.321552541916262</v>
      </c>
      <c r="K798">
        <f t="shared" ca="1" si="741"/>
        <v>99.641036883463187</v>
      </c>
      <c r="L798">
        <f t="shared" ca="1" si="741"/>
        <v>104.53010594033901</v>
      </c>
      <c r="M798">
        <f t="shared" ca="1" si="741"/>
        <v>111.7786926212906</v>
      </c>
      <c r="N798">
        <f t="shared" ca="1" si="741"/>
        <v>109.39777410986082</v>
      </c>
      <c r="O798">
        <f t="shared" ca="1" si="741"/>
        <v>104.20017259390288</v>
      </c>
      <c r="P798">
        <f t="shared" ca="1" si="741"/>
        <v>103.52722642632989</v>
      </c>
      <c r="Q798">
        <f t="shared" ca="1" si="724"/>
        <v>111.7786926212906</v>
      </c>
      <c r="R798">
        <f t="shared" ca="1" si="725"/>
        <v>0</v>
      </c>
      <c r="S798">
        <f t="shared" ca="1" si="726"/>
        <v>0</v>
      </c>
    </row>
    <row r="799" spans="5:19" x14ac:dyDescent="0.75">
      <c r="E799">
        <v>794</v>
      </c>
      <c r="F799">
        <f t="shared" si="722"/>
        <v>100</v>
      </c>
      <c r="G799">
        <f t="shared" ca="1" si="723"/>
        <v>104.5105735682796</v>
      </c>
      <c r="H799">
        <f t="shared" ca="1" si="723"/>
        <v>99.401286521295248</v>
      </c>
      <c r="I799">
        <f t="shared" ca="1" si="723"/>
        <v>106.29108339749411</v>
      </c>
      <c r="J799">
        <f t="shared" ref="J799:P799" ca="1" si="742">I799*EXP(($C$6-0.5*$C$7^2)*$C$12+$C$7*SQRT($C$12)*NORMINV(RAND(),0,1))</f>
        <v>109.1986861720906</v>
      </c>
      <c r="K799">
        <f t="shared" ca="1" si="742"/>
        <v>102.78530672543062</v>
      </c>
      <c r="L799">
        <f t="shared" ca="1" si="742"/>
        <v>95.076209426199725</v>
      </c>
      <c r="M799">
        <f t="shared" ca="1" si="742"/>
        <v>101.74575765683704</v>
      </c>
      <c r="N799">
        <f t="shared" ca="1" si="742"/>
        <v>98.776773807115234</v>
      </c>
      <c r="O799">
        <f t="shared" ca="1" si="742"/>
        <v>102.97164505826993</v>
      </c>
      <c r="P799">
        <f t="shared" ca="1" si="742"/>
        <v>108.78407849571539</v>
      </c>
      <c r="Q799">
        <f t="shared" ca="1" si="724"/>
        <v>109.1986861720906</v>
      </c>
      <c r="R799">
        <f t="shared" ca="1" si="725"/>
        <v>6.7840784957153915</v>
      </c>
      <c r="S799">
        <f t="shared" ca="1" si="726"/>
        <v>6.6165790008494811</v>
      </c>
    </row>
    <row r="800" spans="5:19" x14ac:dyDescent="0.75">
      <c r="E800">
        <v>795</v>
      </c>
      <c r="F800">
        <f t="shared" si="722"/>
        <v>100</v>
      </c>
      <c r="G800">
        <f t="shared" ca="1" si="723"/>
        <v>92.377186117740393</v>
      </c>
      <c r="H800">
        <f t="shared" ca="1" si="723"/>
        <v>95.839436362278207</v>
      </c>
      <c r="I800">
        <f t="shared" ca="1" si="723"/>
        <v>93.302333183630097</v>
      </c>
      <c r="J800">
        <f t="shared" ref="J800:P800" ca="1" si="743">I800*EXP(($C$6-0.5*$C$7^2)*$C$12+$C$7*SQRT($C$12)*NORMINV(RAND(),0,1))</f>
        <v>88.156720004417053</v>
      </c>
      <c r="K800">
        <f t="shared" ca="1" si="743"/>
        <v>83.595339885251917</v>
      </c>
      <c r="L800">
        <f t="shared" ca="1" si="743"/>
        <v>88.24836551273394</v>
      </c>
      <c r="M800">
        <f t="shared" ca="1" si="743"/>
        <v>79.221242651890364</v>
      </c>
      <c r="N800">
        <f t="shared" ca="1" si="743"/>
        <v>82.715935039483597</v>
      </c>
      <c r="O800">
        <f t="shared" ca="1" si="743"/>
        <v>87.164609918585739</v>
      </c>
      <c r="P800">
        <f t="shared" ca="1" si="743"/>
        <v>83.800881603539437</v>
      </c>
      <c r="Q800">
        <f t="shared" ca="1" si="724"/>
        <v>95.839436362278207</v>
      </c>
      <c r="R800">
        <f t="shared" ca="1" si="725"/>
        <v>0</v>
      </c>
      <c r="S800">
        <f t="shared" ca="1" si="726"/>
        <v>0</v>
      </c>
    </row>
    <row r="801" spans="5:19" x14ac:dyDescent="0.75">
      <c r="E801">
        <v>796</v>
      </c>
      <c r="F801">
        <f t="shared" si="722"/>
        <v>100</v>
      </c>
      <c r="G801">
        <f t="shared" ca="1" si="723"/>
        <v>96.847725437663868</v>
      </c>
      <c r="H801">
        <f t="shared" ca="1" si="723"/>
        <v>97.243130569154758</v>
      </c>
      <c r="I801">
        <f t="shared" ca="1" si="723"/>
        <v>105.07784250140871</v>
      </c>
      <c r="J801">
        <f t="shared" ref="J801:P801" ca="1" si="744">I801*EXP(($C$6-0.5*$C$7^2)*$C$12+$C$7*SQRT($C$12)*NORMINV(RAND(),0,1))</f>
        <v>109.11388816111298</v>
      </c>
      <c r="K801">
        <f t="shared" ca="1" si="744"/>
        <v>107.01750537593051</v>
      </c>
      <c r="L801">
        <f t="shared" ca="1" si="744"/>
        <v>101.17054532040059</v>
      </c>
      <c r="M801">
        <f t="shared" ca="1" si="744"/>
        <v>106.46083859223987</v>
      </c>
      <c r="N801">
        <f t="shared" ca="1" si="744"/>
        <v>111.91333380029748</v>
      </c>
      <c r="O801">
        <f t="shared" ca="1" si="744"/>
        <v>112.00562232072286</v>
      </c>
      <c r="P801">
        <f t="shared" ca="1" si="744"/>
        <v>118.18280864082837</v>
      </c>
      <c r="Q801">
        <f t="shared" ca="1" si="724"/>
        <v>118.18280864082837</v>
      </c>
      <c r="R801">
        <f t="shared" ca="1" si="725"/>
        <v>0</v>
      </c>
      <c r="S801">
        <f t="shared" ca="1" si="726"/>
        <v>0</v>
      </c>
    </row>
    <row r="802" spans="5:19" x14ac:dyDescent="0.75">
      <c r="E802">
        <v>797</v>
      </c>
      <c r="F802">
        <f t="shared" si="722"/>
        <v>100</v>
      </c>
      <c r="G802">
        <f t="shared" ca="1" si="723"/>
        <v>94.764201163009929</v>
      </c>
      <c r="H802">
        <f t="shared" ca="1" si="723"/>
        <v>90.613230272894185</v>
      </c>
      <c r="I802">
        <f t="shared" ca="1" si="723"/>
        <v>90.212508156360684</v>
      </c>
      <c r="J802">
        <f t="shared" ref="J802:P802" ca="1" si="745">I802*EXP(($C$6-0.5*$C$7^2)*$C$12+$C$7*SQRT($C$12)*NORMINV(RAND(),0,1))</f>
        <v>90.044582827374441</v>
      </c>
      <c r="K802">
        <f t="shared" ca="1" si="745"/>
        <v>91.49067157428108</v>
      </c>
      <c r="L802">
        <f t="shared" ca="1" si="745"/>
        <v>97.71246722486417</v>
      </c>
      <c r="M802">
        <f t="shared" ca="1" si="745"/>
        <v>98.232095005535371</v>
      </c>
      <c r="N802">
        <f t="shared" ca="1" si="745"/>
        <v>93.576910096462854</v>
      </c>
      <c r="O802">
        <f t="shared" ca="1" si="745"/>
        <v>93.433593585516505</v>
      </c>
      <c r="P802">
        <f t="shared" ca="1" si="745"/>
        <v>96.354932844230461</v>
      </c>
      <c r="Q802">
        <f t="shared" ca="1" si="724"/>
        <v>98.232095005535371</v>
      </c>
      <c r="R802">
        <f t="shared" ca="1" si="725"/>
        <v>0</v>
      </c>
      <c r="S802">
        <f t="shared" ca="1" si="726"/>
        <v>0</v>
      </c>
    </row>
    <row r="803" spans="5:19" x14ac:dyDescent="0.75">
      <c r="E803">
        <v>798</v>
      </c>
      <c r="F803">
        <f t="shared" si="722"/>
        <v>100</v>
      </c>
      <c r="G803">
        <f t="shared" ca="1" si="723"/>
        <v>108.86868367371383</v>
      </c>
      <c r="H803">
        <f t="shared" ca="1" si="723"/>
        <v>102.59822499235905</v>
      </c>
      <c r="I803">
        <f t="shared" ca="1" si="723"/>
        <v>105.70182654971397</v>
      </c>
      <c r="J803">
        <f t="shared" ref="J803:P803" ca="1" si="746">I803*EXP(($C$6-0.5*$C$7^2)*$C$12+$C$7*SQRT($C$12)*NORMINV(RAND(),0,1))</f>
        <v>104.61226141443967</v>
      </c>
      <c r="K803">
        <f t="shared" ca="1" si="746"/>
        <v>95.079604278028626</v>
      </c>
      <c r="L803">
        <f t="shared" ca="1" si="746"/>
        <v>93.086305932930955</v>
      </c>
      <c r="M803">
        <f t="shared" ca="1" si="746"/>
        <v>88.693045300503456</v>
      </c>
      <c r="N803">
        <f t="shared" ca="1" si="746"/>
        <v>89.440559637803361</v>
      </c>
      <c r="O803">
        <f t="shared" ca="1" si="746"/>
        <v>90.774299975703897</v>
      </c>
      <c r="P803">
        <f t="shared" ca="1" si="746"/>
        <v>89.908210947183349</v>
      </c>
      <c r="Q803">
        <f t="shared" ca="1" si="724"/>
        <v>108.86868367371383</v>
      </c>
      <c r="R803">
        <f t="shared" ca="1" si="725"/>
        <v>0</v>
      </c>
      <c r="S803">
        <f t="shared" ca="1" si="726"/>
        <v>0</v>
      </c>
    </row>
    <row r="804" spans="5:19" x14ac:dyDescent="0.75">
      <c r="E804">
        <v>799</v>
      </c>
      <c r="F804">
        <f t="shared" si="722"/>
        <v>100</v>
      </c>
      <c r="G804">
        <f t="shared" ca="1" si="723"/>
        <v>92.893689920937419</v>
      </c>
      <c r="H804">
        <f t="shared" ca="1" si="723"/>
        <v>87.729448889450381</v>
      </c>
      <c r="I804">
        <f t="shared" ca="1" si="723"/>
        <v>84.339327943919542</v>
      </c>
      <c r="J804">
        <f t="shared" ref="J804:P804" ca="1" si="747">I804*EXP(($C$6-0.5*$C$7^2)*$C$12+$C$7*SQRT($C$12)*NORMINV(RAND(),0,1))</f>
        <v>92.458944481424254</v>
      </c>
      <c r="K804">
        <f t="shared" ca="1" si="747"/>
        <v>97.553986859936714</v>
      </c>
      <c r="L804">
        <f t="shared" ca="1" si="747"/>
        <v>94.809149758952614</v>
      </c>
      <c r="M804">
        <f t="shared" ca="1" si="747"/>
        <v>86.550818834175118</v>
      </c>
      <c r="N804">
        <f t="shared" ca="1" si="747"/>
        <v>85.859124122818656</v>
      </c>
      <c r="O804">
        <f t="shared" ca="1" si="747"/>
        <v>87.586996824929685</v>
      </c>
      <c r="P804">
        <f t="shared" ca="1" si="747"/>
        <v>91.090139026278223</v>
      </c>
      <c r="Q804">
        <f t="shared" ca="1" si="724"/>
        <v>97.553986859936714</v>
      </c>
      <c r="R804">
        <f t="shared" ca="1" si="725"/>
        <v>0</v>
      </c>
      <c r="S804">
        <f t="shared" ca="1" si="726"/>
        <v>0</v>
      </c>
    </row>
    <row r="805" spans="5:19" x14ac:dyDescent="0.75">
      <c r="E805">
        <v>800</v>
      </c>
      <c r="F805">
        <f t="shared" si="722"/>
        <v>100</v>
      </c>
      <c r="G805">
        <f t="shared" ca="1" si="723"/>
        <v>94.426830991080692</v>
      </c>
      <c r="H805">
        <f t="shared" ca="1" si="723"/>
        <v>89.960835940742669</v>
      </c>
      <c r="I805">
        <f t="shared" ca="1" si="723"/>
        <v>83.548623445153837</v>
      </c>
      <c r="J805">
        <f t="shared" ref="J805:P805" ca="1" si="748">I805*EXP(($C$6-0.5*$C$7^2)*$C$12+$C$7*SQRT($C$12)*NORMINV(RAND(),0,1))</f>
        <v>82.854709382945188</v>
      </c>
      <c r="K805">
        <f t="shared" ca="1" si="748"/>
        <v>78.354501557577777</v>
      </c>
      <c r="L805">
        <f t="shared" ca="1" si="748"/>
        <v>80.170153038282152</v>
      </c>
      <c r="M805">
        <f t="shared" ca="1" si="748"/>
        <v>75.986239674426258</v>
      </c>
      <c r="N805">
        <f t="shared" ca="1" si="748"/>
        <v>80.51480003041479</v>
      </c>
      <c r="O805">
        <f t="shared" ca="1" si="748"/>
        <v>80.851292057307759</v>
      </c>
      <c r="P805">
        <f t="shared" ca="1" si="748"/>
        <v>72.061645262836009</v>
      </c>
      <c r="Q805">
        <f t="shared" ca="1" si="724"/>
        <v>94.426830991080692</v>
      </c>
      <c r="R805">
        <f t="shared" ca="1" si="725"/>
        <v>0</v>
      </c>
      <c r="S805">
        <f t="shared" ca="1" si="726"/>
        <v>0</v>
      </c>
    </row>
    <row r="806" spans="5:19" x14ac:dyDescent="0.75">
      <c r="E806">
        <v>801</v>
      </c>
      <c r="F806">
        <f t="shared" si="722"/>
        <v>100</v>
      </c>
      <c r="G806">
        <f t="shared" ca="1" si="723"/>
        <v>94.64170443868052</v>
      </c>
      <c r="H806">
        <f t="shared" ca="1" si="723"/>
        <v>94.675492124211132</v>
      </c>
      <c r="I806">
        <f t="shared" ca="1" si="723"/>
        <v>94.963100695946949</v>
      </c>
      <c r="J806">
        <f t="shared" ref="J806:P806" ca="1" si="749">I806*EXP(($C$6-0.5*$C$7^2)*$C$12+$C$7*SQRT($C$12)*NORMINV(RAND(),0,1))</f>
        <v>96.548194577338279</v>
      </c>
      <c r="K806">
        <f t="shared" ca="1" si="749"/>
        <v>96.407596691917163</v>
      </c>
      <c r="L806">
        <f t="shared" ca="1" si="749"/>
        <v>91.772496966820498</v>
      </c>
      <c r="M806">
        <f t="shared" ca="1" si="749"/>
        <v>89.0144857394328</v>
      </c>
      <c r="N806">
        <f t="shared" ca="1" si="749"/>
        <v>86.299725892735822</v>
      </c>
      <c r="O806">
        <f t="shared" ca="1" si="749"/>
        <v>95.380015491999231</v>
      </c>
      <c r="P806">
        <f t="shared" ca="1" si="749"/>
        <v>94.242216897767875</v>
      </c>
      <c r="Q806">
        <f t="shared" ca="1" si="724"/>
        <v>96.548194577338279</v>
      </c>
      <c r="R806">
        <f t="shared" ca="1" si="725"/>
        <v>0</v>
      </c>
      <c r="S806">
        <f t="shared" ca="1" si="726"/>
        <v>0</v>
      </c>
    </row>
    <row r="807" spans="5:19" x14ac:dyDescent="0.75">
      <c r="E807">
        <v>802</v>
      </c>
      <c r="F807">
        <f t="shared" si="722"/>
        <v>100</v>
      </c>
      <c r="G807">
        <f t="shared" ca="1" si="723"/>
        <v>98.149659324371555</v>
      </c>
      <c r="H807">
        <f t="shared" ca="1" si="723"/>
        <v>99.989183153042958</v>
      </c>
      <c r="I807">
        <f t="shared" ca="1" si="723"/>
        <v>101.05665242737315</v>
      </c>
      <c r="J807">
        <f t="shared" ref="J807:P807" ca="1" si="750">I807*EXP(($C$6-0.5*$C$7^2)*$C$12+$C$7*SQRT($C$12)*NORMINV(RAND(),0,1))</f>
        <v>98.858330948156365</v>
      </c>
      <c r="K807">
        <f t="shared" ca="1" si="750"/>
        <v>93.393798410651016</v>
      </c>
      <c r="L807">
        <f t="shared" ca="1" si="750"/>
        <v>105.27678721271994</v>
      </c>
      <c r="M807">
        <f t="shared" ca="1" si="750"/>
        <v>109.96382057685983</v>
      </c>
      <c r="N807">
        <f t="shared" ca="1" si="750"/>
        <v>106.10634815692057</v>
      </c>
      <c r="O807">
        <f t="shared" ca="1" si="750"/>
        <v>102.36342199652449</v>
      </c>
      <c r="P807">
        <f t="shared" ca="1" si="750"/>
        <v>103.5163190940428</v>
      </c>
      <c r="Q807">
        <f t="shared" ca="1" si="724"/>
        <v>109.96382057685983</v>
      </c>
      <c r="R807">
        <f t="shared" ca="1" si="725"/>
        <v>1.5163190940427995</v>
      </c>
      <c r="S807">
        <f t="shared" ca="1" si="726"/>
        <v>1.4788810422177638</v>
      </c>
    </row>
    <row r="808" spans="5:19" x14ac:dyDescent="0.75">
      <c r="E808">
        <v>803</v>
      </c>
      <c r="F808">
        <f t="shared" si="722"/>
        <v>100</v>
      </c>
      <c r="G808">
        <f t="shared" ca="1" si="723"/>
        <v>107.41089764096368</v>
      </c>
      <c r="H808">
        <f t="shared" ca="1" si="723"/>
        <v>105.92381302410622</v>
      </c>
      <c r="I808">
        <f t="shared" ca="1" si="723"/>
        <v>111.14003240250379</v>
      </c>
      <c r="J808">
        <f t="shared" ref="J808:P808" ca="1" si="751">I808*EXP(($C$6-0.5*$C$7^2)*$C$12+$C$7*SQRT($C$12)*NORMINV(RAND(),0,1))</f>
        <v>110.98705593915862</v>
      </c>
      <c r="K808">
        <f t="shared" ca="1" si="751"/>
        <v>108.94773148829177</v>
      </c>
      <c r="L808">
        <f t="shared" ca="1" si="751"/>
        <v>111.84334285225489</v>
      </c>
      <c r="M808">
        <f t="shared" ca="1" si="751"/>
        <v>111.3576587227643</v>
      </c>
      <c r="N808">
        <f t="shared" ca="1" si="751"/>
        <v>113.99856247900546</v>
      </c>
      <c r="O808">
        <f t="shared" ca="1" si="751"/>
        <v>116.27655449476202</v>
      </c>
      <c r="P808">
        <f t="shared" ca="1" si="751"/>
        <v>114.84198561711541</v>
      </c>
      <c r="Q808">
        <f t="shared" ca="1" si="724"/>
        <v>116.27655449476202</v>
      </c>
      <c r="R808">
        <f t="shared" ca="1" si="725"/>
        <v>0</v>
      </c>
      <c r="S808">
        <f t="shared" ca="1" si="726"/>
        <v>0</v>
      </c>
    </row>
    <row r="809" spans="5:19" x14ac:dyDescent="0.75">
      <c r="E809">
        <v>804</v>
      </c>
      <c r="F809">
        <f t="shared" si="722"/>
        <v>100</v>
      </c>
      <c r="G809">
        <f t="shared" ca="1" si="723"/>
        <v>94.553696746743896</v>
      </c>
      <c r="H809">
        <f t="shared" ca="1" si="723"/>
        <v>89.757052824108783</v>
      </c>
      <c r="I809">
        <f t="shared" ca="1" si="723"/>
        <v>89.69437150198199</v>
      </c>
      <c r="J809">
        <f t="shared" ref="J809:P809" ca="1" si="752">I809*EXP(($C$6-0.5*$C$7^2)*$C$12+$C$7*SQRT($C$12)*NORMINV(RAND(),0,1))</f>
        <v>92.881515538268729</v>
      </c>
      <c r="K809">
        <f t="shared" ca="1" si="752"/>
        <v>96.620590373467564</v>
      </c>
      <c r="L809">
        <f t="shared" ca="1" si="752"/>
        <v>100.66629077683866</v>
      </c>
      <c r="M809">
        <f t="shared" ca="1" si="752"/>
        <v>111.4268335194831</v>
      </c>
      <c r="N809">
        <f t="shared" ca="1" si="752"/>
        <v>112.89626719091747</v>
      </c>
      <c r="O809">
        <f t="shared" ca="1" si="752"/>
        <v>112.82958925096615</v>
      </c>
      <c r="P809">
        <f t="shared" ca="1" si="752"/>
        <v>111.19525382811064</v>
      </c>
      <c r="Q809">
        <f t="shared" ca="1" si="724"/>
        <v>112.89626719091747</v>
      </c>
      <c r="R809">
        <f t="shared" ca="1" si="725"/>
        <v>0</v>
      </c>
      <c r="S809">
        <f t="shared" ca="1" si="726"/>
        <v>0</v>
      </c>
    </row>
    <row r="810" spans="5:19" x14ac:dyDescent="0.75">
      <c r="E810">
        <v>805</v>
      </c>
      <c r="F810">
        <f t="shared" si="722"/>
        <v>100</v>
      </c>
      <c r="G810">
        <f t="shared" ca="1" si="723"/>
        <v>93.808182236383786</v>
      </c>
      <c r="H810">
        <f t="shared" ca="1" si="723"/>
        <v>97.95093413450266</v>
      </c>
      <c r="I810">
        <f t="shared" ca="1" si="723"/>
        <v>99.075918050562819</v>
      </c>
      <c r="J810">
        <f t="shared" ref="J810:P810" ca="1" si="753">I810*EXP(($C$6-0.5*$C$7^2)*$C$12+$C$7*SQRT($C$12)*NORMINV(RAND(),0,1))</f>
        <v>95.165741506643613</v>
      </c>
      <c r="K810">
        <f t="shared" ca="1" si="753"/>
        <v>89.474790067876398</v>
      </c>
      <c r="L810">
        <f t="shared" ca="1" si="753"/>
        <v>83.312333725471333</v>
      </c>
      <c r="M810">
        <f t="shared" ca="1" si="753"/>
        <v>84.942771829119707</v>
      </c>
      <c r="N810">
        <f t="shared" ca="1" si="753"/>
        <v>80.762652250184004</v>
      </c>
      <c r="O810">
        <f t="shared" ca="1" si="753"/>
        <v>82.91775243888361</v>
      </c>
      <c r="P810">
        <f t="shared" ca="1" si="753"/>
        <v>79.916835011335252</v>
      </c>
      <c r="Q810">
        <f t="shared" ca="1" si="724"/>
        <v>99.075918050562819</v>
      </c>
      <c r="R810">
        <f t="shared" ca="1" si="725"/>
        <v>0</v>
      </c>
      <c r="S810">
        <f t="shared" ca="1" si="726"/>
        <v>0</v>
      </c>
    </row>
    <row r="811" spans="5:19" x14ac:dyDescent="0.75">
      <c r="E811">
        <v>806</v>
      </c>
      <c r="F811">
        <f t="shared" si="722"/>
        <v>100</v>
      </c>
      <c r="G811">
        <f t="shared" ca="1" si="723"/>
        <v>106.67507149732</v>
      </c>
      <c r="H811">
        <f t="shared" ca="1" si="723"/>
        <v>102.77277807390078</v>
      </c>
      <c r="I811">
        <f t="shared" ca="1" si="723"/>
        <v>97.849740692954271</v>
      </c>
      <c r="J811">
        <f t="shared" ref="J811:P811" ca="1" si="754">I811*EXP(($C$6-0.5*$C$7^2)*$C$12+$C$7*SQRT($C$12)*NORMINV(RAND(),0,1))</f>
        <v>91.030657973881233</v>
      </c>
      <c r="K811">
        <f t="shared" ca="1" si="754"/>
        <v>89.56372823080423</v>
      </c>
      <c r="L811">
        <f t="shared" ca="1" si="754"/>
        <v>87.744888010609429</v>
      </c>
      <c r="M811">
        <f t="shared" ca="1" si="754"/>
        <v>91.76808792985743</v>
      </c>
      <c r="N811">
        <f t="shared" ca="1" si="754"/>
        <v>89.331161562777396</v>
      </c>
      <c r="O811">
        <f t="shared" ca="1" si="754"/>
        <v>84.985240352920059</v>
      </c>
      <c r="P811">
        <f t="shared" ca="1" si="754"/>
        <v>87.39496026991246</v>
      </c>
      <c r="Q811">
        <f t="shared" ca="1" si="724"/>
        <v>106.67507149732</v>
      </c>
      <c r="R811">
        <f t="shared" ca="1" si="725"/>
        <v>0</v>
      </c>
      <c r="S811">
        <f t="shared" ca="1" si="726"/>
        <v>0</v>
      </c>
    </row>
    <row r="812" spans="5:19" x14ac:dyDescent="0.75">
      <c r="E812">
        <v>807</v>
      </c>
      <c r="F812">
        <f t="shared" si="722"/>
        <v>100</v>
      </c>
      <c r="G812">
        <f t="shared" ca="1" si="723"/>
        <v>99.719681794109022</v>
      </c>
      <c r="H812">
        <f t="shared" ca="1" si="723"/>
        <v>106.69791752584959</v>
      </c>
      <c r="I812">
        <f t="shared" ca="1" si="723"/>
        <v>108.63347383756653</v>
      </c>
      <c r="J812">
        <f t="shared" ref="J812:P812" ca="1" si="755">I812*EXP(($C$6-0.5*$C$7^2)*$C$12+$C$7*SQRT($C$12)*NORMINV(RAND(),0,1))</f>
        <v>104.92203502109952</v>
      </c>
      <c r="K812">
        <f t="shared" ca="1" si="755"/>
        <v>108.36176599362108</v>
      </c>
      <c r="L812">
        <f t="shared" ca="1" si="755"/>
        <v>104.49042784026173</v>
      </c>
      <c r="M812">
        <f t="shared" ca="1" si="755"/>
        <v>111.30862895911717</v>
      </c>
      <c r="N812">
        <f t="shared" ca="1" si="755"/>
        <v>110.61261941194407</v>
      </c>
      <c r="O812">
        <f t="shared" ca="1" si="755"/>
        <v>106.35578698850885</v>
      </c>
      <c r="P812">
        <f t="shared" ca="1" si="755"/>
        <v>104.18010909783041</v>
      </c>
      <c r="Q812">
        <f t="shared" ca="1" si="724"/>
        <v>111.30862895911717</v>
      </c>
      <c r="R812">
        <f t="shared" ca="1" si="725"/>
        <v>0</v>
      </c>
      <c r="S812">
        <f t="shared" ca="1" si="726"/>
        <v>0</v>
      </c>
    </row>
    <row r="813" spans="5:19" x14ac:dyDescent="0.75">
      <c r="E813">
        <v>808</v>
      </c>
      <c r="F813">
        <f t="shared" si="722"/>
        <v>100</v>
      </c>
      <c r="G813">
        <f t="shared" ca="1" si="723"/>
        <v>101.72228675526726</v>
      </c>
      <c r="H813">
        <f t="shared" ca="1" si="723"/>
        <v>95.698207308573487</v>
      </c>
      <c r="I813">
        <f t="shared" ca="1" si="723"/>
        <v>94.978395647913445</v>
      </c>
      <c r="J813">
        <f t="shared" ref="J813:P813" ca="1" si="756">I813*EXP(($C$6-0.5*$C$7^2)*$C$12+$C$7*SQRT($C$12)*NORMINV(RAND(),0,1))</f>
        <v>89.200638442612288</v>
      </c>
      <c r="K813">
        <f t="shared" ca="1" si="756"/>
        <v>91.543114842836431</v>
      </c>
      <c r="L813">
        <f t="shared" ca="1" si="756"/>
        <v>90.696609648885186</v>
      </c>
      <c r="M813">
        <f t="shared" ca="1" si="756"/>
        <v>86.880906932580544</v>
      </c>
      <c r="N813">
        <f t="shared" ca="1" si="756"/>
        <v>82.449028144033974</v>
      </c>
      <c r="O813">
        <f t="shared" ca="1" si="756"/>
        <v>74.110115604988167</v>
      </c>
      <c r="P813">
        <f t="shared" ca="1" si="756"/>
        <v>75.089385738471321</v>
      </c>
      <c r="Q813">
        <f t="shared" ca="1" si="724"/>
        <v>101.72228675526726</v>
      </c>
      <c r="R813">
        <f t="shared" ca="1" si="725"/>
        <v>0</v>
      </c>
      <c r="S813">
        <f t="shared" ca="1" si="726"/>
        <v>0</v>
      </c>
    </row>
    <row r="814" spans="5:19" x14ac:dyDescent="0.75">
      <c r="E814">
        <v>809</v>
      </c>
      <c r="F814">
        <f t="shared" si="722"/>
        <v>100</v>
      </c>
      <c r="G814">
        <f t="shared" ca="1" si="723"/>
        <v>106.49395025504515</v>
      </c>
      <c r="H814">
        <f t="shared" ca="1" si="723"/>
        <v>102.36908344844811</v>
      </c>
      <c r="I814">
        <f t="shared" ca="1" si="723"/>
        <v>107.28291195766951</v>
      </c>
      <c r="J814">
        <f t="shared" ref="J814:P814" ca="1" si="757">I814*EXP(($C$6-0.5*$C$7^2)*$C$12+$C$7*SQRT($C$12)*NORMINV(RAND(),0,1))</f>
        <v>104.17185438622849</v>
      </c>
      <c r="K814">
        <f t="shared" ca="1" si="757"/>
        <v>97.677305049444598</v>
      </c>
      <c r="L814">
        <f t="shared" ca="1" si="757"/>
        <v>93.209814074420251</v>
      </c>
      <c r="M814">
        <f t="shared" ca="1" si="757"/>
        <v>97.892747337751501</v>
      </c>
      <c r="N814">
        <f t="shared" ca="1" si="757"/>
        <v>96.779066818584468</v>
      </c>
      <c r="O814">
        <f t="shared" ca="1" si="757"/>
        <v>98.652293086502098</v>
      </c>
      <c r="P814">
        <f t="shared" ca="1" si="757"/>
        <v>99.886970029156942</v>
      </c>
      <c r="Q814">
        <f t="shared" ca="1" si="724"/>
        <v>107.28291195766951</v>
      </c>
      <c r="R814">
        <f t="shared" ca="1" si="725"/>
        <v>0</v>
      </c>
      <c r="S814">
        <f t="shared" ca="1" si="726"/>
        <v>0</v>
      </c>
    </row>
    <row r="815" spans="5:19" x14ac:dyDescent="0.75">
      <c r="E815">
        <v>810</v>
      </c>
      <c r="F815">
        <f t="shared" si="722"/>
        <v>100</v>
      </c>
      <c r="G815">
        <f t="shared" ca="1" si="723"/>
        <v>104.12664287034524</v>
      </c>
      <c r="H815">
        <f t="shared" ca="1" si="723"/>
        <v>111.85131752272167</v>
      </c>
      <c r="I815">
        <f t="shared" ca="1" si="723"/>
        <v>110.08618869196822</v>
      </c>
      <c r="J815">
        <f t="shared" ref="J815:P815" ca="1" si="758">I815*EXP(($C$6-0.5*$C$7^2)*$C$12+$C$7*SQRT($C$12)*NORMINV(RAND(),0,1))</f>
        <v>111.34547931755655</v>
      </c>
      <c r="K815">
        <f t="shared" ca="1" si="758"/>
        <v>110.7249385804167</v>
      </c>
      <c r="L815">
        <f t="shared" ca="1" si="758"/>
        <v>110.50411867491702</v>
      </c>
      <c r="M815">
        <f t="shared" ca="1" si="758"/>
        <v>115.53621794376384</v>
      </c>
      <c r="N815">
        <f t="shared" ca="1" si="758"/>
        <v>110.69002769861527</v>
      </c>
      <c r="O815">
        <f t="shared" ca="1" si="758"/>
        <v>105.87729323811458</v>
      </c>
      <c r="P815">
        <f t="shared" ca="1" si="758"/>
        <v>116.49537169149488</v>
      </c>
      <c r="Q815">
        <f t="shared" ca="1" si="724"/>
        <v>116.49537169149488</v>
      </c>
      <c r="R815">
        <f t="shared" ca="1" si="725"/>
        <v>0</v>
      </c>
      <c r="S815">
        <f t="shared" ca="1" si="726"/>
        <v>0</v>
      </c>
    </row>
    <row r="816" spans="5:19" x14ac:dyDescent="0.75">
      <c r="E816">
        <v>811</v>
      </c>
      <c r="F816">
        <f t="shared" si="722"/>
        <v>100</v>
      </c>
      <c r="G816">
        <f t="shared" ca="1" si="723"/>
        <v>96.419270533976103</v>
      </c>
      <c r="H816">
        <f t="shared" ca="1" si="723"/>
        <v>97.347949716997178</v>
      </c>
      <c r="I816">
        <f t="shared" ca="1" si="723"/>
        <v>94.888547608135198</v>
      </c>
      <c r="J816">
        <f t="shared" ref="J816:P816" ca="1" si="759">I816*EXP(($C$6-0.5*$C$7^2)*$C$12+$C$7*SQRT($C$12)*NORMINV(RAND(),0,1))</f>
        <v>99.350212094723346</v>
      </c>
      <c r="K816">
        <f t="shared" ca="1" si="759"/>
        <v>94.845311505377666</v>
      </c>
      <c r="L816">
        <f t="shared" ca="1" si="759"/>
        <v>103.05076707234647</v>
      </c>
      <c r="M816">
        <f t="shared" ca="1" si="759"/>
        <v>99.654864385299589</v>
      </c>
      <c r="N816">
        <f t="shared" ca="1" si="759"/>
        <v>96.9194471161465</v>
      </c>
      <c r="O816">
        <f t="shared" ca="1" si="759"/>
        <v>96.703981592359099</v>
      </c>
      <c r="P816">
        <f t="shared" ca="1" si="759"/>
        <v>101.51396310372613</v>
      </c>
      <c r="Q816">
        <f t="shared" ca="1" si="724"/>
        <v>103.05076707234647</v>
      </c>
      <c r="R816">
        <f t="shared" ca="1" si="725"/>
        <v>0</v>
      </c>
      <c r="S816">
        <f t="shared" ca="1" si="726"/>
        <v>0</v>
      </c>
    </row>
    <row r="817" spans="5:19" x14ac:dyDescent="0.75">
      <c r="E817">
        <v>812</v>
      </c>
      <c r="F817">
        <f t="shared" si="722"/>
        <v>100</v>
      </c>
      <c r="G817">
        <f t="shared" ca="1" si="723"/>
        <v>94.196349414706944</v>
      </c>
      <c r="H817">
        <f t="shared" ca="1" si="723"/>
        <v>93.656531018940427</v>
      </c>
      <c r="I817">
        <f t="shared" ca="1" si="723"/>
        <v>96.140477511160185</v>
      </c>
      <c r="J817">
        <f t="shared" ref="J817:P817" ca="1" si="760">I817*EXP(($C$6-0.5*$C$7^2)*$C$12+$C$7*SQRT($C$12)*NORMINV(RAND(),0,1))</f>
        <v>90.662724109789934</v>
      </c>
      <c r="K817">
        <f t="shared" ca="1" si="760"/>
        <v>86.47508199713532</v>
      </c>
      <c r="L817">
        <f t="shared" ca="1" si="760"/>
        <v>85.766226840971953</v>
      </c>
      <c r="M817">
        <f t="shared" ca="1" si="760"/>
        <v>94.36546239051799</v>
      </c>
      <c r="N817">
        <f t="shared" ca="1" si="760"/>
        <v>94.664879770364436</v>
      </c>
      <c r="O817">
        <f t="shared" ca="1" si="760"/>
        <v>93.459428298052288</v>
      </c>
      <c r="P817">
        <f t="shared" ca="1" si="760"/>
        <v>91.037525253229788</v>
      </c>
      <c r="Q817">
        <f t="shared" ca="1" si="724"/>
        <v>96.140477511160185</v>
      </c>
      <c r="R817">
        <f t="shared" ca="1" si="725"/>
        <v>0</v>
      </c>
      <c r="S817">
        <f t="shared" ca="1" si="726"/>
        <v>0</v>
      </c>
    </row>
    <row r="818" spans="5:19" x14ac:dyDescent="0.75">
      <c r="E818">
        <v>813</v>
      </c>
      <c r="F818">
        <f t="shared" si="722"/>
        <v>100</v>
      </c>
      <c r="G818">
        <f t="shared" ca="1" si="723"/>
        <v>101.11753551997711</v>
      </c>
      <c r="H818">
        <f t="shared" ca="1" si="723"/>
        <v>97.621760340011534</v>
      </c>
      <c r="I818">
        <f t="shared" ca="1" si="723"/>
        <v>100.06952509829658</v>
      </c>
      <c r="J818">
        <f t="shared" ref="J818:P818" ca="1" si="761">I818*EXP(($C$6-0.5*$C$7^2)*$C$12+$C$7*SQRT($C$12)*NORMINV(RAND(),0,1))</f>
        <v>105.43115180021448</v>
      </c>
      <c r="K818">
        <f t="shared" ca="1" si="761"/>
        <v>102.33081279053387</v>
      </c>
      <c r="L818">
        <f t="shared" ca="1" si="761"/>
        <v>101.00217745166088</v>
      </c>
      <c r="M818">
        <f t="shared" ca="1" si="761"/>
        <v>101.67616974203746</v>
      </c>
      <c r="N818">
        <f t="shared" ca="1" si="761"/>
        <v>94.816380558372529</v>
      </c>
      <c r="O818">
        <f t="shared" ca="1" si="761"/>
        <v>98.321277746974985</v>
      </c>
      <c r="P818">
        <f t="shared" ca="1" si="761"/>
        <v>96.641082237822118</v>
      </c>
      <c r="Q818">
        <f t="shared" ca="1" si="724"/>
        <v>105.43115180021448</v>
      </c>
      <c r="R818">
        <f t="shared" ca="1" si="725"/>
        <v>0</v>
      </c>
      <c r="S818">
        <f t="shared" ca="1" si="726"/>
        <v>0</v>
      </c>
    </row>
    <row r="819" spans="5:19" x14ac:dyDescent="0.75">
      <c r="E819">
        <v>814</v>
      </c>
      <c r="F819">
        <f t="shared" si="722"/>
        <v>100</v>
      </c>
      <c r="G819">
        <f t="shared" ca="1" si="723"/>
        <v>108.88337592113162</v>
      </c>
      <c r="H819">
        <f t="shared" ca="1" si="723"/>
        <v>109.48189677685218</v>
      </c>
      <c r="I819">
        <f t="shared" ca="1" si="723"/>
        <v>107.28634093910901</v>
      </c>
      <c r="J819">
        <f t="shared" ref="J819:P819" ca="1" si="762">I819*EXP(($C$6-0.5*$C$7^2)*$C$12+$C$7*SQRT($C$12)*NORMINV(RAND(),0,1))</f>
        <v>104.39156473889985</v>
      </c>
      <c r="K819">
        <f t="shared" ca="1" si="762"/>
        <v>105.33727180377416</v>
      </c>
      <c r="L819">
        <f t="shared" ca="1" si="762"/>
        <v>110.56021626156858</v>
      </c>
      <c r="M819">
        <f t="shared" ca="1" si="762"/>
        <v>119.90774607467552</v>
      </c>
      <c r="N819">
        <f t="shared" ca="1" si="762"/>
        <v>122.42301829844261</v>
      </c>
      <c r="O819">
        <f t="shared" ca="1" si="762"/>
        <v>114.71368459519063</v>
      </c>
      <c r="P819">
        <f t="shared" ca="1" si="762"/>
        <v>110.37726140602908</v>
      </c>
      <c r="Q819">
        <f t="shared" ca="1" si="724"/>
        <v>122.42301829844261</v>
      </c>
      <c r="R819">
        <f t="shared" ca="1" si="725"/>
        <v>0</v>
      </c>
      <c r="S819">
        <f t="shared" ca="1" si="726"/>
        <v>0</v>
      </c>
    </row>
    <row r="820" spans="5:19" x14ac:dyDescent="0.75">
      <c r="E820">
        <v>815</v>
      </c>
      <c r="F820">
        <f t="shared" si="722"/>
        <v>100</v>
      </c>
      <c r="G820">
        <f t="shared" ca="1" si="723"/>
        <v>102.94092851220944</v>
      </c>
      <c r="H820">
        <f t="shared" ca="1" si="723"/>
        <v>104.49902225108002</v>
      </c>
      <c r="I820">
        <f t="shared" ca="1" si="723"/>
        <v>110.59414694402578</v>
      </c>
      <c r="J820">
        <f t="shared" ref="J820:P820" ca="1" si="763">I820*EXP(($C$6-0.5*$C$7^2)*$C$12+$C$7*SQRT($C$12)*NORMINV(RAND(),0,1))</f>
        <v>120.28675620254184</v>
      </c>
      <c r="K820">
        <f t="shared" ca="1" si="763"/>
        <v>119.14931963757671</v>
      </c>
      <c r="L820">
        <f t="shared" ca="1" si="763"/>
        <v>118.755395976758</v>
      </c>
      <c r="M820">
        <f t="shared" ca="1" si="763"/>
        <v>116.32093832906453</v>
      </c>
      <c r="N820">
        <f t="shared" ca="1" si="763"/>
        <v>114.84633248580431</v>
      </c>
      <c r="O820">
        <f t="shared" ca="1" si="763"/>
        <v>114.87520916592362</v>
      </c>
      <c r="P820">
        <f t="shared" ca="1" si="763"/>
        <v>111.18512780825903</v>
      </c>
      <c r="Q820">
        <f t="shared" ca="1" si="724"/>
        <v>120.28675620254184</v>
      </c>
      <c r="R820">
        <f t="shared" ca="1" si="725"/>
        <v>0</v>
      </c>
      <c r="S820">
        <f t="shared" ca="1" si="726"/>
        <v>0</v>
      </c>
    </row>
    <row r="821" spans="5:19" x14ac:dyDescent="0.75">
      <c r="E821">
        <v>816</v>
      </c>
      <c r="F821">
        <f t="shared" si="722"/>
        <v>100</v>
      </c>
      <c r="G821">
        <f t="shared" ca="1" si="723"/>
        <v>95.392085925037748</v>
      </c>
      <c r="H821">
        <f t="shared" ca="1" si="723"/>
        <v>100.88120636346844</v>
      </c>
      <c r="I821">
        <f t="shared" ca="1" si="723"/>
        <v>103.70902244664485</v>
      </c>
      <c r="J821">
        <f t="shared" ref="J821:P821" ca="1" si="764">I821*EXP(($C$6-0.5*$C$7^2)*$C$12+$C$7*SQRT($C$12)*NORMINV(RAND(),0,1))</f>
        <v>111.80590540211702</v>
      </c>
      <c r="K821">
        <f t="shared" ca="1" si="764"/>
        <v>104.64810976032693</v>
      </c>
      <c r="L821">
        <f t="shared" ca="1" si="764"/>
        <v>107.75943808186642</v>
      </c>
      <c r="M821">
        <f t="shared" ca="1" si="764"/>
        <v>117.80171407556628</v>
      </c>
      <c r="N821">
        <f t="shared" ca="1" si="764"/>
        <v>126.13102452971049</v>
      </c>
      <c r="O821">
        <f t="shared" ca="1" si="764"/>
        <v>139.84550597476832</v>
      </c>
      <c r="P821">
        <f t="shared" ca="1" si="764"/>
        <v>137.90547577744482</v>
      </c>
      <c r="Q821">
        <f t="shared" ca="1" si="724"/>
        <v>139.84550597476832</v>
      </c>
      <c r="R821">
        <f t="shared" ca="1" si="725"/>
        <v>0</v>
      </c>
      <c r="S821">
        <f t="shared" ca="1" si="726"/>
        <v>0</v>
      </c>
    </row>
    <row r="822" spans="5:19" x14ac:dyDescent="0.75">
      <c r="E822">
        <v>817</v>
      </c>
      <c r="F822">
        <f t="shared" si="722"/>
        <v>100</v>
      </c>
      <c r="G822">
        <f t="shared" ca="1" si="723"/>
        <v>100.36994452453638</v>
      </c>
      <c r="H822">
        <f t="shared" ca="1" si="723"/>
        <v>100.86055399881423</v>
      </c>
      <c r="I822">
        <f t="shared" ca="1" si="723"/>
        <v>94.293002694453506</v>
      </c>
      <c r="J822">
        <f t="shared" ref="J822:P822" ca="1" si="765">I822*EXP(($C$6-0.5*$C$7^2)*$C$12+$C$7*SQRT($C$12)*NORMINV(RAND(),0,1))</f>
        <v>89.971799390027371</v>
      </c>
      <c r="K822">
        <f t="shared" ca="1" si="765"/>
        <v>95.411055910192289</v>
      </c>
      <c r="L822">
        <f t="shared" ca="1" si="765"/>
        <v>92.996765745114274</v>
      </c>
      <c r="M822">
        <f t="shared" ca="1" si="765"/>
        <v>90.406206486964663</v>
      </c>
      <c r="N822">
        <f t="shared" ca="1" si="765"/>
        <v>98.563790505402153</v>
      </c>
      <c r="O822">
        <f t="shared" ca="1" si="765"/>
        <v>97.606195161540683</v>
      </c>
      <c r="P822">
        <f t="shared" ca="1" si="765"/>
        <v>98.110889176872988</v>
      </c>
      <c r="Q822">
        <f t="shared" ca="1" si="724"/>
        <v>100.86055399881423</v>
      </c>
      <c r="R822">
        <f t="shared" ca="1" si="725"/>
        <v>0</v>
      </c>
      <c r="S822">
        <f t="shared" ca="1" si="726"/>
        <v>0</v>
      </c>
    </row>
    <row r="823" spans="5:19" x14ac:dyDescent="0.75">
      <c r="E823">
        <v>818</v>
      </c>
      <c r="F823">
        <f t="shared" si="722"/>
        <v>100</v>
      </c>
      <c r="G823">
        <f t="shared" ca="1" si="723"/>
        <v>102.17572412781355</v>
      </c>
      <c r="H823">
        <f t="shared" ca="1" si="723"/>
        <v>96.655209442633918</v>
      </c>
      <c r="I823">
        <f t="shared" ca="1" si="723"/>
        <v>98.844205614044384</v>
      </c>
      <c r="J823">
        <f t="shared" ref="J823:P823" ca="1" si="766">I823*EXP(($C$6-0.5*$C$7^2)*$C$12+$C$7*SQRT($C$12)*NORMINV(RAND(),0,1))</f>
        <v>106.11623533852908</v>
      </c>
      <c r="K823">
        <f t="shared" ca="1" si="766"/>
        <v>113.27724677385393</v>
      </c>
      <c r="L823">
        <f t="shared" ca="1" si="766"/>
        <v>114.95239643778024</v>
      </c>
      <c r="M823">
        <f t="shared" ca="1" si="766"/>
        <v>112.6879753330192</v>
      </c>
      <c r="N823">
        <f t="shared" ca="1" si="766"/>
        <v>109.47134770973865</v>
      </c>
      <c r="O823">
        <f t="shared" ca="1" si="766"/>
        <v>111.72463479319653</v>
      </c>
      <c r="P823">
        <f t="shared" ca="1" si="766"/>
        <v>111.72224312491727</v>
      </c>
      <c r="Q823">
        <f t="shared" ca="1" si="724"/>
        <v>114.95239643778024</v>
      </c>
      <c r="R823">
        <f t="shared" ca="1" si="725"/>
        <v>0</v>
      </c>
      <c r="S823">
        <f t="shared" ca="1" si="726"/>
        <v>0</v>
      </c>
    </row>
    <row r="824" spans="5:19" x14ac:dyDescent="0.75">
      <c r="E824">
        <v>819</v>
      </c>
      <c r="F824">
        <f t="shared" si="722"/>
        <v>100</v>
      </c>
      <c r="G824">
        <f t="shared" ca="1" si="723"/>
        <v>97.904991449617924</v>
      </c>
      <c r="H824">
        <f t="shared" ca="1" si="723"/>
        <v>99.286289502452149</v>
      </c>
      <c r="I824">
        <f t="shared" ca="1" si="723"/>
        <v>100.70596041126183</v>
      </c>
      <c r="J824">
        <f t="shared" ref="J824:P824" ca="1" si="767">I824*EXP(($C$6-0.5*$C$7^2)*$C$12+$C$7*SQRT($C$12)*NORMINV(RAND(),0,1))</f>
        <v>96.491259822997662</v>
      </c>
      <c r="K824">
        <f t="shared" ca="1" si="767"/>
        <v>92.468426327718731</v>
      </c>
      <c r="L824">
        <f t="shared" ca="1" si="767"/>
        <v>96.12011357070142</v>
      </c>
      <c r="M824">
        <f t="shared" ca="1" si="767"/>
        <v>95.780851286792995</v>
      </c>
      <c r="N824">
        <f t="shared" ca="1" si="767"/>
        <v>98.651572289496855</v>
      </c>
      <c r="O824">
        <f t="shared" ca="1" si="767"/>
        <v>97.359836870357682</v>
      </c>
      <c r="P824">
        <f t="shared" ca="1" si="767"/>
        <v>103.7949910750992</v>
      </c>
      <c r="Q824">
        <f t="shared" ca="1" si="724"/>
        <v>103.7949910750992</v>
      </c>
      <c r="R824">
        <f t="shared" ca="1" si="725"/>
        <v>1.7949910750992046</v>
      </c>
      <c r="S824">
        <f t="shared" ca="1" si="726"/>
        <v>1.7506725875466476</v>
      </c>
    </row>
    <row r="825" spans="5:19" x14ac:dyDescent="0.75">
      <c r="E825">
        <v>820</v>
      </c>
      <c r="F825">
        <f t="shared" si="722"/>
        <v>100</v>
      </c>
      <c r="G825">
        <f t="shared" ca="1" si="723"/>
        <v>94.537546795972446</v>
      </c>
      <c r="H825">
        <f t="shared" ca="1" si="723"/>
        <v>96.943180511192963</v>
      </c>
      <c r="I825">
        <f t="shared" ca="1" si="723"/>
        <v>104.29394891743728</v>
      </c>
      <c r="J825">
        <f t="shared" ref="J825:P825" ca="1" si="768">I825*EXP(($C$6-0.5*$C$7^2)*$C$12+$C$7*SQRT($C$12)*NORMINV(RAND(),0,1))</f>
        <v>103.67941438049662</v>
      </c>
      <c r="K825">
        <f t="shared" ca="1" si="768"/>
        <v>99.726073597080443</v>
      </c>
      <c r="L825">
        <f t="shared" ca="1" si="768"/>
        <v>92.936160634534275</v>
      </c>
      <c r="M825">
        <f t="shared" ca="1" si="768"/>
        <v>91.2265714232704</v>
      </c>
      <c r="N825">
        <f t="shared" ca="1" si="768"/>
        <v>96.375253172922285</v>
      </c>
      <c r="O825">
        <f t="shared" ca="1" si="768"/>
        <v>98.224904153339722</v>
      </c>
      <c r="P825">
        <f t="shared" ca="1" si="768"/>
        <v>101.81285063579401</v>
      </c>
      <c r="Q825">
        <f t="shared" ca="1" si="724"/>
        <v>104.29394891743728</v>
      </c>
      <c r="R825">
        <f t="shared" ca="1" si="725"/>
        <v>0</v>
      </c>
      <c r="S825">
        <f t="shared" ca="1" si="726"/>
        <v>0</v>
      </c>
    </row>
    <row r="826" spans="5:19" x14ac:dyDescent="0.75">
      <c r="E826">
        <v>821</v>
      </c>
      <c r="F826">
        <f t="shared" si="722"/>
        <v>100</v>
      </c>
      <c r="G826">
        <f t="shared" ca="1" si="723"/>
        <v>90.214963928988041</v>
      </c>
      <c r="H826">
        <f t="shared" ca="1" si="723"/>
        <v>90.833781785188421</v>
      </c>
      <c r="I826">
        <f t="shared" ca="1" si="723"/>
        <v>89.676263188530896</v>
      </c>
      <c r="J826">
        <f t="shared" ref="J826:P826" ca="1" si="769">I826*EXP(($C$6-0.5*$C$7^2)*$C$12+$C$7*SQRT($C$12)*NORMINV(RAND(),0,1))</f>
        <v>79.90166198784955</v>
      </c>
      <c r="K826">
        <f t="shared" ca="1" si="769"/>
        <v>81.309369746730937</v>
      </c>
      <c r="L826">
        <f t="shared" ca="1" si="769"/>
        <v>85.20081714287366</v>
      </c>
      <c r="M826">
        <f t="shared" ca="1" si="769"/>
        <v>79.674919869374619</v>
      </c>
      <c r="N826">
        <f t="shared" ca="1" si="769"/>
        <v>78.225482108239305</v>
      </c>
      <c r="O826">
        <f t="shared" ca="1" si="769"/>
        <v>76.993936908094071</v>
      </c>
      <c r="P826">
        <f t="shared" ca="1" si="769"/>
        <v>76.603862561007674</v>
      </c>
      <c r="Q826">
        <f t="shared" ca="1" si="724"/>
        <v>90.833781785188421</v>
      </c>
      <c r="R826">
        <f t="shared" ca="1" si="725"/>
        <v>0</v>
      </c>
      <c r="S826">
        <f t="shared" ca="1" si="726"/>
        <v>0</v>
      </c>
    </row>
    <row r="827" spans="5:19" x14ac:dyDescent="0.75">
      <c r="E827">
        <v>822</v>
      </c>
      <c r="F827">
        <f t="shared" si="722"/>
        <v>100</v>
      </c>
      <c r="G827">
        <f t="shared" ca="1" si="723"/>
        <v>103.42871027801593</v>
      </c>
      <c r="H827">
        <f t="shared" ca="1" si="723"/>
        <v>104.09511871540259</v>
      </c>
      <c r="I827">
        <f t="shared" ca="1" si="723"/>
        <v>100.40057870681143</v>
      </c>
      <c r="J827">
        <f t="shared" ref="J827:P827" ca="1" si="770">I827*EXP(($C$6-0.5*$C$7^2)*$C$12+$C$7*SQRT($C$12)*NORMINV(RAND(),0,1))</f>
        <v>100.19114218468557</v>
      </c>
      <c r="K827">
        <f t="shared" ca="1" si="770"/>
        <v>101.49011059653614</v>
      </c>
      <c r="L827">
        <f t="shared" ca="1" si="770"/>
        <v>101.24925114294575</v>
      </c>
      <c r="M827">
        <f t="shared" ca="1" si="770"/>
        <v>108.70543181765478</v>
      </c>
      <c r="N827">
        <f t="shared" ca="1" si="770"/>
        <v>105.10278159312743</v>
      </c>
      <c r="O827">
        <f t="shared" ca="1" si="770"/>
        <v>110.99634490239043</v>
      </c>
      <c r="P827">
        <f t="shared" ca="1" si="770"/>
        <v>99.825805715769533</v>
      </c>
      <c r="Q827">
        <f t="shared" ca="1" si="724"/>
        <v>110.99634490239043</v>
      </c>
      <c r="R827">
        <f t="shared" ca="1" si="725"/>
        <v>0</v>
      </c>
      <c r="S827">
        <f t="shared" ca="1" si="726"/>
        <v>0</v>
      </c>
    </row>
    <row r="828" spans="5:19" x14ac:dyDescent="0.75">
      <c r="E828">
        <v>823</v>
      </c>
      <c r="F828">
        <f t="shared" si="722"/>
        <v>100</v>
      </c>
      <c r="G828">
        <f t="shared" ca="1" si="723"/>
        <v>105.60120167201552</v>
      </c>
      <c r="H828">
        <f t="shared" ca="1" si="723"/>
        <v>105.74468164672754</v>
      </c>
      <c r="I828">
        <f t="shared" ca="1" si="723"/>
        <v>105.17581630251172</v>
      </c>
      <c r="J828">
        <f t="shared" ref="J828:P828" ca="1" si="771">I828*EXP(($C$6-0.5*$C$7^2)*$C$12+$C$7*SQRT($C$12)*NORMINV(RAND(),0,1))</f>
        <v>113.23252558471154</v>
      </c>
      <c r="K828">
        <f t="shared" ca="1" si="771"/>
        <v>111.18436063517957</v>
      </c>
      <c r="L828">
        <f t="shared" ca="1" si="771"/>
        <v>114.64556531998282</v>
      </c>
      <c r="M828">
        <f t="shared" ca="1" si="771"/>
        <v>111.51150983081419</v>
      </c>
      <c r="N828">
        <f t="shared" ca="1" si="771"/>
        <v>118.86567070596163</v>
      </c>
      <c r="O828">
        <f t="shared" ca="1" si="771"/>
        <v>125.38019298987179</v>
      </c>
      <c r="P828">
        <f t="shared" ca="1" si="771"/>
        <v>115.86147805782066</v>
      </c>
      <c r="Q828">
        <f t="shared" ca="1" si="724"/>
        <v>125.38019298987179</v>
      </c>
      <c r="R828">
        <f t="shared" ca="1" si="725"/>
        <v>0</v>
      </c>
      <c r="S828">
        <f t="shared" ca="1" si="726"/>
        <v>0</v>
      </c>
    </row>
    <row r="829" spans="5:19" x14ac:dyDescent="0.75">
      <c r="E829">
        <v>824</v>
      </c>
      <c r="F829">
        <f t="shared" si="722"/>
        <v>100</v>
      </c>
      <c r="G829">
        <f t="shared" ca="1" si="723"/>
        <v>99.894656689863041</v>
      </c>
      <c r="H829">
        <f t="shared" ca="1" si="723"/>
        <v>98.651874798949777</v>
      </c>
      <c r="I829">
        <f t="shared" ca="1" si="723"/>
        <v>99.286485104468937</v>
      </c>
      <c r="J829">
        <f t="shared" ref="J829:P829" ca="1" si="772">I829*EXP(($C$6-0.5*$C$7^2)*$C$12+$C$7*SQRT($C$12)*NORMINV(RAND(),0,1))</f>
        <v>93.853052655149469</v>
      </c>
      <c r="K829">
        <f t="shared" ca="1" si="772"/>
        <v>89.590181084848297</v>
      </c>
      <c r="L829">
        <f t="shared" ca="1" si="772"/>
        <v>92.149618563376521</v>
      </c>
      <c r="M829">
        <f t="shared" ca="1" si="772"/>
        <v>98.163764567435436</v>
      </c>
      <c r="N829">
        <f t="shared" ca="1" si="772"/>
        <v>102.73377468922833</v>
      </c>
      <c r="O829">
        <f t="shared" ca="1" si="772"/>
        <v>102.13361680932648</v>
      </c>
      <c r="P829">
        <f t="shared" ca="1" si="772"/>
        <v>109.83668930979582</v>
      </c>
      <c r="Q829">
        <f t="shared" ca="1" si="724"/>
        <v>109.83668930979582</v>
      </c>
      <c r="R829">
        <f t="shared" ca="1" si="725"/>
        <v>7.8366893097958155</v>
      </c>
      <c r="S829">
        <f t="shared" ca="1" si="726"/>
        <v>7.6432007613303314</v>
      </c>
    </row>
    <row r="830" spans="5:19" x14ac:dyDescent="0.75">
      <c r="E830">
        <v>825</v>
      </c>
      <c r="F830">
        <f t="shared" si="722"/>
        <v>100</v>
      </c>
      <c r="G830">
        <f t="shared" ca="1" si="723"/>
        <v>99.279922924270622</v>
      </c>
      <c r="H830">
        <f t="shared" ca="1" si="723"/>
        <v>104.70218304606382</v>
      </c>
      <c r="I830">
        <f t="shared" ca="1" si="723"/>
        <v>108.76055989849316</v>
      </c>
      <c r="J830">
        <f t="shared" ref="J830:P830" ca="1" si="773">I830*EXP(($C$6-0.5*$C$7^2)*$C$12+$C$7*SQRT($C$12)*NORMINV(RAND(),0,1))</f>
        <v>106.41101870716834</v>
      </c>
      <c r="K830">
        <f t="shared" ca="1" si="773"/>
        <v>105.08375849215103</v>
      </c>
      <c r="L830">
        <f t="shared" ca="1" si="773"/>
        <v>110.29327694968721</v>
      </c>
      <c r="M830">
        <f t="shared" ca="1" si="773"/>
        <v>109.76062079795263</v>
      </c>
      <c r="N830">
        <f t="shared" ca="1" si="773"/>
        <v>109.2565227935046</v>
      </c>
      <c r="O830">
        <f t="shared" ca="1" si="773"/>
        <v>105.84512767870953</v>
      </c>
      <c r="P830">
        <f t="shared" ca="1" si="773"/>
        <v>101.194295171863</v>
      </c>
      <c r="Q830">
        <f t="shared" ca="1" si="724"/>
        <v>110.29327694968721</v>
      </c>
      <c r="R830">
        <f t="shared" ca="1" si="725"/>
        <v>0</v>
      </c>
      <c r="S830">
        <f t="shared" ca="1" si="726"/>
        <v>0</v>
      </c>
    </row>
    <row r="831" spans="5:19" x14ac:dyDescent="0.75">
      <c r="E831">
        <v>826</v>
      </c>
      <c r="F831">
        <f t="shared" si="722"/>
        <v>100</v>
      </c>
      <c r="G831">
        <f t="shared" ca="1" si="723"/>
        <v>96.379965513098597</v>
      </c>
      <c r="H831">
        <f t="shared" ca="1" si="723"/>
        <v>99.388353443104123</v>
      </c>
      <c r="I831">
        <f t="shared" ca="1" si="723"/>
        <v>91.407315658697172</v>
      </c>
      <c r="J831">
        <f t="shared" ref="J831:P831" ca="1" si="774">I831*EXP(($C$6-0.5*$C$7^2)*$C$12+$C$7*SQRT($C$12)*NORMINV(RAND(),0,1))</f>
        <v>91.876437489189783</v>
      </c>
      <c r="K831">
        <f t="shared" ca="1" si="774"/>
        <v>99.422006924069095</v>
      </c>
      <c r="L831">
        <f t="shared" ca="1" si="774"/>
        <v>96.31970684736676</v>
      </c>
      <c r="M831">
        <f t="shared" ca="1" si="774"/>
        <v>93.802552201954398</v>
      </c>
      <c r="N831">
        <f t="shared" ca="1" si="774"/>
        <v>96.952776664482428</v>
      </c>
      <c r="O831">
        <f t="shared" ca="1" si="774"/>
        <v>96.741457896887326</v>
      </c>
      <c r="P831">
        <f t="shared" ca="1" si="774"/>
        <v>94.854486353838467</v>
      </c>
      <c r="Q831">
        <f t="shared" ca="1" si="724"/>
        <v>99.422006924069095</v>
      </c>
      <c r="R831">
        <f t="shared" ca="1" si="725"/>
        <v>0</v>
      </c>
      <c r="S831">
        <f t="shared" ca="1" si="726"/>
        <v>0</v>
      </c>
    </row>
    <row r="832" spans="5:19" x14ac:dyDescent="0.75">
      <c r="E832">
        <v>827</v>
      </c>
      <c r="F832">
        <f t="shared" si="722"/>
        <v>100</v>
      </c>
      <c r="G832">
        <f t="shared" ca="1" si="723"/>
        <v>96.34015109006306</v>
      </c>
      <c r="H832">
        <f t="shared" ca="1" si="723"/>
        <v>101.02428168157515</v>
      </c>
      <c r="I832">
        <f t="shared" ca="1" si="723"/>
        <v>102.48682771789196</v>
      </c>
      <c r="J832">
        <f t="shared" ref="J832:P832" ca="1" si="775">I832*EXP(($C$6-0.5*$C$7^2)*$C$12+$C$7*SQRT($C$12)*NORMINV(RAND(),0,1))</f>
        <v>101.97814389495906</v>
      </c>
      <c r="K832">
        <f t="shared" ca="1" si="775"/>
        <v>96.221628228912991</v>
      </c>
      <c r="L832">
        <f t="shared" ca="1" si="775"/>
        <v>100.25246488723064</v>
      </c>
      <c r="M832">
        <f t="shared" ca="1" si="775"/>
        <v>102.63022879896809</v>
      </c>
      <c r="N832">
        <f t="shared" ca="1" si="775"/>
        <v>105.02290305745632</v>
      </c>
      <c r="O832">
        <f t="shared" ca="1" si="775"/>
        <v>106.08657494117375</v>
      </c>
      <c r="P832">
        <f t="shared" ca="1" si="775"/>
        <v>104.80923948652418</v>
      </c>
      <c r="Q832">
        <f t="shared" ca="1" si="724"/>
        <v>106.08657494117375</v>
      </c>
      <c r="R832">
        <f t="shared" ca="1" si="725"/>
        <v>2.8092394865241772</v>
      </c>
      <c r="S832">
        <f t="shared" ca="1" si="726"/>
        <v>2.7398791164684138</v>
      </c>
    </row>
    <row r="833" spans="5:19" x14ac:dyDescent="0.75">
      <c r="E833">
        <v>828</v>
      </c>
      <c r="F833">
        <f t="shared" si="722"/>
        <v>100</v>
      </c>
      <c r="G833">
        <f t="shared" ca="1" si="723"/>
        <v>96.005622349441083</v>
      </c>
      <c r="H833">
        <f t="shared" ca="1" si="723"/>
        <v>89.713256220250216</v>
      </c>
      <c r="I833">
        <f t="shared" ca="1" si="723"/>
        <v>89.653304622355535</v>
      </c>
      <c r="J833">
        <f t="shared" ref="J833:P833" ca="1" si="776">I833*EXP(($C$6-0.5*$C$7^2)*$C$12+$C$7*SQRT($C$12)*NORMINV(RAND(),0,1))</f>
        <v>91.30572667643645</v>
      </c>
      <c r="K833">
        <f t="shared" ca="1" si="776"/>
        <v>94.188324279315282</v>
      </c>
      <c r="L833">
        <f t="shared" ca="1" si="776"/>
        <v>96.64011179737679</v>
      </c>
      <c r="M833">
        <f t="shared" ca="1" si="776"/>
        <v>91.214128627201546</v>
      </c>
      <c r="N833">
        <f t="shared" ca="1" si="776"/>
        <v>87.667890342441552</v>
      </c>
      <c r="O833">
        <f t="shared" ca="1" si="776"/>
        <v>91.94005224696042</v>
      </c>
      <c r="P833">
        <f t="shared" ca="1" si="776"/>
        <v>94.935201438233562</v>
      </c>
      <c r="Q833">
        <f t="shared" ca="1" si="724"/>
        <v>96.64011179737679</v>
      </c>
      <c r="R833">
        <f t="shared" ca="1" si="725"/>
        <v>0</v>
      </c>
      <c r="S833">
        <f t="shared" ca="1" si="726"/>
        <v>0</v>
      </c>
    </row>
    <row r="834" spans="5:19" x14ac:dyDescent="0.75">
      <c r="E834">
        <v>829</v>
      </c>
      <c r="F834">
        <f t="shared" si="722"/>
        <v>100</v>
      </c>
      <c r="G834">
        <f t="shared" ca="1" si="723"/>
        <v>93.693511316779706</v>
      </c>
      <c r="H834">
        <f t="shared" ca="1" si="723"/>
        <v>93.913534426903482</v>
      </c>
      <c r="I834">
        <f t="shared" ca="1" si="723"/>
        <v>93.000297598784229</v>
      </c>
      <c r="J834">
        <f t="shared" ref="J834:P834" ca="1" si="777">I834*EXP(($C$6-0.5*$C$7^2)*$C$12+$C$7*SQRT($C$12)*NORMINV(RAND(),0,1))</f>
        <v>88.083955899427707</v>
      </c>
      <c r="K834">
        <f t="shared" ca="1" si="777"/>
        <v>85.210457792596159</v>
      </c>
      <c r="L834">
        <f t="shared" ca="1" si="777"/>
        <v>86.237489925461233</v>
      </c>
      <c r="M834">
        <f t="shared" ca="1" si="777"/>
        <v>87.476934459097976</v>
      </c>
      <c r="N834">
        <f t="shared" ca="1" si="777"/>
        <v>89.340846897389056</v>
      </c>
      <c r="O834">
        <f t="shared" ca="1" si="777"/>
        <v>89.490662268586874</v>
      </c>
      <c r="P834">
        <f t="shared" ca="1" si="777"/>
        <v>90.005748748282898</v>
      </c>
      <c r="Q834">
        <f t="shared" ca="1" si="724"/>
        <v>93.913534426903482</v>
      </c>
      <c r="R834">
        <f t="shared" ca="1" si="725"/>
        <v>0</v>
      </c>
      <c r="S834">
        <f t="shared" ca="1" si="726"/>
        <v>0</v>
      </c>
    </row>
    <row r="835" spans="5:19" x14ac:dyDescent="0.75">
      <c r="E835">
        <v>830</v>
      </c>
      <c r="F835">
        <f t="shared" si="722"/>
        <v>100</v>
      </c>
      <c r="G835">
        <f t="shared" ca="1" si="723"/>
        <v>95.496681862778516</v>
      </c>
      <c r="H835">
        <f t="shared" ca="1" si="723"/>
        <v>95.648092573145547</v>
      </c>
      <c r="I835">
        <f t="shared" ca="1" si="723"/>
        <v>96.255839043740764</v>
      </c>
      <c r="J835">
        <f t="shared" ref="J835:P835" ca="1" si="778">I835*EXP(($C$6-0.5*$C$7^2)*$C$12+$C$7*SQRT($C$12)*NORMINV(RAND(),0,1))</f>
        <v>102.62699362819895</v>
      </c>
      <c r="K835">
        <f t="shared" ca="1" si="778"/>
        <v>107.52775833482001</v>
      </c>
      <c r="L835">
        <f t="shared" ca="1" si="778"/>
        <v>100.76567560750753</v>
      </c>
      <c r="M835">
        <f t="shared" ca="1" si="778"/>
        <v>105.21594775255069</v>
      </c>
      <c r="N835">
        <f t="shared" ca="1" si="778"/>
        <v>111.97658011289212</v>
      </c>
      <c r="O835">
        <f t="shared" ca="1" si="778"/>
        <v>107.12821480704984</v>
      </c>
      <c r="P835">
        <f t="shared" ca="1" si="778"/>
        <v>108.55467818648387</v>
      </c>
      <c r="Q835">
        <f t="shared" ca="1" si="724"/>
        <v>111.97658011289212</v>
      </c>
      <c r="R835">
        <f t="shared" ca="1" si="725"/>
        <v>0</v>
      </c>
      <c r="S835">
        <f t="shared" ca="1" si="726"/>
        <v>0</v>
      </c>
    </row>
    <row r="836" spans="5:19" x14ac:dyDescent="0.75">
      <c r="E836">
        <v>831</v>
      </c>
      <c r="F836">
        <f t="shared" si="722"/>
        <v>100</v>
      </c>
      <c r="G836">
        <f t="shared" ca="1" si="723"/>
        <v>100.44750103462086</v>
      </c>
      <c r="H836">
        <f t="shared" ca="1" si="723"/>
        <v>102.64123012377017</v>
      </c>
      <c r="I836">
        <f t="shared" ca="1" si="723"/>
        <v>104.76457681371653</v>
      </c>
      <c r="J836">
        <f t="shared" ref="J836:P836" ca="1" si="779">I836*EXP(($C$6-0.5*$C$7^2)*$C$12+$C$7*SQRT($C$12)*NORMINV(RAND(),0,1))</f>
        <v>109.12958464303729</v>
      </c>
      <c r="K836">
        <f t="shared" ca="1" si="779"/>
        <v>106.50539869537207</v>
      </c>
      <c r="L836">
        <f t="shared" ca="1" si="779"/>
        <v>109.81921240214137</v>
      </c>
      <c r="M836">
        <f t="shared" ca="1" si="779"/>
        <v>102.93586679923044</v>
      </c>
      <c r="N836">
        <f t="shared" ca="1" si="779"/>
        <v>104.42999760580355</v>
      </c>
      <c r="O836">
        <f t="shared" ca="1" si="779"/>
        <v>95.842945519552075</v>
      </c>
      <c r="P836">
        <f t="shared" ca="1" si="779"/>
        <v>98.750770519978161</v>
      </c>
      <c r="Q836">
        <f t="shared" ca="1" si="724"/>
        <v>109.81921240214137</v>
      </c>
      <c r="R836">
        <f t="shared" ca="1" si="725"/>
        <v>0</v>
      </c>
      <c r="S836">
        <f t="shared" ca="1" si="726"/>
        <v>0</v>
      </c>
    </row>
    <row r="837" spans="5:19" x14ac:dyDescent="0.75">
      <c r="E837">
        <v>832</v>
      </c>
      <c r="F837">
        <f t="shared" si="722"/>
        <v>100</v>
      </c>
      <c r="G837">
        <f t="shared" ca="1" si="723"/>
        <v>97.916390057726758</v>
      </c>
      <c r="H837">
        <f t="shared" ca="1" si="723"/>
        <v>95.603387052763154</v>
      </c>
      <c r="I837">
        <f t="shared" ca="1" si="723"/>
        <v>100.01975667033516</v>
      </c>
      <c r="J837">
        <f t="shared" ref="J837:P837" ca="1" si="780">I837*EXP(($C$6-0.5*$C$7^2)*$C$12+$C$7*SQRT($C$12)*NORMINV(RAND(),0,1))</f>
        <v>97.527526058828684</v>
      </c>
      <c r="K837">
        <f t="shared" ca="1" si="780"/>
        <v>88.620597952647969</v>
      </c>
      <c r="L837">
        <f t="shared" ca="1" si="780"/>
        <v>87.520091571643164</v>
      </c>
      <c r="M837">
        <f t="shared" ca="1" si="780"/>
        <v>90.193198668157521</v>
      </c>
      <c r="N837">
        <f t="shared" ca="1" si="780"/>
        <v>89.2195163765643</v>
      </c>
      <c r="O837">
        <f t="shared" ca="1" si="780"/>
        <v>86.287980560994924</v>
      </c>
      <c r="P837">
        <f t="shared" ca="1" si="780"/>
        <v>88.012991312648381</v>
      </c>
      <c r="Q837">
        <f t="shared" ca="1" si="724"/>
        <v>100.01975667033516</v>
      </c>
      <c r="R837">
        <f t="shared" ca="1" si="725"/>
        <v>0</v>
      </c>
      <c r="S837">
        <f t="shared" ca="1" si="726"/>
        <v>0</v>
      </c>
    </row>
    <row r="838" spans="5:19" x14ac:dyDescent="0.75">
      <c r="E838">
        <v>833</v>
      </c>
      <c r="F838">
        <f t="shared" si="722"/>
        <v>100</v>
      </c>
      <c r="G838">
        <f t="shared" ca="1" si="723"/>
        <v>99.810015750525878</v>
      </c>
      <c r="H838">
        <f t="shared" ca="1" si="723"/>
        <v>101.50106023977642</v>
      </c>
      <c r="I838">
        <f t="shared" ca="1" si="723"/>
        <v>110.87136823730921</v>
      </c>
      <c r="J838">
        <f t="shared" ref="J838:P838" ca="1" si="781">I838*EXP(($C$6-0.5*$C$7^2)*$C$12+$C$7*SQRT($C$12)*NORMINV(RAND(),0,1))</f>
        <v>114.57509676328218</v>
      </c>
      <c r="K838">
        <f t="shared" ca="1" si="781"/>
        <v>133.60006908775665</v>
      </c>
      <c r="L838">
        <f t="shared" ca="1" si="781"/>
        <v>142.02530764279365</v>
      </c>
      <c r="M838">
        <f t="shared" ca="1" si="781"/>
        <v>132.07697072512116</v>
      </c>
      <c r="N838">
        <f t="shared" ca="1" si="781"/>
        <v>139.1305389761599</v>
      </c>
      <c r="O838">
        <f t="shared" ca="1" si="781"/>
        <v>143.03615346287796</v>
      </c>
      <c r="P838">
        <f t="shared" ca="1" si="781"/>
        <v>140.28400913862845</v>
      </c>
      <c r="Q838">
        <f t="shared" ca="1" si="724"/>
        <v>143.03615346287796</v>
      </c>
      <c r="R838">
        <f t="shared" ca="1" si="725"/>
        <v>0</v>
      </c>
      <c r="S838">
        <f t="shared" ca="1" si="726"/>
        <v>0</v>
      </c>
    </row>
    <row r="839" spans="5:19" x14ac:dyDescent="0.75">
      <c r="E839">
        <v>834</v>
      </c>
      <c r="F839">
        <f t="shared" ref="F839:F902" si="782">$C$5</f>
        <v>100</v>
      </c>
      <c r="G839">
        <f t="shared" ref="G839:P902" ca="1" si="783">F839*EXP(($C$6-0.5*$C$7^2)*$C$12+$C$7*SQRT($C$12)*NORMINV(RAND(),0,1))</f>
        <v>101.81809026742559</v>
      </c>
      <c r="H839">
        <f t="shared" ca="1" si="783"/>
        <v>107.18164458704413</v>
      </c>
      <c r="I839">
        <f t="shared" ca="1" si="783"/>
        <v>104.37185643923361</v>
      </c>
      <c r="J839">
        <f t="shared" ca="1" si="783"/>
        <v>97.84833271263237</v>
      </c>
      <c r="K839">
        <f t="shared" ca="1" si="783"/>
        <v>99.463406698225086</v>
      </c>
      <c r="L839">
        <f t="shared" ca="1" si="783"/>
        <v>105.71553223743547</v>
      </c>
      <c r="M839">
        <f t="shared" ca="1" si="783"/>
        <v>90.140980938013186</v>
      </c>
      <c r="N839">
        <f t="shared" ca="1" si="783"/>
        <v>90.506397679061124</v>
      </c>
      <c r="O839">
        <f t="shared" ca="1" si="783"/>
        <v>95.780847577263373</v>
      </c>
      <c r="P839">
        <f t="shared" ca="1" si="783"/>
        <v>94.724090828062273</v>
      </c>
      <c r="Q839">
        <f t="shared" ref="Q839:Q902" ca="1" si="784">MAX(G839:P839)</f>
        <v>107.18164458704413</v>
      </c>
      <c r="R839">
        <f t="shared" ref="R839:R902" ca="1" si="785">IF(Q839&gt;=$C$13,0, MAX(P839-$C$9,0))</f>
        <v>0</v>
      </c>
      <c r="S839">
        <f t="shared" ref="S839:S902" ca="1" si="786">EXP(-$C$6*$C$8)*R839</f>
        <v>0</v>
      </c>
    </row>
    <row r="840" spans="5:19" x14ac:dyDescent="0.75">
      <c r="E840">
        <v>835</v>
      </c>
      <c r="F840">
        <f t="shared" si="782"/>
        <v>100</v>
      </c>
      <c r="G840">
        <f t="shared" ca="1" si="783"/>
        <v>97.427809011556036</v>
      </c>
      <c r="H840">
        <f t="shared" ca="1" si="783"/>
        <v>98.555206441778608</v>
      </c>
      <c r="I840">
        <f t="shared" ca="1" si="783"/>
        <v>95.786206266565472</v>
      </c>
      <c r="J840">
        <f t="shared" ca="1" si="783"/>
        <v>102.97395630728602</v>
      </c>
      <c r="K840">
        <f t="shared" ca="1" si="783"/>
        <v>102.17589072390801</v>
      </c>
      <c r="L840">
        <f t="shared" ca="1" si="783"/>
        <v>100.51840806419771</v>
      </c>
      <c r="M840">
        <f t="shared" ca="1" si="783"/>
        <v>102.36521895924587</v>
      </c>
      <c r="N840">
        <f t="shared" ca="1" si="783"/>
        <v>108.04969544526432</v>
      </c>
      <c r="O840">
        <f t="shared" ca="1" si="783"/>
        <v>111.8185685575982</v>
      </c>
      <c r="P840">
        <f t="shared" ca="1" si="783"/>
        <v>101.1595354638598</v>
      </c>
      <c r="Q840">
        <f t="shared" ca="1" si="784"/>
        <v>111.8185685575982</v>
      </c>
      <c r="R840">
        <f t="shared" ca="1" si="785"/>
        <v>0</v>
      </c>
      <c r="S840">
        <f t="shared" ca="1" si="786"/>
        <v>0</v>
      </c>
    </row>
    <row r="841" spans="5:19" x14ac:dyDescent="0.75">
      <c r="E841">
        <v>836</v>
      </c>
      <c r="F841">
        <f t="shared" si="782"/>
        <v>100</v>
      </c>
      <c r="G841">
        <f t="shared" ca="1" si="783"/>
        <v>99.384029240410158</v>
      </c>
      <c r="H841">
        <f t="shared" ca="1" si="783"/>
        <v>96.231704532618778</v>
      </c>
      <c r="I841">
        <f t="shared" ca="1" si="783"/>
        <v>99.311619635053106</v>
      </c>
      <c r="J841">
        <f t="shared" ca="1" si="783"/>
        <v>103.45242192257474</v>
      </c>
      <c r="K841">
        <f t="shared" ca="1" si="783"/>
        <v>92.329908544781901</v>
      </c>
      <c r="L841">
        <f t="shared" ca="1" si="783"/>
        <v>98.456059975923239</v>
      </c>
      <c r="M841">
        <f t="shared" ca="1" si="783"/>
        <v>97.103429551926226</v>
      </c>
      <c r="N841">
        <f t="shared" ca="1" si="783"/>
        <v>107.73793134512067</v>
      </c>
      <c r="O841">
        <f t="shared" ca="1" si="783"/>
        <v>109.26553230953948</v>
      </c>
      <c r="P841">
        <f t="shared" ca="1" si="783"/>
        <v>111.19342680764854</v>
      </c>
      <c r="Q841">
        <f t="shared" ca="1" si="784"/>
        <v>111.19342680764854</v>
      </c>
      <c r="R841">
        <f t="shared" ca="1" si="785"/>
        <v>0</v>
      </c>
      <c r="S841">
        <f t="shared" ca="1" si="786"/>
        <v>0</v>
      </c>
    </row>
    <row r="842" spans="5:19" x14ac:dyDescent="0.75">
      <c r="E842">
        <v>837</v>
      </c>
      <c r="F842">
        <f t="shared" si="782"/>
        <v>100</v>
      </c>
      <c r="G842">
        <f t="shared" ca="1" si="783"/>
        <v>110.12191853061563</v>
      </c>
      <c r="H842">
        <f t="shared" ca="1" si="783"/>
        <v>115.49116478333289</v>
      </c>
      <c r="I842">
        <f t="shared" ca="1" si="783"/>
        <v>113.57213162759599</v>
      </c>
      <c r="J842">
        <f t="shared" ca="1" si="783"/>
        <v>109.86075212407292</v>
      </c>
      <c r="K842">
        <f t="shared" ca="1" si="783"/>
        <v>104.17939629909418</v>
      </c>
      <c r="L842">
        <f t="shared" ca="1" si="783"/>
        <v>106.81089767933786</v>
      </c>
      <c r="M842">
        <f t="shared" ca="1" si="783"/>
        <v>101.34261682892412</v>
      </c>
      <c r="N842">
        <f t="shared" ca="1" si="783"/>
        <v>98.583013877732952</v>
      </c>
      <c r="O842">
        <f t="shared" ca="1" si="783"/>
        <v>100.82768668843293</v>
      </c>
      <c r="P842">
        <f t="shared" ca="1" si="783"/>
        <v>97.59661347386961</v>
      </c>
      <c r="Q842">
        <f t="shared" ca="1" si="784"/>
        <v>115.49116478333289</v>
      </c>
      <c r="R842">
        <f t="shared" ca="1" si="785"/>
        <v>0</v>
      </c>
      <c r="S842">
        <f t="shared" ca="1" si="786"/>
        <v>0</v>
      </c>
    </row>
    <row r="843" spans="5:19" x14ac:dyDescent="0.75">
      <c r="E843">
        <v>838</v>
      </c>
      <c r="F843">
        <f t="shared" si="782"/>
        <v>100</v>
      </c>
      <c r="G843">
        <f t="shared" ca="1" si="783"/>
        <v>103.91143656249699</v>
      </c>
      <c r="H843">
        <f t="shared" ca="1" si="783"/>
        <v>105.40477631676941</v>
      </c>
      <c r="I843">
        <f t="shared" ca="1" si="783"/>
        <v>108.11050500898828</v>
      </c>
      <c r="J843">
        <f t="shared" ca="1" si="783"/>
        <v>110.91628253797332</v>
      </c>
      <c r="K843">
        <f t="shared" ca="1" si="783"/>
        <v>110.08484094252505</v>
      </c>
      <c r="L843">
        <f t="shared" ca="1" si="783"/>
        <v>105.63385446156589</v>
      </c>
      <c r="M843">
        <f t="shared" ca="1" si="783"/>
        <v>110.54818549356021</v>
      </c>
      <c r="N843">
        <f t="shared" ca="1" si="783"/>
        <v>111.48550531361505</v>
      </c>
      <c r="O843">
        <f t="shared" ca="1" si="783"/>
        <v>111.51990644693838</v>
      </c>
      <c r="P843">
        <f t="shared" ca="1" si="783"/>
        <v>110.95797688186214</v>
      </c>
      <c r="Q843">
        <f t="shared" ca="1" si="784"/>
        <v>111.51990644693838</v>
      </c>
      <c r="R843">
        <f t="shared" ca="1" si="785"/>
        <v>0</v>
      </c>
      <c r="S843">
        <f t="shared" ca="1" si="786"/>
        <v>0</v>
      </c>
    </row>
    <row r="844" spans="5:19" x14ac:dyDescent="0.75">
      <c r="E844">
        <v>839</v>
      </c>
      <c r="F844">
        <f t="shared" si="782"/>
        <v>100</v>
      </c>
      <c r="G844">
        <f t="shared" ca="1" si="783"/>
        <v>101.63882822603816</v>
      </c>
      <c r="H844">
        <f t="shared" ca="1" si="783"/>
        <v>94.617664335499981</v>
      </c>
      <c r="I844">
        <f t="shared" ca="1" si="783"/>
        <v>92.948169769521698</v>
      </c>
      <c r="J844">
        <f t="shared" ca="1" si="783"/>
        <v>90.025515608100022</v>
      </c>
      <c r="K844">
        <f t="shared" ca="1" si="783"/>
        <v>91.870862484380439</v>
      </c>
      <c r="L844">
        <f t="shared" ca="1" si="783"/>
        <v>94.650094043969261</v>
      </c>
      <c r="M844">
        <f t="shared" ca="1" si="783"/>
        <v>99.582264420311901</v>
      </c>
      <c r="N844">
        <f t="shared" ca="1" si="783"/>
        <v>94.735958204080262</v>
      </c>
      <c r="O844">
        <f t="shared" ca="1" si="783"/>
        <v>95.416443874076791</v>
      </c>
      <c r="P844">
        <f t="shared" ca="1" si="783"/>
        <v>98.472461216890366</v>
      </c>
      <c r="Q844">
        <f t="shared" ca="1" si="784"/>
        <v>101.63882822603816</v>
      </c>
      <c r="R844">
        <f t="shared" ca="1" si="785"/>
        <v>0</v>
      </c>
      <c r="S844">
        <f t="shared" ca="1" si="786"/>
        <v>0</v>
      </c>
    </row>
    <row r="845" spans="5:19" x14ac:dyDescent="0.75">
      <c r="E845">
        <v>840</v>
      </c>
      <c r="F845">
        <f t="shared" si="782"/>
        <v>100</v>
      </c>
      <c r="G845">
        <f t="shared" ca="1" si="783"/>
        <v>109.010441806881</v>
      </c>
      <c r="H845">
        <f t="shared" ca="1" si="783"/>
        <v>113.60206187856683</v>
      </c>
      <c r="I845">
        <f t="shared" ca="1" si="783"/>
        <v>116.21087907833395</v>
      </c>
      <c r="J845">
        <f t="shared" ca="1" si="783"/>
        <v>115.2336944067833</v>
      </c>
      <c r="K845">
        <f t="shared" ca="1" si="783"/>
        <v>107.70245689904176</v>
      </c>
      <c r="L845">
        <f t="shared" ca="1" si="783"/>
        <v>103.41912645882407</v>
      </c>
      <c r="M845">
        <f t="shared" ca="1" si="783"/>
        <v>104.87569842609265</v>
      </c>
      <c r="N845">
        <f t="shared" ca="1" si="783"/>
        <v>102.09647483186352</v>
      </c>
      <c r="O845">
        <f t="shared" ca="1" si="783"/>
        <v>106.11611216102186</v>
      </c>
      <c r="P845">
        <f t="shared" ca="1" si="783"/>
        <v>100.94325313515942</v>
      </c>
      <c r="Q845">
        <f t="shared" ca="1" si="784"/>
        <v>116.21087907833395</v>
      </c>
      <c r="R845">
        <f t="shared" ca="1" si="785"/>
        <v>0</v>
      </c>
      <c r="S845">
        <f t="shared" ca="1" si="786"/>
        <v>0</v>
      </c>
    </row>
    <row r="846" spans="5:19" x14ac:dyDescent="0.75">
      <c r="E846">
        <v>841</v>
      </c>
      <c r="F846">
        <f t="shared" si="782"/>
        <v>100</v>
      </c>
      <c r="G846">
        <f t="shared" ca="1" si="783"/>
        <v>104.03931383219157</v>
      </c>
      <c r="H846">
        <f t="shared" ca="1" si="783"/>
        <v>103.82178570029886</v>
      </c>
      <c r="I846">
        <f t="shared" ca="1" si="783"/>
        <v>103.53136338630965</v>
      </c>
      <c r="J846">
        <f t="shared" ca="1" si="783"/>
        <v>101.88072040816928</v>
      </c>
      <c r="K846">
        <f t="shared" ca="1" si="783"/>
        <v>111.35337654415576</v>
      </c>
      <c r="L846">
        <f t="shared" ca="1" si="783"/>
        <v>115.71493460057142</v>
      </c>
      <c r="M846">
        <f t="shared" ca="1" si="783"/>
        <v>123.27976575351592</v>
      </c>
      <c r="N846">
        <f t="shared" ca="1" si="783"/>
        <v>117.49120386522863</v>
      </c>
      <c r="O846">
        <f t="shared" ca="1" si="783"/>
        <v>120.25448467990192</v>
      </c>
      <c r="P846">
        <f t="shared" ca="1" si="783"/>
        <v>120.8677726122301</v>
      </c>
      <c r="Q846">
        <f t="shared" ca="1" si="784"/>
        <v>123.27976575351592</v>
      </c>
      <c r="R846">
        <f t="shared" ca="1" si="785"/>
        <v>0</v>
      </c>
      <c r="S846">
        <f t="shared" ca="1" si="786"/>
        <v>0</v>
      </c>
    </row>
    <row r="847" spans="5:19" x14ac:dyDescent="0.75">
      <c r="E847">
        <v>842</v>
      </c>
      <c r="F847">
        <f t="shared" si="782"/>
        <v>100</v>
      </c>
      <c r="G847">
        <f t="shared" ca="1" si="783"/>
        <v>100.11655177621901</v>
      </c>
      <c r="H847">
        <f t="shared" ca="1" si="783"/>
        <v>98.638392813174548</v>
      </c>
      <c r="I847">
        <f t="shared" ca="1" si="783"/>
        <v>100.41348822659349</v>
      </c>
      <c r="J847">
        <f t="shared" ca="1" si="783"/>
        <v>99.867398434045668</v>
      </c>
      <c r="K847">
        <f t="shared" ca="1" si="783"/>
        <v>97.765889335834757</v>
      </c>
      <c r="L847">
        <f t="shared" ca="1" si="783"/>
        <v>94.882749771518178</v>
      </c>
      <c r="M847">
        <f t="shared" ca="1" si="783"/>
        <v>98.587106794226855</v>
      </c>
      <c r="N847">
        <f t="shared" ca="1" si="783"/>
        <v>105.6232800058937</v>
      </c>
      <c r="O847">
        <f t="shared" ca="1" si="783"/>
        <v>104.58238775376464</v>
      </c>
      <c r="P847">
        <f t="shared" ca="1" si="783"/>
        <v>99.820652260628236</v>
      </c>
      <c r="Q847">
        <f t="shared" ca="1" si="784"/>
        <v>105.6232800058937</v>
      </c>
      <c r="R847">
        <f t="shared" ca="1" si="785"/>
        <v>0</v>
      </c>
      <c r="S847">
        <f t="shared" ca="1" si="786"/>
        <v>0</v>
      </c>
    </row>
    <row r="848" spans="5:19" x14ac:dyDescent="0.75">
      <c r="E848">
        <v>843</v>
      </c>
      <c r="F848">
        <f t="shared" si="782"/>
        <v>100</v>
      </c>
      <c r="G848">
        <f t="shared" ca="1" si="783"/>
        <v>110.35835823791078</v>
      </c>
      <c r="H848">
        <f t="shared" ca="1" si="783"/>
        <v>110.61368927977118</v>
      </c>
      <c r="I848">
        <f t="shared" ca="1" si="783"/>
        <v>113.77823644118082</v>
      </c>
      <c r="J848">
        <f t="shared" ref="J848:P848" ca="1" si="787">I848*EXP(($C$6-0.5*$C$7^2)*$C$12+$C$7*SQRT($C$12)*NORMINV(RAND(),0,1))</f>
        <v>109.01448894353771</v>
      </c>
      <c r="K848">
        <f t="shared" ca="1" si="787"/>
        <v>109.97389178164501</v>
      </c>
      <c r="L848">
        <f t="shared" ca="1" si="787"/>
        <v>107.10485891410397</v>
      </c>
      <c r="M848">
        <f t="shared" ca="1" si="787"/>
        <v>107.08038133952965</v>
      </c>
      <c r="N848">
        <f t="shared" ca="1" si="787"/>
        <v>114.79659029479676</v>
      </c>
      <c r="O848">
        <f t="shared" ca="1" si="787"/>
        <v>112.63753285587842</v>
      </c>
      <c r="P848">
        <f t="shared" ca="1" si="787"/>
        <v>117.80381768607741</v>
      </c>
      <c r="Q848">
        <f t="shared" ca="1" si="784"/>
        <v>117.80381768607741</v>
      </c>
      <c r="R848">
        <f t="shared" ca="1" si="785"/>
        <v>0</v>
      </c>
      <c r="S848">
        <f t="shared" ca="1" si="786"/>
        <v>0</v>
      </c>
    </row>
    <row r="849" spans="5:19" x14ac:dyDescent="0.75">
      <c r="E849">
        <v>844</v>
      </c>
      <c r="F849">
        <f t="shared" si="782"/>
        <v>100</v>
      </c>
      <c r="G849">
        <f t="shared" ca="1" si="783"/>
        <v>105.77111793338747</v>
      </c>
      <c r="H849">
        <f t="shared" ca="1" si="783"/>
        <v>99.715628952824744</v>
      </c>
      <c r="I849">
        <f t="shared" ca="1" si="783"/>
        <v>93.553870021336678</v>
      </c>
      <c r="J849">
        <f t="shared" ref="J849:P849" ca="1" si="788">I849*EXP(($C$6-0.5*$C$7^2)*$C$12+$C$7*SQRT($C$12)*NORMINV(RAND(),0,1))</f>
        <v>99.196225515814447</v>
      </c>
      <c r="K849">
        <f t="shared" ca="1" si="788"/>
        <v>99.115296841470609</v>
      </c>
      <c r="L849">
        <f t="shared" ca="1" si="788"/>
        <v>95.759993279261423</v>
      </c>
      <c r="M849">
        <f t="shared" ca="1" si="788"/>
        <v>93.373381488467828</v>
      </c>
      <c r="N849">
        <f t="shared" ca="1" si="788"/>
        <v>91.017223376675091</v>
      </c>
      <c r="O849">
        <f t="shared" ca="1" si="788"/>
        <v>91.749434316647736</v>
      </c>
      <c r="P849">
        <f t="shared" ca="1" si="788"/>
        <v>94.760879769903909</v>
      </c>
      <c r="Q849">
        <f t="shared" ca="1" si="784"/>
        <v>105.77111793338747</v>
      </c>
      <c r="R849">
        <f t="shared" ca="1" si="785"/>
        <v>0</v>
      </c>
      <c r="S849">
        <f t="shared" ca="1" si="786"/>
        <v>0</v>
      </c>
    </row>
    <row r="850" spans="5:19" x14ac:dyDescent="0.75">
      <c r="E850">
        <v>845</v>
      </c>
      <c r="F850">
        <f t="shared" si="782"/>
        <v>100</v>
      </c>
      <c r="G850">
        <f t="shared" ca="1" si="783"/>
        <v>103.21935206119379</v>
      </c>
      <c r="H850">
        <f t="shared" ca="1" si="783"/>
        <v>102.33828570947981</v>
      </c>
      <c r="I850">
        <f t="shared" ca="1" si="783"/>
        <v>104.49983253784751</v>
      </c>
      <c r="J850">
        <f t="shared" ref="J850:P850" ca="1" si="789">I850*EXP(($C$6-0.5*$C$7^2)*$C$12+$C$7*SQRT($C$12)*NORMINV(RAND(),0,1))</f>
        <v>102.00532155269524</v>
      </c>
      <c r="K850">
        <f t="shared" ca="1" si="789"/>
        <v>101.57765382064238</v>
      </c>
      <c r="L850">
        <f t="shared" ca="1" si="789"/>
        <v>105.00504038699653</v>
      </c>
      <c r="M850">
        <f t="shared" ca="1" si="789"/>
        <v>102.84903770692033</v>
      </c>
      <c r="N850">
        <f t="shared" ca="1" si="789"/>
        <v>101.71752590823388</v>
      </c>
      <c r="O850">
        <f t="shared" ca="1" si="789"/>
        <v>104.97854005020635</v>
      </c>
      <c r="P850">
        <f t="shared" ca="1" si="789"/>
        <v>107.60533025717675</v>
      </c>
      <c r="Q850">
        <f t="shared" ca="1" si="784"/>
        <v>107.60533025717675</v>
      </c>
      <c r="R850">
        <f t="shared" ca="1" si="785"/>
        <v>5.605330257176746</v>
      </c>
      <c r="S850">
        <f t="shared" ca="1" si="786"/>
        <v>5.4669341600168035</v>
      </c>
    </row>
    <row r="851" spans="5:19" x14ac:dyDescent="0.75">
      <c r="E851">
        <v>846</v>
      </c>
      <c r="F851">
        <f t="shared" si="782"/>
        <v>100</v>
      </c>
      <c r="G851">
        <f t="shared" ca="1" si="783"/>
        <v>94.250553748379218</v>
      </c>
      <c r="H851">
        <f t="shared" ca="1" si="783"/>
        <v>98.509026833800377</v>
      </c>
      <c r="I851">
        <f t="shared" ca="1" si="783"/>
        <v>97.34599695638515</v>
      </c>
      <c r="J851">
        <f t="shared" ref="J851:P851" ca="1" si="790">I851*EXP(($C$6-0.5*$C$7^2)*$C$12+$C$7*SQRT($C$12)*NORMINV(RAND(),0,1))</f>
        <v>96.244639615031346</v>
      </c>
      <c r="K851">
        <f t="shared" ca="1" si="790"/>
        <v>91.32612299406054</v>
      </c>
      <c r="L851">
        <f t="shared" ca="1" si="790"/>
        <v>84.989515693578909</v>
      </c>
      <c r="M851">
        <f t="shared" ca="1" si="790"/>
        <v>84.081686886777689</v>
      </c>
      <c r="N851">
        <f t="shared" ca="1" si="790"/>
        <v>86.543195787940434</v>
      </c>
      <c r="O851">
        <f t="shared" ca="1" si="790"/>
        <v>82.876285122199334</v>
      </c>
      <c r="P851">
        <f t="shared" ca="1" si="790"/>
        <v>83.217196049786892</v>
      </c>
      <c r="Q851">
        <f t="shared" ca="1" si="784"/>
        <v>98.509026833800377</v>
      </c>
      <c r="R851">
        <f t="shared" ca="1" si="785"/>
        <v>0</v>
      </c>
      <c r="S851">
        <f t="shared" ca="1" si="786"/>
        <v>0</v>
      </c>
    </row>
    <row r="852" spans="5:19" x14ac:dyDescent="0.75">
      <c r="E852">
        <v>847</v>
      </c>
      <c r="F852">
        <f t="shared" si="782"/>
        <v>100</v>
      </c>
      <c r="G852">
        <f t="shared" ca="1" si="783"/>
        <v>94.504302992526235</v>
      </c>
      <c r="H852">
        <f t="shared" ca="1" si="783"/>
        <v>87.936702513966807</v>
      </c>
      <c r="I852">
        <f t="shared" ca="1" si="783"/>
        <v>89.175817229140449</v>
      </c>
      <c r="J852">
        <f t="shared" ref="J852:P852" ca="1" si="791">I852*EXP(($C$6-0.5*$C$7^2)*$C$12+$C$7*SQRT($C$12)*NORMINV(RAND(),0,1))</f>
        <v>85.914525992024309</v>
      </c>
      <c r="K852">
        <f t="shared" ca="1" si="791"/>
        <v>84.524936896451152</v>
      </c>
      <c r="L852">
        <f t="shared" ca="1" si="791"/>
        <v>84.533949626772113</v>
      </c>
      <c r="M852">
        <f t="shared" ca="1" si="791"/>
        <v>85.05931229465584</v>
      </c>
      <c r="N852">
        <f t="shared" ca="1" si="791"/>
        <v>85.874900515447649</v>
      </c>
      <c r="O852">
        <f t="shared" ca="1" si="791"/>
        <v>87.660496933669819</v>
      </c>
      <c r="P852">
        <f t="shared" ca="1" si="791"/>
        <v>85.373163600201281</v>
      </c>
      <c r="Q852">
        <f t="shared" ca="1" si="784"/>
        <v>94.504302992526235</v>
      </c>
      <c r="R852">
        <f t="shared" ca="1" si="785"/>
        <v>0</v>
      </c>
      <c r="S852">
        <f t="shared" ca="1" si="786"/>
        <v>0</v>
      </c>
    </row>
    <row r="853" spans="5:19" x14ac:dyDescent="0.75">
      <c r="E853">
        <v>848</v>
      </c>
      <c r="F853">
        <f t="shared" si="782"/>
        <v>100</v>
      </c>
      <c r="G853">
        <f t="shared" ca="1" si="783"/>
        <v>98.153676142268026</v>
      </c>
      <c r="H853">
        <f t="shared" ca="1" si="783"/>
        <v>93.995145826389773</v>
      </c>
      <c r="I853">
        <f t="shared" ca="1" si="783"/>
        <v>85.901605870690844</v>
      </c>
      <c r="J853">
        <f t="shared" ref="J853:P853" ca="1" si="792">I853*EXP(($C$6-0.5*$C$7^2)*$C$12+$C$7*SQRT($C$12)*NORMINV(RAND(),0,1))</f>
        <v>84.941865361846538</v>
      </c>
      <c r="K853">
        <f t="shared" ca="1" si="792"/>
        <v>89.287300706826812</v>
      </c>
      <c r="L853">
        <f t="shared" ca="1" si="792"/>
        <v>94.667277413433794</v>
      </c>
      <c r="M853">
        <f t="shared" ca="1" si="792"/>
        <v>93.629233789697921</v>
      </c>
      <c r="N853">
        <f t="shared" ca="1" si="792"/>
        <v>85.593841708990396</v>
      </c>
      <c r="O853">
        <f t="shared" ca="1" si="792"/>
        <v>83.090858970901749</v>
      </c>
      <c r="P853">
        <f t="shared" ca="1" si="792"/>
        <v>80.059483663406027</v>
      </c>
      <c r="Q853">
        <f t="shared" ca="1" si="784"/>
        <v>98.153676142268026</v>
      </c>
      <c r="R853">
        <f t="shared" ca="1" si="785"/>
        <v>0</v>
      </c>
      <c r="S853">
        <f t="shared" ca="1" si="786"/>
        <v>0</v>
      </c>
    </row>
    <row r="854" spans="5:19" x14ac:dyDescent="0.75">
      <c r="E854">
        <v>849</v>
      </c>
      <c r="F854">
        <f t="shared" si="782"/>
        <v>100</v>
      </c>
      <c r="G854">
        <f t="shared" ca="1" si="783"/>
        <v>103.8010959927489</v>
      </c>
      <c r="H854">
        <f t="shared" ca="1" si="783"/>
        <v>104.45134220609678</v>
      </c>
      <c r="I854">
        <f t="shared" ca="1" si="783"/>
        <v>104.76062694771541</v>
      </c>
      <c r="J854">
        <f t="shared" ref="J854:P854" ca="1" si="793">I854*EXP(($C$6-0.5*$C$7^2)*$C$12+$C$7*SQRT($C$12)*NORMINV(RAND(),0,1))</f>
        <v>110.42478268631156</v>
      </c>
      <c r="K854">
        <f t="shared" ca="1" si="793"/>
        <v>116.00552898997907</v>
      </c>
      <c r="L854">
        <f t="shared" ca="1" si="793"/>
        <v>110.16299539900167</v>
      </c>
      <c r="M854">
        <f t="shared" ca="1" si="793"/>
        <v>120.32080752677751</v>
      </c>
      <c r="N854">
        <f t="shared" ca="1" si="793"/>
        <v>120.48725565041821</v>
      </c>
      <c r="O854">
        <f t="shared" ca="1" si="793"/>
        <v>119.25343135761022</v>
      </c>
      <c r="P854">
        <f t="shared" ca="1" si="793"/>
        <v>119.33586671532467</v>
      </c>
      <c r="Q854">
        <f t="shared" ca="1" si="784"/>
        <v>120.48725565041821</v>
      </c>
      <c r="R854">
        <f t="shared" ca="1" si="785"/>
        <v>0</v>
      </c>
      <c r="S854">
        <f t="shared" ca="1" si="786"/>
        <v>0</v>
      </c>
    </row>
    <row r="855" spans="5:19" x14ac:dyDescent="0.75">
      <c r="E855">
        <v>850</v>
      </c>
      <c r="F855">
        <f t="shared" si="782"/>
        <v>100</v>
      </c>
      <c r="G855">
        <f t="shared" ca="1" si="783"/>
        <v>107.56423388130092</v>
      </c>
      <c r="H855">
        <f t="shared" ca="1" si="783"/>
        <v>104.77321952242048</v>
      </c>
      <c r="I855">
        <f t="shared" ca="1" si="783"/>
        <v>99.918064095559501</v>
      </c>
      <c r="J855">
        <f t="shared" ref="J855:P855" ca="1" si="794">I855*EXP(($C$6-0.5*$C$7^2)*$C$12+$C$7*SQRT($C$12)*NORMINV(RAND(),0,1))</f>
        <v>101.17698564086146</v>
      </c>
      <c r="K855">
        <f t="shared" ca="1" si="794"/>
        <v>99.524813181116116</v>
      </c>
      <c r="L855">
        <f t="shared" ca="1" si="794"/>
        <v>102.84642524396307</v>
      </c>
      <c r="M855">
        <f t="shared" ca="1" si="794"/>
        <v>101.052129563881</v>
      </c>
      <c r="N855">
        <f t="shared" ca="1" si="794"/>
        <v>91.001198328435734</v>
      </c>
      <c r="O855">
        <f t="shared" ca="1" si="794"/>
        <v>90.849895995584333</v>
      </c>
      <c r="P855">
        <f t="shared" ca="1" si="794"/>
        <v>86.080435917341461</v>
      </c>
      <c r="Q855">
        <f t="shared" ca="1" si="784"/>
        <v>107.56423388130092</v>
      </c>
      <c r="R855">
        <f t="shared" ca="1" si="785"/>
        <v>0</v>
      </c>
      <c r="S855">
        <f t="shared" ca="1" si="786"/>
        <v>0</v>
      </c>
    </row>
    <row r="856" spans="5:19" x14ac:dyDescent="0.75">
      <c r="E856">
        <v>851</v>
      </c>
      <c r="F856">
        <f t="shared" si="782"/>
        <v>100</v>
      </c>
      <c r="G856">
        <f t="shared" ca="1" si="783"/>
        <v>95.37085089430191</v>
      </c>
      <c r="H856">
        <f t="shared" ca="1" si="783"/>
        <v>94.25537919071634</v>
      </c>
      <c r="I856">
        <f t="shared" ca="1" si="783"/>
        <v>94.620986776292497</v>
      </c>
      <c r="J856">
        <f t="shared" ref="J856:P856" ca="1" si="795">I856*EXP(($C$6-0.5*$C$7^2)*$C$12+$C$7*SQRT($C$12)*NORMINV(RAND(),0,1))</f>
        <v>92.330545839751935</v>
      </c>
      <c r="K856">
        <f t="shared" ca="1" si="795"/>
        <v>86.746755456462779</v>
      </c>
      <c r="L856">
        <f t="shared" ca="1" si="795"/>
        <v>83.91380163927947</v>
      </c>
      <c r="M856">
        <f t="shared" ca="1" si="795"/>
        <v>88.858443536773152</v>
      </c>
      <c r="N856">
        <f t="shared" ca="1" si="795"/>
        <v>93.262842684631707</v>
      </c>
      <c r="O856">
        <f t="shared" ca="1" si="795"/>
        <v>94.668700112874035</v>
      </c>
      <c r="P856">
        <f t="shared" ca="1" si="795"/>
        <v>82.610497867458761</v>
      </c>
      <c r="Q856">
        <f t="shared" ca="1" si="784"/>
        <v>95.37085089430191</v>
      </c>
      <c r="R856">
        <f t="shared" ca="1" si="785"/>
        <v>0</v>
      </c>
      <c r="S856">
        <f t="shared" ca="1" si="786"/>
        <v>0</v>
      </c>
    </row>
    <row r="857" spans="5:19" x14ac:dyDescent="0.75">
      <c r="E857">
        <v>852</v>
      </c>
      <c r="F857">
        <f t="shared" si="782"/>
        <v>100</v>
      </c>
      <c r="G857">
        <f t="shared" ca="1" si="783"/>
        <v>98.599421656775505</v>
      </c>
      <c r="H857">
        <f t="shared" ca="1" si="783"/>
        <v>90.82466464938696</v>
      </c>
      <c r="I857">
        <f t="shared" ca="1" si="783"/>
        <v>98.435205553407371</v>
      </c>
      <c r="J857">
        <f t="shared" ref="J857:P857" ca="1" si="796">I857*EXP(($C$6-0.5*$C$7^2)*$C$12+$C$7*SQRT($C$12)*NORMINV(RAND(),0,1))</f>
        <v>99.767964094919307</v>
      </c>
      <c r="K857">
        <f t="shared" ca="1" si="796"/>
        <v>99.554373468595159</v>
      </c>
      <c r="L857">
        <f t="shared" ca="1" si="796"/>
        <v>95.169682306748186</v>
      </c>
      <c r="M857">
        <f t="shared" ca="1" si="796"/>
        <v>95.862598887203745</v>
      </c>
      <c r="N857">
        <f t="shared" ca="1" si="796"/>
        <v>95.928020786545446</v>
      </c>
      <c r="O857">
        <f t="shared" ca="1" si="796"/>
        <v>102.01620146540658</v>
      </c>
      <c r="P857">
        <f t="shared" ca="1" si="796"/>
        <v>98.765879779179755</v>
      </c>
      <c r="Q857">
        <f t="shared" ca="1" si="784"/>
        <v>102.01620146540658</v>
      </c>
      <c r="R857">
        <f t="shared" ca="1" si="785"/>
        <v>0</v>
      </c>
      <c r="S857">
        <f t="shared" ca="1" si="786"/>
        <v>0</v>
      </c>
    </row>
    <row r="858" spans="5:19" x14ac:dyDescent="0.75">
      <c r="E858">
        <v>853</v>
      </c>
      <c r="F858">
        <f t="shared" si="782"/>
        <v>100</v>
      </c>
      <c r="G858">
        <f t="shared" ca="1" si="783"/>
        <v>95.303225310123068</v>
      </c>
      <c r="H858">
        <f t="shared" ca="1" si="783"/>
        <v>97.000135568470483</v>
      </c>
      <c r="I858">
        <f t="shared" ca="1" si="783"/>
        <v>104.67000433304354</v>
      </c>
      <c r="J858">
        <f t="shared" ref="J858:P858" ca="1" si="797">I858*EXP(($C$6-0.5*$C$7^2)*$C$12+$C$7*SQRT($C$12)*NORMINV(RAND(),0,1))</f>
        <v>105.33557450702433</v>
      </c>
      <c r="K858">
        <f t="shared" ca="1" si="797"/>
        <v>108.35643381294267</v>
      </c>
      <c r="L858">
        <f t="shared" ca="1" si="797"/>
        <v>101.88907122130443</v>
      </c>
      <c r="M858">
        <f t="shared" ca="1" si="797"/>
        <v>95.165964188553019</v>
      </c>
      <c r="N858">
        <f t="shared" ca="1" si="797"/>
        <v>98.878588646739914</v>
      </c>
      <c r="O858">
        <f t="shared" ca="1" si="797"/>
        <v>100.39953201393234</v>
      </c>
      <c r="P858">
        <f t="shared" ca="1" si="797"/>
        <v>107.39587538379405</v>
      </c>
      <c r="Q858">
        <f t="shared" ca="1" si="784"/>
        <v>108.35643381294267</v>
      </c>
      <c r="R858">
        <f t="shared" ca="1" si="785"/>
        <v>5.3958753837940492</v>
      </c>
      <c r="S858">
        <f t="shared" ca="1" si="786"/>
        <v>5.2626507458840193</v>
      </c>
    </row>
    <row r="859" spans="5:19" x14ac:dyDescent="0.75">
      <c r="E859">
        <v>854</v>
      </c>
      <c r="F859">
        <f t="shared" si="782"/>
        <v>100</v>
      </c>
      <c r="G859">
        <f t="shared" ca="1" si="783"/>
        <v>109.20392658584832</v>
      </c>
      <c r="H859">
        <f t="shared" ca="1" si="783"/>
        <v>111.70905875555164</v>
      </c>
      <c r="I859">
        <f t="shared" ca="1" si="783"/>
        <v>116.98980347281592</v>
      </c>
      <c r="J859">
        <f t="shared" ref="J859:P859" ca="1" si="798">I859*EXP(($C$6-0.5*$C$7^2)*$C$12+$C$7*SQRT($C$12)*NORMINV(RAND(),0,1))</f>
        <v>118.94675975724974</v>
      </c>
      <c r="K859">
        <f t="shared" ca="1" si="798"/>
        <v>118.90441327325013</v>
      </c>
      <c r="L859">
        <f t="shared" ca="1" si="798"/>
        <v>112.22452586846389</v>
      </c>
      <c r="M859">
        <f t="shared" ca="1" si="798"/>
        <v>110.62359123786683</v>
      </c>
      <c r="N859">
        <f t="shared" ca="1" si="798"/>
        <v>111.6899642867491</v>
      </c>
      <c r="O859">
        <f t="shared" ca="1" si="798"/>
        <v>107.99962955054362</v>
      </c>
      <c r="P859">
        <f t="shared" ca="1" si="798"/>
        <v>104.53207711629655</v>
      </c>
      <c r="Q859">
        <f t="shared" ca="1" si="784"/>
        <v>118.94675975724974</v>
      </c>
      <c r="R859">
        <f t="shared" ca="1" si="785"/>
        <v>0</v>
      </c>
      <c r="S859">
        <f t="shared" ca="1" si="786"/>
        <v>0</v>
      </c>
    </row>
    <row r="860" spans="5:19" x14ac:dyDescent="0.75">
      <c r="E860">
        <v>855</v>
      </c>
      <c r="F860">
        <f t="shared" si="782"/>
        <v>100</v>
      </c>
      <c r="G860">
        <f t="shared" ca="1" si="783"/>
        <v>92.846520528618711</v>
      </c>
      <c r="H860">
        <f t="shared" ca="1" si="783"/>
        <v>91.164595142296918</v>
      </c>
      <c r="I860">
        <f t="shared" ca="1" si="783"/>
        <v>90.583052130479871</v>
      </c>
      <c r="J860">
        <f t="shared" ref="J860:P860" ca="1" si="799">I860*EXP(($C$6-0.5*$C$7^2)*$C$12+$C$7*SQRT($C$12)*NORMINV(RAND(),0,1))</f>
        <v>95.939135888143824</v>
      </c>
      <c r="K860">
        <f t="shared" ca="1" si="799"/>
        <v>101.34316107317547</v>
      </c>
      <c r="L860">
        <f t="shared" ca="1" si="799"/>
        <v>108.37375549355616</v>
      </c>
      <c r="M860">
        <f t="shared" ca="1" si="799"/>
        <v>104.88955470731069</v>
      </c>
      <c r="N860">
        <f t="shared" ca="1" si="799"/>
        <v>108.02705045840061</v>
      </c>
      <c r="O860">
        <f t="shared" ca="1" si="799"/>
        <v>105.61481897069103</v>
      </c>
      <c r="P860">
        <f t="shared" ca="1" si="799"/>
        <v>101.32124898761542</v>
      </c>
      <c r="Q860">
        <f t="shared" ca="1" si="784"/>
        <v>108.37375549355616</v>
      </c>
      <c r="R860">
        <f t="shared" ca="1" si="785"/>
        <v>0</v>
      </c>
      <c r="S860">
        <f t="shared" ca="1" si="786"/>
        <v>0</v>
      </c>
    </row>
    <row r="861" spans="5:19" x14ac:dyDescent="0.75">
      <c r="E861">
        <v>856</v>
      </c>
      <c r="F861">
        <f t="shared" si="782"/>
        <v>100</v>
      </c>
      <c r="G861">
        <f t="shared" ca="1" si="783"/>
        <v>101.65000162423843</v>
      </c>
      <c r="H861">
        <f t="shared" ca="1" si="783"/>
        <v>105.38699938132289</v>
      </c>
      <c r="I861">
        <f t="shared" ca="1" si="783"/>
        <v>103.08357172747699</v>
      </c>
      <c r="J861">
        <f t="shared" ref="J861:P861" ca="1" si="800">I861*EXP(($C$6-0.5*$C$7^2)*$C$12+$C$7*SQRT($C$12)*NORMINV(RAND(),0,1))</f>
        <v>107.06170797479167</v>
      </c>
      <c r="K861">
        <f t="shared" ca="1" si="800"/>
        <v>102.12314801034741</v>
      </c>
      <c r="L861">
        <f t="shared" ca="1" si="800"/>
        <v>108.42028803510949</v>
      </c>
      <c r="M861">
        <f t="shared" ca="1" si="800"/>
        <v>115.06851018640971</v>
      </c>
      <c r="N861">
        <f t="shared" ca="1" si="800"/>
        <v>115.42297514439855</v>
      </c>
      <c r="O861">
        <f t="shared" ca="1" si="800"/>
        <v>120.11726757646437</v>
      </c>
      <c r="P861">
        <f t="shared" ca="1" si="800"/>
        <v>118.69216750503385</v>
      </c>
      <c r="Q861">
        <f t="shared" ca="1" si="784"/>
        <v>120.11726757646437</v>
      </c>
      <c r="R861">
        <f t="shared" ca="1" si="785"/>
        <v>0</v>
      </c>
      <c r="S861">
        <f t="shared" ca="1" si="786"/>
        <v>0</v>
      </c>
    </row>
    <row r="862" spans="5:19" x14ac:dyDescent="0.75">
      <c r="E862">
        <v>857</v>
      </c>
      <c r="F862">
        <f t="shared" si="782"/>
        <v>100</v>
      </c>
      <c r="G862">
        <f t="shared" ca="1" si="783"/>
        <v>97.751654979055019</v>
      </c>
      <c r="H862">
        <f t="shared" ca="1" si="783"/>
        <v>93.489201884314028</v>
      </c>
      <c r="I862">
        <f t="shared" ca="1" si="783"/>
        <v>98.817445631284784</v>
      </c>
      <c r="J862">
        <f t="shared" ref="J862:P862" ca="1" si="801">I862*EXP(($C$6-0.5*$C$7^2)*$C$12+$C$7*SQRT($C$12)*NORMINV(RAND(),0,1))</f>
        <v>98.307015738560594</v>
      </c>
      <c r="K862">
        <f t="shared" ca="1" si="801"/>
        <v>100.36942383535238</v>
      </c>
      <c r="L862">
        <f t="shared" ca="1" si="801"/>
        <v>102.05130892302162</v>
      </c>
      <c r="M862">
        <f t="shared" ca="1" si="801"/>
        <v>104.89065194689162</v>
      </c>
      <c r="N862">
        <f t="shared" ca="1" si="801"/>
        <v>111.69105027114641</v>
      </c>
      <c r="O862">
        <f t="shared" ca="1" si="801"/>
        <v>115.77546872693244</v>
      </c>
      <c r="P862">
        <f t="shared" ca="1" si="801"/>
        <v>116.09208480324271</v>
      </c>
      <c r="Q862">
        <f t="shared" ca="1" si="784"/>
        <v>116.09208480324271</v>
      </c>
      <c r="R862">
        <f t="shared" ca="1" si="785"/>
        <v>0</v>
      </c>
      <c r="S862">
        <f t="shared" ca="1" si="786"/>
        <v>0</v>
      </c>
    </row>
    <row r="863" spans="5:19" x14ac:dyDescent="0.75">
      <c r="E863">
        <v>858</v>
      </c>
      <c r="F863">
        <f t="shared" si="782"/>
        <v>100</v>
      </c>
      <c r="G863">
        <f t="shared" ca="1" si="783"/>
        <v>97.671190754261971</v>
      </c>
      <c r="H863">
        <f t="shared" ca="1" si="783"/>
        <v>89.549430918473576</v>
      </c>
      <c r="I863">
        <f t="shared" ca="1" si="783"/>
        <v>86.492121479107325</v>
      </c>
      <c r="J863">
        <f t="shared" ref="J863:P863" ca="1" si="802">I863*EXP(($C$6-0.5*$C$7^2)*$C$12+$C$7*SQRT($C$12)*NORMINV(RAND(),0,1))</f>
        <v>86.512355075802077</v>
      </c>
      <c r="K863">
        <f t="shared" ca="1" si="802"/>
        <v>87.671728078366925</v>
      </c>
      <c r="L863">
        <f t="shared" ca="1" si="802"/>
        <v>82.322100578318825</v>
      </c>
      <c r="M863">
        <f t="shared" ca="1" si="802"/>
        <v>84.740799674310708</v>
      </c>
      <c r="N863">
        <f t="shared" ca="1" si="802"/>
        <v>84.113761336339977</v>
      </c>
      <c r="O863">
        <f t="shared" ca="1" si="802"/>
        <v>83.362010908758876</v>
      </c>
      <c r="P863">
        <f t="shared" ca="1" si="802"/>
        <v>84.667296661575662</v>
      </c>
      <c r="Q863">
        <f t="shared" ca="1" si="784"/>
        <v>97.671190754261971</v>
      </c>
      <c r="R863">
        <f t="shared" ca="1" si="785"/>
        <v>0</v>
      </c>
      <c r="S863">
        <f t="shared" ca="1" si="786"/>
        <v>0</v>
      </c>
    </row>
    <row r="864" spans="5:19" x14ac:dyDescent="0.75">
      <c r="E864">
        <v>859</v>
      </c>
      <c r="F864">
        <f t="shared" si="782"/>
        <v>100</v>
      </c>
      <c r="G864">
        <f t="shared" ca="1" si="783"/>
        <v>94.466679025909855</v>
      </c>
      <c r="H864">
        <f t="shared" ca="1" si="783"/>
        <v>92.401463338832727</v>
      </c>
      <c r="I864">
        <f t="shared" ca="1" si="783"/>
        <v>94.772177733753296</v>
      </c>
      <c r="J864">
        <f t="shared" ref="J864:P864" ca="1" si="803">I864*EXP(($C$6-0.5*$C$7^2)*$C$12+$C$7*SQRT($C$12)*NORMINV(RAND(),0,1))</f>
        <v>96.767932614012651</v>
      </c>
      <c r="K864">
        <f t="shared" ca="1" si="803"/>
        <v>93.166164106112561</v>
      </c>
      <c r="L864">
        <f t="shared" ca="1" si="803"/>
        <v>98.012116806174646</v>
      </c>
      <c r="M864">
        <f t="shared" ca="1" si="803"/>
        <v>91.237792334437202</v>
      </c>
      <c r="N864">
        <f t="shared" ca="1" si="803"/>
        <v>90.135014334366389</v>
      </c>
      <c r="O864">
        <f t="shared" ca="1" si="803"/>
        <v>94.065917219971041</v>
      </c>
      <c r="P864">
        <f t="shared" ca="1" si="803"/>
        <v>95.058185923853998</v>
      </c>
      <c r="Q864">
        <f t="shared" ca="1" si="784"/>
        <v>98.012116806174646</v>
      </c>
      <c r="R864">
        <f t="shared" ca="1" si="785"/>
        <v>0</v>
      </c>
      <c r="S864">
        <f t="shared" ca="1" si="786"/>
        <v>0</v>
      </c>
    </row>
    <row r="865" spans="5:19" x14ac:dyDescent="0.75">
      <c r="E865">
        <v>860</v>
      </c>
      <c r="F865">
        <f t="shared" si="782"/>
        <v>100</v>
      </c>
      <c r="G865">
        <f t="shared" ca="1" si="783"/>
        <v>102.73247901466634</v>
      </c>
      <c r="H865">
        <f t="shared" ca="1" si="783"/>
        <v>97.822631367929887</v>
      </c>
      <c r="I865">
        <f t="shared" ca="1" si="783"/>
        <v>92.064266098574109</v>
      </c>
      <c r="J865">
        <f t="shared" ref="J865:P865" ca="1" si="804">I865*EXP(($C$6-0.5*$C$7^2)*$C$12+$C$7*SQRT($C$12)*NORMINV(RAND(),0,1))</f>
        <v>86.818514892927155</v>
      </c>
      <c r="K865">
        <f t="shared" ca="1" si="804"/>
        <v>86.311502660018903</v>
      </c>
      <c r="L865">
        <f t="shared" ca="1" si="804"/>
        <v>87.74911634565396</v>
      </c>
      <c r="M865">
        <f t="shared" ca="1" si="804"/>
        <v>93.730687736637094</v>
      </c>
      <c r="N865">
        <f t="shared" ca="1" si="804"/>
        <v>97.940319775283513</v>
      </c>
      <c r="O865">
        <f t="shared" ca="1" si="804"/>
        <v>104.57052327839637</v>
      </c>
      <c r="P865">
        <f t="shared" ca="1" si="804"/>
        <v>97.986238508875033</v>
      </c>
      <c r="Q865">
        <f t="shared" ca="1" si="784"/>
        <v>104.57052327839637</v>
      </c>
      <c r="R865">
        <f t="shared" ca="1" si="785"/>
        <v>0</v>
      </c>
      <c r="S865">
        <f t="shared" ca="1" si="786"/>
        <v>0</v>
      </c>
    </row>
    <row r="866" spans="5:19" x14ac:dyDescent="0.75">
      <c r="E866">
        <v>861</v>
      </c>
      <c r="F866">
        <f t="shared" si="782"/>
        <v>100</v>
      </c>
      <c r="G866">
        <f t="shared" ca="1" si="783"/>
        <v>96.817209474586335</v>
      </c>
      <c r="H866">
        <f t="shared" ca="1" si="783"/>
        <v>92.897630876707737</v>
      </c>
      <c r="I866">
        <f t="shared" ca="1" si="783"/>
        <v>85.585155118374743</v>
      </c>
      <c r="J866">
        <f t="shared" ref="J866:P866" ca="1" si="805">I866*EXP(($C$6-0.5*$C$7^2)*$C$12+$C$7*SQRT($C$12)*NORMINV(RAND(),0,1))</f>
        <v>92.563862841841967</v>
      </c>
      <c r="K866">
        <f t="shared" ca="1" si="805"/>
        <v>96.99474143470195</v>
      </c>
      <c r="L866">
        <f t="shared" ca="1" si="805"/>
        <v>100.8414879515109</v>
      </c>
      <c r="M866">
        <f t="shared" ca="1" si="805"/>
        <v>113.81805223565145</v>
      </c>
      <c r="N866">
        <f t="shared" ca="1" si="805"/>
        <v>105.95601977218421</v>
      </c>
      <c r="O866">
        <f t="shared" ca="1" si="805"/>
        <v>105.84559404409463</v>
      </c>
      <c r="P866">
        <f t="shared" ca="1" si="805"/>
        <v>101.97023203941677</v>
      </c>
      <c r="Q866">
        <f t="shared" ca="1" si="784"/>
        <v>113.81805223565145</v>
      </c>
      <c r="R866">
        <f t="shared" ca="1" si="785"/>
        <v>0</v>
      </c>
      <c r="S866">
        <f t="shared" ca="1" si="786"/>
        <v>0</v>
      </c>
    </row>
    <row r="867" spans="5:19" x14ac:dyDescent="0.75">
      <c r="E867">
        <v>862</v>
      </c>
      <c r="F867">
        <f t="shared" si="782"/>
        <v>100</v>
      </c>
      <c r="G867">
        <f t="shared" ca="1" si="783"/>
        <v>100.7052540140011</v>
      </c>
      <c r="H867">
        <f t="shared" ca="1" si="783"/>
        <v>109.84845991848933</v>
      </c>
      <c r="I867">
        <f t="shared" ca="1" si="783"/>
        <v>113.47356887364188</v>
      </c>
      <c r="J867">
        <f t="shared" ref="J867:P867" ca="1" si="806">I867*EXP(($C$6-0.5*$C$7^2)*$C$12+$C$7*SQRT($C$12)*NORMINV(RAND(),0,1))</f>
        <v>115.14652777591247</v>
      </c>
      <c r="K867">
        <f t="shared" ca="1" si="806"/>
        <v>125.68063080954217</v>
      </c>
      <c r="L867">
        <f t="shared" ca="1" si="806"/>
        <v>123.66048436715356</v>
      </c>
      <c r="M867">
        <f t="shared" ca="1" si="806"/>
        <v>130.23260628739112</v>
      </c>
      <c r="N867">
        <f t="shared" ca="1" si="806"/>
        <v>128.2222244314404</v>
      </c>
      <c r="O867">
        <f t="shared" ca="1" si="806"/>
        <v>130.18801081106767</v>
      </c>
      <c r="P867">
        <f t="shared" ca="1" si="806"/>
        <v>127.93552543022413</v>
      </c>
      <c r="Q867">
        <f t="shared" ca="1" si="784"/>
        <v>130.23260628739112</v>
      </c>
      <c r="R867">
        <f t="shared" ca="1" si="785"/>
        <v>0</v>
      </c>
      <c r="S867">
        <f t="shared" ca="1" si="786"/>
        <v>0</v>
      </c>
    </row>
    <row r="868" spans="5:19" x14ac:dyDescent="0.75">
      <c r="E868">
        <v>863</v>
      </c>
      <c r="F868">
        <f t="shared" si="782"/>
        <v>100</v>
      </c>
      <c r="G868">
        <f t="shared" ca="1" si="783"/>
        <v>99.950897870063741</v>
      </c>
      <c r="H868">
        <f t="shared" ca="1" si="783"/>
        <v>109.18681220136152</v>
      </c>
      <c r="I868">
        <f t="shared" ca="1" si="783"/>
        <v>111.02570522953674</v>
      </c>
      <c r="J868">
        <f t="shared" ref="J868:P868" ca="1" si="807">I868*EXP(($C$6-0.5*$C$7^2)*$C$12+$C$7*SQRT($C$12)*NORMINV(RAND(),0,1))</f>
        <v>104.74519634602605</v>
      </c>
      <c r="K868">
        <f t="shared" ca="1" si="807"/>
        <v>108.36263674896459</v>
      </c>
      <c r="L868">
        <f t="shared" ca="1" si="807"/>
        <v>104.41111383979278</v>
      </c>
      <c r="M868">
        <f t="shared" ca="1" si="807"/>
        <v>104.55182017436823</v>
      </c>
      <c r="N868">
        <f t="shared" ca="1" si="807"/>
        <v>104.18405324428369</v>
      </c>
      <c r="O868">
        <f t="shared" ca="1" si="807"/>
        <v>98.709046934739348</v>
      </c>
      <c r="P868">
        <f t="shared" ca="1" si="807"/>
        <v>102.91494790362108</v>
      </c>
      <c r="Q868">
        <f t="shared" ca="1" si="784"/>
        <v>111.02570522953674</v>
      </c>
      <c r="R868">
        <f t="shared" ca="1" si="785"/>
        <v>0</v>
      </c>
      <c r="S868">
        <f t="shared" ca="1" si="786"/>
        <v>0</v>
      </c>
    </row>
    <row r="869" spans="5:19" x14ac:dyDescent="0.75">
      <c r="E869">
        <v>864</v>
      </c>
      <c r="F869">
        <f t="shared" si="782"/>
        <v>100</v>
      </c>
      <c r="G869">
        <f t="shared" ca="1" si="783"/>
        <v>102.75443369830238</v>
      </c>
      <c r="H869">
        <f t="shared" ca="1" si="783"/>
        <v>99.533804870447199</v>
      </c>
      <c r="I869">
        <f t="shared" ca="1" si="783"/>
        <v>98.891289769534154</v>
      </c>
      <c r="J869">
        <f t="shared" ref="J869:P869" ca="1" si="808">I869*EXP(($C$6-0.5*$C$7^2)*$C$12+$C$7*SQRT($C$12)*NORMINV(RAND(),0,1))</f>
        <v>96.074332390666626</v>
      </c>
      <c r="K869">
        <f t="shared" ca="1" si="808"/>
        <v>94.69964841599176</v>
      </c>
      <c r="L869">
        <f t="shared" ca="1" si="808"/>
        <v>92.488098795863692</v>
      </c>
      <c r="M869">
        <f t="shared" ca="1" si="808"/>
        <v>86.428427163123175</v>
      </c>
      <c r="N869">
        <f t="shared" ca="1" si="808"/>
        <v>82.317370990555062</v>
      </c>
      <c r="O869">
        <f t="shared" ca="1" si="808"/>
        <v>84.243153053761858</v>
      </c>
      <c r="P869">
        <f t="shared" ca="1" si="808"/>
        <v>83.428621703796239</v>
      </c>
      <c r="Q869">
        <f t="shared" ca="1" si="784"/>
        <v>102.75443369830238</v>
      </c>
      <c r="R869">
        <f t="shared" ca="1" si="785"/>
        <v>0</v>
      </c>
      <c r="S869">
        <f t="shared" ca="1" si="786"/>
        <v>0</v>
      </c>
    </row>
    <row r="870" spans="5:19" x14ac:dyDescent="0.75">
      <c r="E870">
        <v>865</v>
      </c>
      <c r="F870">
        <f t="shared" si="782"/>
        <v>100</v>
      </c>
      <c r="G870">
        <f t="shared" ca="1" si="783"/>
        <v>109.15214014472893</v>
      </c>
      <c r="H870">
        <f t="shared" ca="1" si="783"/>
        <v>114.39196122338508</v>
      </c>
      <c r="I870">
        <f t="shared" ca="1" si="783"/>
        <v>110.92012222905541</v>
      </c>
      <c r="J870">
        <f t="shared" ref="J870:P870" ca="1" si="809">I870*EXP(($C$6-0.5*$C$7^2)*$C$12+$C$7*SQRT($C$12)*NORMINV(RAND(),0,1))</f>
        <v>104.42926137264007</v>
      </c>
      <c r="K870">
        <f t="shared" ca="1" si="809"/>
        <v>106.82785015576837</v>
      </c>
      <c r="L870">
        <f t="shared" ca="1" si="809"/>
        <v>118.59917726745714</v>
      </c>
      <c r="M870">
        <f t="shared" ca="1" si="809"/>
        <v>121.73789524409854</v>
      </c>
      <c r="N870">
        <f t="shared" ca="1" si="809"/>
        <v>125.71644518759037</v>
      </c>
      <c r="O870">
        <f t="shared" ca="1" si="809"/>
        <v>120.49448099162552</v>
      </c>
      <c r="P870">
        <f t="shared" ca="1" si="809"/>
        <v>126.21719424918713</v>
      </c>
      <c r="Q870">
        <f t="shared" ca="1" si="784"/>
        <v>126.21719424918713</v>
      </c>
      <c r="R870">
        <f t="shared" ca="1" si="785"/>
        <v>0</v>
      </c>
      <c r="S870">
        <f t="shared" ca="1" si="786"/>
        <v>0</v>
      </c>
    </row>
    <row r="871" spans="5:19" x14ac:dyDescent="0.75">
      <c r="E871">
        <v>866</v>
      </c>
      <c r="F871">
        <f t="shared" si="782"/>
        <v>100</v>
      </c>
      <c r="G871">
        <f t="shared" ca="1" si="783"/>
        <v>93.827361042852644</v>
      </c>
      <c r="H871">
        <f t="shared" ca="1" si="783"/>
        <v>96.274523389049619</v>
      </c>
      <c r="I871">
        <f t="shared" ca="1" si="783"/>
        <v>101.86941662641223</v>
      </c>
      <c r="J871">
        <f t="shared" ref="J871:P871" ca="1" si="810">I871*EXP(($C$6-0.5*$C$7^2)*$C$12+$C$7*SQRT($C$12)*NORMINV(RAND(),0,1))</f>
        <v>102.52963945721997</v>
      </c>
      <c r="K871">
        <f t="shared" ca="1" si="810"/>
        <v>101.72150159114163</v>
      </c>
      <c r="L871">
        <f t="shared" ca="1" si="810"/>
        <v>105.03881604092284</v>
      </c>
      <c r="M871">
        <f t="shared" ca="1" si="810"/>
        <v>101.08844024121601</v>
      </c>
      <c r="N871">
        <f t="shared" ca="1" si="810"/>
        <v>97.71540650829985</v>
      </c>
      <c r="O871">
        <f t="shared" ca="1" si="810"/>
        <v>97.720147098327814</v>
      </c>
      <c r="P871">
        <f t="shared" ca="1" si="810"/>
        <v>89.476667848487466</v>
      </c>
      <c r="Q871">
        <f t="shared" ca="1" si="784"/>
        <v>105.03881604092284</v>
      </c>
      <c r="R871">
        <f t="shared" ca="1" si="785"/>
        <v>0</v>
      </c>
      <c r="S871">
        <f t="shared" ca="1" si="786"/>
        <v>0</v>
      </c>
    </row>
    <row r="872" spans="5:19" x14ac:dyDescent="0.75">
      <c r="E872">
        <v>867</v>
      </c>
      <c r="F872">
        <f t="shared" si="782"/>
        <v>100</v>
      </c>
      <c r="G872">
        <f t="shared" ca="1" si="783"/>
        <v>100.06702425174059</v>
      </c>
      <c r="H872">
        <f t="shared" ca="1" si="783"/>
        <v>103.8245045253354</v>
      </c>
      <c r="I872">
        <f t="shared" ca="1" si="783"/>
        <v>101.0168292042687</v>
      </c>
      <c r="J872">
        <f t="shared" ref="J872:P872" ca="1" si="811">I872*EXP(($C$6-0.5*$C$7^2)*$C$12+$C$7*SQRT($C$12)*NORMINV(RAND(),0,1))</f>
        <v>100.68318424461768</v>
      </c>
      <c r="K872">
        <f t="shared" ca="1" si="811"/>
        <v>113.11875947804138</v>
      </c>
      <c r="L872">
        <f t="shared" ca="1" si="811"/>
        <v>115.86669749786212</v>
      </c>
      <c r="M872">
        <f t="shared" ca="1" si="811"/>
        <v>121.09442732428494</v>
      </c>
      <c r="N872">
        <f t="shared" ca="1" si="811"/>
        <v>119.2429750799333</v>
      </c>
      <c r="O872">
        <f t="shared" ca="1" si="811"/>
        <v>118.60057402962687</v>
      </c>
      <c r="P872">
        <f t="shared" ca="1" si="811"/>
        <v>130.35856447972691</v>
      </c>
      <c r="Q872">
        <f t="shared" ca="1" si="784"/>
        <v>130.35856447972691</v>
      </c>
      <c r="R872">
        <f t="shared" ca="1" si="785"/>
        <v>0</v>
      </c>
      <c r="S872">
        <f t="shared" ca="1" si="786"/>
        <v>0</v>
      </c>
    </row>
    <row r="873" spans="5:19" x14ac:dyDescent="0.75">
      <c r="E873">
        <v>868</v>
      </c>
      <c r="F873">
        <f t="shared" si="782"/>
        <v>100</v>
      </c>
      <c r="G873">
        <f t="shared" ca="1" si="783"/>
        <v>95.067138044723322</v>
      </c>
      <c r="H873">
        <f t="shared" ca="1" si="783"/>
        <v>95.026059819887337</v>
      </c>
      <c r="I873">
        <f t="shared" ca="1" si="783"/>
        <v>92.225822127569486</v>
      </c>
      <c r="J873">
        <f t="shared" ref="J873:P873" ca="1" si="812">I873*EXP(($C$6-0.5*$C$7^2)*$C$12+$C$7*SQRT($C$12)*NORMINV(RAND(),0,1))</f>
        <v>87.670538521602012</v>
      </c>
      <c r="K873">
        <f t="shared" ca="1" si="812"/>
        <v>86.848037371058481</v>
      </c>
      <c r="L873">
        <f t="shared" ca="1" si="812"/>
        <v>81.254613609928128</v>
      </c>
      <c r="M873">
        <f t="shared" ca="1" si="812"/>
        <v>83.949798403606664</v>
      </c>
      <c r="N873">
        <f t="shared" ca="1" si="812"/>
        <v>87.935734439810247</v>
      </c>
      <c r="O873">
        <f t="shared" ca="1" si="812"/>
        <v>86.369657208491631</v>
      </c>
      <c r="P873">
        <f t="shared" ca="1" si="812"/>
        <v>87.019114040193458</v>
      </c>
      <c r="Q873">
        <f t="shared" ca="1" si="784"/>
        <v>95.067138044723322</v>
      </c>
      <c r="R873">
        <f t="shared" ca="1" si="785"/>
        <v>0</v>
      </c>
      <c r="S873">
        <f t="shared" ca="1" si="786"/>
        <v>0</v>
      </c>
    </row>
    <row r="874" spans="5:19" x14ac:dyDescent="0.75">
      <c r="E874">
        <v>869</v>
      </c>
      <c r="F874">
        <f t="shared" si="782"/>
        <v>100</v>
      </c>
      <c r="G874">
        <f t="shared" ca="1" si="783"/>
        <v>105.17056182185539</v>
      </c>
      <c r="H874">
        <f t="shared" ca="1" si="783"/>
        <v>112.25392870067155</v>
      </c>
      <c r="I874">
        <f t="shared" ca="1" si="783"/>
        <v>113.16009303672456</v>
      </c>
      <c r="J874">
        <f t="shared" ref="J874:P874" ca="1" si="813">I874*EXP(($C$6-0.5*$C$7^2)*$C$12+$C$7*SQRT($C$12)*NORMINV(RAND(),0,1))</f>
        <v>116.54859589623935</v>
      </c>
      <c r="K874">
        <f t="shared" ca="1" si="813"/>
        <v>122.75324089843711</v>
      </c>
      <c r="L874">
        <f t="shared" ca="1" si="813"/>
        <v>117.29466599927329</v>
      </c>
      <c r="M874">
        <f t="shared" ca="1" si="813"/>
        <v>114.9851319960546</v>
      </c>
      <c r="N874">
        <f t="shared" ca="1" si="813"/>
        <v>105.77347559014443</v>
      </c>
      <c r="O874">
        <f t="shared" ca="1" si="813"/>
        <v>104.19442643939377</v>
      </c>
      <c r="P874">
        <f t="shared" ca="1" si="813"/>
        <v>102.942190964741</v>
      </c>
      <c r="Q874">
        <f t="shared" ca="1" si="784"/>
        <v>122.75324089843711</v>
      </c>
      <c r="R874">
        <f t="shared" ca="1" si="785"/>
        <v>0</v>
      </c>
      <c r="S874">
        <f t="shared" ca="1" si="786"/>
        <v>0</v>
      </c>
    </row>
    <row r="875" spans="5:19" x14ac:dyDescent="0.75">
      <c r="E875">
        <v>870</v>
      </c>
      <c r="F875">
        <f t="shared" si="782"/>
        <v>100</v>
      </c>
      <c r="G875">
        <f t="shared" ca="1" si="783"/>
        <v>104.17450038842482</v>
      </c>
      <c r="H875">
        <f t="shared" ca="1" si="783"/>
        <v>104.66005900984553</v>
      </c>
      <c r="I875">
        <f t="shared" ca="1" si="783"/>
        <v>104.66284205664012</v>
      </c>
      <c r="J875">
        <f t="shared" ref="J875:P875" ca="1" si="814">I875*EXP(($C$6-0.5*$C$7^2)*$C$12+$C$7*SQRT($C$12)*NORMINV(RAND(),0,1))</f>
        <v>96.429185686615639</v>
      </c>
      <c r="K875">
        <f t="shared" ca="1" si="814"/>
        <v>91.661242147077871</v>
      </c>
      <c r="L875">
        <f t="shared" ca="1" si="814"/>
        <v>84.072920264440498</v>
      </c>
      <c r="M875">
        <f t="shared" ca="1" si="814"/>
        <v>86.191792411314154</v>
      </c>
      <c r="N875">
        <f t="shared" ca="1" si="814"/>
        <v>79.440465447800989</v>
      </c>
      <c r="O875">
        <f t="shared" ca="1" si="814"/>
        <v>82.390797202234566</v>
      </c>
      <c r="P875">
        <f t="shared" ca="1" si="814"/>
        <v>84.663685193486074</v>
      </c>
      <c r="Q875">
        <f t="shared" ca="1" si="784"/>
        <v>104.66284205664012</v>
      </c>
      <c r="R875">
        <f t="shared" ca="1" si="785"/>
        <v>0</v>
      </c>
      <c r="S875">
        <f t="shared" ca="1" si="786"/>
        <v>0</v>
      </c>
    </row>
    <row r="876" spans="5:19" x14ac:dyDescent="0.75">
      <c r="E876">
        <v>871</v>
      </c>
      <c r="F876">
        <f t="shared" si="782"/>
        <v>100</v>
      </c>
      <c r="G876">
        <f t="shared" ca="1" si="783"/>
        <v>90.333142232019441</v>
      </c>
      <c r="H876">
        <f t="shared" ca="1" si="783"/>
        <v>91.991294582351628</v>
      </c>
      <c r="I876">
        <f t="shared" ca="1" si="783"/>
        <v>93.166994410069066</v>
      </c>
      <c r="J876">
        <f t="shared" ref="J876:P876" ca="1" si="815">I876*EXP(($C$6-0.5*$C$7^2)*$C$12+$C$7*SQRT($C$12)*NORMINV(RAND(),0,1))</f>
        <v>101.55559676774979</v>
      </c>
      <c r="K876">
        <f t="shared" ca="1" si="815"/>
        <v>97.818752639356831</v>
      </c>
      <c r="L876">
        <f t="shared" ca="1" si="815"/>
        <v>88.916012079286119</v>
      </c>
      <c r="M876">
        <f t="shared" ca="1" si="815"/>
        <v>87.226784653895692</v>
      </c>
      <c r="N876">
        <f t="shared" ca="1" si="815"/>
        <v>93.261021150634903</v>
      </c>
      <c r="O876">
        <f t="shared" ca="1" si="815"/>
        <v>90.263222258143912</v>
      </c>
      <c r="P876">
        <f t="shared" ca="1" si="815"/>
        <v>85.580743330390632</v>
      </c>
      <c r="Q876">
        <f t="shared" ca="1" si="784"/>
        <v>101.55559676774979</v>
      </c>
      <c r="R876">
        <f t="shared" ca="1" si="785"/>
        <v>0</v>
      </c>
      <c r="S876">
        <f t="shared" ca="1" si="786"/>
        <v>0</v>
      </c>
    </row>
    <row r="877" spans="5:19" x14ac:dyDescent="0.75">
      <c r="E877">
        <v>872</v>
      </c>
      <c r="F877">
        <f t="shared" si="782"/>
        <v>100</v>
      </c>
      <c r="G877">
        <f t="shared" ca="1" si="783"/>
        <v>108.07858377029611</v>
      </c>
      <c r="H877">
        <f t="shared" ca="1" si="783"/>
        <v>108.14489853514345</v>
      </c>
      <c r="I877">
        <f t="shared" ca="1" si="783"/>
        <v>108.7320620478939</v>
      </c>
      <c r="J877">
        <f t="shared" ref="J877:P877" ca="1" si="816">I877*EXP(($C$6-0.5*$C$7^2)*$C$12+$C$7*SQRT($C$12)*NORMINV(RAND(),0,1))</f>
        <v>120.19333658078149</v>
      </c>
      <c r="K877">
        <f t="shared" ca="1" si="816"/>
        <v>124.18396639420014</v>
      </c>
      <c r="L877">
        <f t="shared" ca="1" si="816"/>
        <v>119.52857075784684</v>
      </c>
      <c r="M877">
        <f t="shared" ca="1" si="816"/>
        <v>123.87111498366066</v>
      </c>
      <c r="N877">
        <f t="shared" ca="1" si="816"/>
        <v>122.81006653969172</v>
      </c>
      <c r="O877">
        <f t="shared" ca="1" si="816"/>
        <v>124.63472261852006</v>
      </c>
      <c r="P877">
        <f t="shared" ca="1" si="816"/>
        <v>115.74470605958645</v>
      </c>
      <c r="Q877">
        <f t="shared" ca="1" si="784"/>
        <v>124.63472261852006</v>
      </c>
      <c r="R877">
        <f t="shared" ca="1" si="785"/>
        <v>0</v>
      </c>
      <c r="S877">
        <f t="shared" ca="1" si="786"/>
        <v>0</v>
      </c>
    </row>
    <row r="878" spans="5:19" x14ac:dyDescent="0.75">
      <c r="E878">
        <v>873</v>
      </c>
      <c r="F878">
        <f t="shared" si="782"/>
        <v>100</v>
      </c>
      <c r="G878">
        <f t="shared" ca="1" si="783"/>
        <v>104.19325709946507</v>
      </c>
      <c r="H878">
        <f t="shared" ca="1" si="783"/>
        <v>105.7669744152856</v>
      </c>
      <c r="I878">
        <f t="shared" ca="1" si="783"/>
        <v>96.257175986772751</v>
      </c>
      <c r="J878">
        <f t="shared" ref="J878:P878" ca="1" si="817">I878*EXP(($C$6-0.5*$C$7^2)*$C$12+$C$7*SQRT($C$12)*NORMINV(RAND(),0,1))</f>
        <v>91.438101152476392</v>
      </c>
      <c r="K878">
        <f t="shared" ca="1" si="817"/>
        <v>90.415942392099922</v>
      </c>
      <c r="L878">
        <f t="shared" ca="1" si="817"/>
        <v>90.270846991314528</v>
      </c>
      <c r="M878">
        <f t="shared" ca="1" si="817"/>
        <v>85.819468467060048</v>
      </c>
      <c r="N878">
        <f t="shared" ca="1" si="817"/>
        <v>87.080289988624386</v>
      </c>
      <c r="O878">
        <f t="shared" ca="1" si="817"/>
        <v>89.5017955843702</v>
      </c>
      <c r="P878">
        <f t="shared" ca="1" si="817"/>
        <v>94.273073797412223</v>
      </c>
      <c r="Q878">
        <f t="shared" ca="1" si="784"/>
        <v>105.7669744152856</v>
      </c>
      <c r="R878">
        <f t="shared" ca="1" si="785"/>
        <v>0</v>
      </c>
      <c r="S878">
        <f t="shared" ca="1" si="786"/>
        <v>0</v>
      </c>
    </row>
    <row r="879" spans="5:19" x14ac:dyDescent="0.75">
      <c r="E879">
        <v>874</v>
      </c>
      <c r="F879">
        <f t="shared" si="782"/>
        <v>100</v>
      </c>
      <c r="G879">
        <f t="shared" ca="1" si="783"/>
        <v>100.44882588426094</v>
      </c>
      <c r="H879">
        <f t="shared" ca="1" si="783"/>
        <v>102.0070015291394</v>
      </c>
      <c r="I879">
        <f t="shared" ca="1" si="783"/>
        <v>102.69691575664478</v>
      </c>
      <c r="J879">
        <f t="shared" ref="J879:P879" ca="1" si="818">I879*EXP(($C$6-0.5*$C$7^2)*$C$12+$C$7*SQRT($C$12)*NORMINV(RAND(),0,1))</f>
        <v>102.98110863509099</v>
      </c>
      <c r="K879">
        <f t="shared" ca="1" si="818"/>
        <v>106.08202082842226</v>
      </c>
      <c r="L879">
        <f t="shared" ca="1" si="818"/>
        <v>110.90094747353567</v>
      </c>
      <c r="M879">
        <f t="shared" ca="1" si="818"/>
        <v>113.73692653321038</v>
      </c>
      <c r="N879">
        <f t="shared" ca="1" si="818"/>
        <v>118.83545143069256</v>
      </c>
      <c r="O879">
        <f t="shared" ca="1" si="818"/>
        <v>128.96004251927312</v>
      </c>
      <c r="P879">
        <f t="shared" ca="1" si="818"/>
        <v>131.41031325002652</v>
      </c>
      <c r="Q879">
        <f t="shared" ca="1" si="784"/>
        <v>131.41031325002652</v>
      </c>
      <c r="R879">
        <f t="shared" ca="1" si="785"/>
        <v>0</v>
      </c>
      <c r="S879">
        <f t="shared" ca="1" si="786"/>
        <v>0</v>
      </c>
    </row>
    <row r="880" spans="5:19" x14ac:dyDescent="0.75">
      <c r="E880">
        <v>875</v>
      </c>
      <c r="F880">
        <f t="shared" si="782"/>
        <v>100</v>
      </c>
      <c r="G880">
        <f t="shared" ca="1" si="783"/>
        <v>96.320187762620378</v>
      </c>
      <c r="H880">
        <f t="shared" ca="1" si="783"/>
        <v>96.494592438622959</v>
      </c>
      <c r="I880">
        <f t="shared" ca="1" si="783"/>
        <v>92.843322594134335</v>
      </c>
      <c r="J880">
        <f t="shared" ref="J880:P880" ca="1" si="819">I880*EXP(($C$6-0.5*$C$7^2)*$C$12+$C$7*SQRT($C$12)*NORMINV(RAND(),0,1))</f>
        <v>89.970138476924262</v>
      </c>
      <c r="K880">
        <f t="shared" ca="1" si="819"/>
        <v>85.515626864078172</v>
      </c>
      <c r="L880">
        <f t="shared" ca="1" si="819"/>
        <v>85.92907237271308</v>
      </c>
      <c r="M880">
        <f t="shared" ca="1" si="819"/>
        <v>88.71563537234249</v>
      </c>
      <c r="N880">
        <f t="shared" ca="1" si="819"/>
        <v>88.588700437594667</v>
      </c>
      <c r="O880">
        <f t="shared" ca="1" si="819"/>
        <v>82.598189592923532</v>
      </c>
      <c r="P880">
        <f t="shared" ca="1" si="819"/>
        <v>85.818251832670441</v>
      </c>
      <c r="Q880">
        <f t="shared" ca="1" si="784"/>
        <v>96.494592438622959</v>
      </c>
      <c r="R880">
        <f t="shared" ca="1" si="785"/>
        <v>0</v>
      </c>
      <c r="S880">
        <f t="shared" ca="1" si="786"/>
        <v>0</v>
      </c>
    </row>
    <row r="881" spans="5:19" x14ac:dyDescent="0.75">
      <c r="E881">
        <v>876</v>
      </c>
      <c r="F881">
        <f t="shared" si="782"/>
        <v>100</v>
      </c>
      <c r="G881">
        <f t="shared" ca="1" si="783"/>
        <v>101.55176185638524</v>
      </c>
      <c r="H881">
        <f t="shared" ca="1" si="783"/>
        <v>110.90388488194723</v>
      </c>
      <c r="I881">
        <f t="shared" ca="1" si="783"/>
        <v>112.47002222302238</v>
      </c>
      <c r="J881">
        <f t="shared" ref="J881:P881" ca="1" si="820">I881*EXP(($C$6-0.5*$C$7^2)*$C$12+$C$7*SQRT($C$12)*NORMINV(RAND(),0,1))</f>
        <v>109.79851771012798</v>
      </c>
      <c r="K881">
        <f t="shared" ca="1" si="820"/>
        <v>118.3630370860877</v>
      </c>
      <c r="L881">
        <f t="shared" ca="1" si="820"/>
        <v>124.29140240140401</v>
      </c>
      <c r="M881">
        <f t="shared" ca="1" si="820"/>
        <v>128.66053831700287</v>
      </c>
      <c r="N881">
        <f t="shared" ca="1" si="820"/>
        <v>135.65659356716981</v>
      </c>
      <c r="O881">
        <f t="shared" ca="1" si="820"/>
        <v>141.87120640471551</v>
      </c>
      <c r="P881">
        <f t="shared" ca="1" si="820"/>
        <v>129.58291758214392</v>
      </c>
      <c r="Q881">
        <f t="shared" ca="1" si="784"/>
        <v>141.87120640471551</v>
      </c>
      <c r="R881">
        <f t="shared" ca="1" si="785"/>
        <v>0</v>
      </c>
      <c r="S881">
        <f t="shared" ca="1" si="786"/>
        <v>0</v>
      </c>
    </row>
    <row r="882" spans="5:19" x14ac:dyDescent="0.75">
      <c r="E882">
        <v>877</v>
      </c>
      <c r="F882">
        <f t="shared" si="782"/>
        <v>100</v>
      </c>
      <c r="G882">
        <f t="shared" ca="1" si="783"/>
        <v>96.324570475236044</v>
      </c>
      <c r="H882">
        <f t="shared" ca="1" si="783"/>
        <v>99.550680149640726</v>
      </c>
      <c r="I882">
        <f t="shared" ca="1" si="783"/>
        <v>99.839889049290349</v>
      </c>
      <c r="J882">
        <f t="shared" ref="J882:P882" ca="1" si="821">I882*EXP(($C$6-0.5*$C$7^2)*$C$12+$C$7*SQRT($C$12)*NORMINV(RAND(),0,1))</f>
        <v>104.19290987928278</v>
      </c>
      <c r="K882">
        <f t="shared" ca="1" si="821"/>
        <v>96.287775982335503</v>
      </c>
      <c r="L882">
        <f t="shared" ca="1" si="821"/>
        <v>96.589398789178361</v>
      </c>
      <c r="M882">
        <f t="shared" ca="1" si="821"/>
        <v>92.250165014567429</v>
      </c>
      <c r="N882">
        <f t="shared" ca="1" si="821"/>
        <v>86.631584944115104</v>
      </c>
      <c r="O882">
        <f t="shared" ca="1" si="821"/>
        <v>88.440113724478465</v>
      </c>
      <c r="P882">
        <f t="shared" ca="1" si="821"/>
        <v>85.117907298235693</v>
      </c>
      <c r="Q882">
        <f t="shared" ca="1" si="784"/>
        <v>104.19290987928278</v>
      </c>
      <c r="R882">
        <f t="shared" ca="1" si="785"/>
        <v>0</v>
      </c>
      <c r="S882">
        <f t="shared" ca="1" si="786"/>
        <v>0</v>
      </c>
    </row>
    <row r="883" spans="5:19" x14ac:dyDescent="0.75">
      <c r="E883">
        <v>878</v>
      </c>
      <c r="F883">
        <f t="shared" si="782"/>
        <v>100</v>
      </c>
      <c r="G883">
        <f t="shared" ca="1" si="783"/>
        <v>108.03634247121441</v>
      </c>
      <c r="H883">
        <f t="shared" ca="1" si="783"/>
        <v>100.96176863294785</v>
      </c>
      <c r="I883">
        <f t="shared" ca="1" si="783"/>
        <v>111.73399173461695</v>
      </c>
      <c r="J883">
        <f t="shared" ref="J883:P883" ca="1" si="822">I883*EXP(($C$6-0.5*$C$7^2)*$C$12+$C$7*SQRT($C$12)*NORMINV(RAND(),0,1))</f>
        <v>110.92893159981648</v>
      </c>
      <c r="K883">
        <f t="shared" ca="1" si="822"/>
        <v>106.4195503438991</v>
      </c>
      <c r="L883">
        <f t="shared" ca="1" si="822"/>
        <v>100.39165295587885</v>
      </c>
      <c r="M883">
        <f t="shared" ca="1" si="822"/>
        <v>94.798590858561511</v>
      </c>
      <c r="N883">
        <f t="shared" ca="1" si="822"/>
        <v>94.755742218883555</v>
      </c>
      <c r="O883">
        <f t="shared" ca="1" si="822"/>
        <v>83.597696989295002</v>
      </c>
      <c r="P883">
        <f t="shared" ca="1" si="822"/>
        <v>85.579207583806976</v>
      </c>
      <c r="Q883">
        <f t="shared" ca="1" si="784"/>
        <v>111.73399173461695</v>
      </c>
      <c r="R883">
        <f t="shared" ca="1" si="785"/>
        <v>0</v>
      </c>
      <c r="S883">
        <f t="shared" ca="1" si="786"/>
        <v>0</v>
      </c>
    </row>
    <row r="884" spans="5:19" x14ac:dyDescent="0.75">
      <c r="E884">
        <v>879</v>
      </c>
      <c r="F884">
        <f t="shared" si="782"/>
        <v>100</v>
      </c>
      <c r="G884">
        <f t="shared" ca="1" si="783"/>
        <v>96.471924379783687</v>
      </c>
      <c r="H884">
        <f t="shared" ca="1" si="783"/>
        <v>89.999963563227425</v>
      </c>
      <c r="I884">
        <f t="shared" ca="1" si="783"/>
        <v>92.42899942481732</v>
      </c>
      <c r="J884">
        <f t="shared" ref="J884:P884" ca="1" si="823">I884*EXP(($C$6-0.5*$C$7^2)*$C$12+$C$7*SQRT($C$12)*NORMINV(RAND(),0,1))</f>
        <v>84.595792339594453</v>
      </c>
      <c r="K884">
        <f t="shared" ca="1" si="823"/>
        <v>83.146641574663818</v>
      </c>
      <c r="L884">
        <f t="shared" ca="1" si="823"/>
        <v>80.70264192677476</v>
      </c>
      <c r="M884">
        <f t="shared" ca="1" si="823"/>
        <v>79.00455150726151</v>
      </c>
      <c r="N884">
        <f t="shared" ca="1" si="823"/>
        <v>81.065581287453412</v>
      </c>
      <c r="O884">
        <f t="shared" ca="1" si="823"/>
        <v>83.001574568636784</v>
      </c>
      <c r="P884">
        <f t="shared" ca="1" si="823"/>
        <v>81.028246804821151</v>
      </c>
      <c r="Q884">
        <f t="shared" ca="1" si="784"/>
        <v>96.471924379783687</v>
      </c>
      <c r="R884">
        <f t="shared" ca="1" si="785"/>
        <v>0</v>
      </c>
      <c r="S884">
        <f t="shared" ca="1" si="786"/>
        <v>0</v>
      </c>
    </row>
    <row r="885" spans="5:19" x14ac:dyDescent="0.75">
      <c r="E885">
        <v>880</v>
      </c>
      <c r="F885">
        <f t="shared" si="782"/>
        <v>100</v>
      </c>
      <c r="G885">
        <f t="shared" ca="1" si="783"/>
        <v>94.164190991031333</v>
      </c>
      <c r="H885">
        <f t="shared" ca="1" si="783"/>
        <v>90.524236790694701</v>
      </c>
      <c r="I885">
        <f t="shared" ca="1" si="783"/>
        <v>90.178873230022077</v>
      </c>
      <c r="J885">
        <f t="shared" ref="J885:P885" ca="1" si="824">I885*EXP(($C$6-0.5*$C$7^2)*$C$12+$C$7*SQRT($C$12)*NORMINV(RAND(),0,1))</f>
        <v>94.38833229271529</v>
      </c>
      <c r="K885">
        <f t="shared" ca="1" si="824"/>
        <v>96.692942868138758</v>
      </c>
      <c r="L885">
        <f t="shared" ca="1" si="824"/>
        <v>97.175954244667963</v>
      </c>
      <c r="M885">
        <f t="shared" ca="1" si="824"/>
        <v>102.06053238453175</v>
      </c>
      <c r="N885">
        <f t="shared" ca="1" si="824"/>
        <v>97.178879557660039</v>
      </c>
      <c r="O885">
        <f t="shared" ca="1" si="824"/>
        <v>105.48582695884932</v>
      </c>
      <c r="P885">
        <f t="shared" ca="1" si="824"/>
        <v>113.47066695988894</v>
      </c>
      <c r="Q885">
        <f t="shared" ca="1" si="784"/>
        <v>113.47066695988894</v>
      </c>
      <c r="R885">
        <f t="shared" ca="1" si="785"/>
        <v>0</v>
      </c>
      <c r="S885">
        <f t="shared" ca="1" si="786"/>
        <v>0</v>
      </c>
    </row>
    <row r="886" spans="5:19" x14ac:dyDescent="0.75">
      <c r="E886">
        <v>881</v>
      </c>
      <c r="F886">
        <f t="shared" si="782"/>
        <v>100</v>
      </c>
      <c r="G886">
        <f t="shared" ca="1" si="783"/>
        <v>101.95448081281985</v>
      </c>
      <c r="H886">
        <f t="shared" ca="1" si="783"/>
        <v>105.57755549144595</v>
      </c>
      <c r="I886">
        <f t="shared" ca="1" si="783"/>
        <v>104.80705345827349</v>
      </c>
      <c r="J886">
        <f t="shared" ref="J886:P886" ca="1" si="825">I886*EXP(($C$6-0.5*$C$7^2)*$C$12+$C$7*SQRT($C$12)*NORMINV(RAND(),0,1))</f>
        <v>107.04290200789883</v>
      </c>
      <c r="K886">
        <f t="shared" ca="1" si="825"/>
        <v>104.64682058611496</v>
      </c>
      <c r="L886">
        <f t="shared" ca="1" si="825"/>
        <v>106.89442839613768</v>
      </c>
      <c r="M886">
        <f t="shared" ca="1" si="825"/>
        <v>109.92463580341398</v>
      </c>
      <c r="N886">
        <f t="shared" ca="1" si="825"/>
        <v>113.64590903692422</v>
      </c>
      <c r="O886">
        <f t="shared" ca="1" si="825"/>
        <v>111.42497337198272</v>
      </c>
      <c r="P886">
        <f t="shared" ca="1" si="825"/>
        <v>112.13370247378724</v>
      </c>
      <c r="Q886">
        <f t="shared" ca="1" si="784"/>
        <v>113.64590903692422</v>
      </c>
      <c r="R886">
        <f t="shared" ca="1" si="785"/>
        <v>0</v>
      </c>
      <c r="S886">
        <f t="shared" ca="1" si="786"/>
        <v>0</v>
      </c>
    </row>
    <row r="887" spans="5:19" x14ac:dyDescent="0.75">
      <c r="E887">
        <v>882</v>
      </c>
      <c r="F887">
        <f t="shared" si="782"/>
        <v>100</v>
      </c>
      <c r="G887">
        <f t="shared" ca="1" si="783"/>
        <v>106.17885784461032</v>
      </c>
      <c r="H887">
        <f t="shared" ca="1" si="783"/>
        <v>107.28815258904909</v>
      </c>
      <c r="I887">
        <f t="shared" ca="1" si="783"/>
        <v>110.73743247719362</v>
      </c>
      <c r="J887">
        <f t="shared" ref="J887:P887" ca="1" si="826">I887*EXP(($C$6-0.5*$C$7^2)*$C$12+$C$7*SQRT($C$12)*NORMINV(RAND(),0,1))</f>
        <v>106.14805251348805</v>
      </c>
      <c r="K887">
        <f t="shared" ca="1" si="826"/>
        <v>106.95142452438041</v>
      </c>
      <c r="L887">
        <f t="shared" ca="1" si="826"/>
        <v>108.23649087839956</v>
      </c>
      <c r="M887">
        <f t="shared" ca="1" si="826"/>
        <v>101.68659653534843</v>
      </c>
      <c r="N887">
        <f t="shared" ca="1" si="826"/>
        <v>104.18583475524736</v>
      </c>
      <c r="O887">
        <f t="shared" ca="1" si="826"/>
        <v>110.07609991847605</v>
      </c>
      <c r="P887">
        <f t="shared" ca="1" si="826"/>
        <v>110.13720029353902</v>
      </c>
      <c r="Q887">
        <f t="shared" ca="1" si="784"/>
        <v>110.73743247719362</v>
      </c>
      <c r="R887">
        <f t="shared" ca="1" si="785"/>
        <v>0</v>
      </c>
      <c r="S887">
        <f t="shared" ca="1" si="786"/>
        <v>0</v>
      </c>
    </row>
    <row r="888" spans="5:19" x14ac:dyDescent="0.75">
      <c r="E888">
        <v>883</v>
      </c>
      <c r="F888">
        <f t="shared" si="782"/>
        <v>100</v>
      </c>
      <c r="G888">
        <f t="shared" ca="1" si="783"/>
        <v>98.668758781558779</v>
      </c>
      <c r="H888">
        <f t="shared" ca="1" si="783"/>
        <v>104.92504008094566</v>
      </c>
      <c r="I888">
        <f t="shared" ca="1" si="783"/>
        <v>102.76288330030825</v>
      </c>
      <c r="J888">
        <f t="shared" ref="J888:P888" ca="1" si="827">I888*EXP(($C$6-0.5*$C$7^2)*$C$12+$C$7*SQRT($C$12)*NORMINV(RAND(),0,1))</f>
        <v>106.13873874331104</v>
      </c>
      <c r="K888">
        <f t="shared" ca="1" si="827"/>
        <v>110.60160280611892</v>
      </c>
      <c r="L888">
        <f t="shared" ca="1" si="827"/>
        <v>114.43400484171244</v>
      </c>
      <c r="M888">
        <f t="shared" ca="1" si="827"/>
        <v>125.94048213879825</v>
      </c>
      <c r="N888">
        <f t="shared" ca="1" si="827"/>
        <v>119.89037309474439</v>
      </c>
      <c r="O888">
        <f t="shared" ca="1" si="827"/>
        <v>121.8905936401969</v>
      </c>
      <c r="P888">
        <f t="shared" ca="1" si="827"/>
        <v>119.61623919632912</v>
      </c>
      <c r="Q888">
        <f t="shared" ca="1" si="784"/>
        <v>125.94048213879825</v>
      </c>
      <c r="R888">
        <f t="shared" ca="1" si="785"/>
        <v>0</v>
      </c>
      <c r="S888">
        <f t="shared" ca="1" si="786"/>
        <v>0</v>
      </c>
    </row>
    <row r="889" spans="5:19" x14ac:dyDescent="0.75">
      <c r="E889">
        <v>884</v>
      </c>
      <c r="F889">
        <f t="shared" si="782"/>
        <v>100</v>
      </c>
      <c r="G889">
        <f t="shared" ca="1" si="783"/>
        <v>97.539474123831468</v>
      </c>
      <c r="H889">
        <f t="shared" ca="1" si="783"/>
        <v>95.911300693439713</v>
      </c>
      <c r="I889">
        <f t="shared" ca="1" si="783"/>
        <v>91.404294344760103</v>
      </c>
      <c r="J889">
        <f t="shared" ref="J889:P889" ca="1" si="828">I889*EXP(($C$6-0.5*$C$7^2)*$C$12+$C$7*SQRT($C$12)*NORMINV(RAND(),0,1))</f>
        <v>87.512189041569158</v>
      </c>
      <c r="K889">
        <f t="shared" ca="1" si="828"/>
        <v>92.91781184383342</v>
      </c>
      <c r="L889">
        <f t="shared" ca="1" si="828"/>
        <v>91.929561156143251</v>
      </c>
      <c r="M889">
        <f t="shared" ca="1" si="828"/>
        <v>90.895629354525028</v>
      </c>
      <c r="N889">
        <f t="shared" ca="1" si="828"/>
        <v>97.072695563969162</v>
      </c>
      <c r="O889">
        <f t="shared" ca="1" si="828"/>
        <v>98.269461194642304</v>
      </c>
      <c r="P889">
        <f t="shared" ca="1" si="828"/>
        <v>96.32506133093591</v>
      </c>
      <c r="Q889">
        <f t="shared" ca="1" si="784"/>
        <v>98.269461194642304</v>
      </c>
      <c r="R889">
        <f t="shared" ca="1" si="785"/>
        <v>0</v>
      </c>
      <c r="S889">
        <f t="shared" ca="1" si="786"/>
        <v>0</v>
      </c>
    </row>
    <row r="890" spans="5:19" x14ac:dyDescent="0.75">
      <c r="E890">
        <v>885</v>
      </c>
      <c r="F890">
        <f t="shared" si="782"/>
        <v>100</v>
      </c>
      <c r="G890">
        <f t="shared" ca="1" si="783"/>
        <v>95.963245469013486</v>
      </c>
      <c r="H890">
        <f t="shared" ca="1" si="783"/>
        <v>98.689287011756292</v>
      </c>
      <c r="I890">
        <f t="shared" ca="1" si="783"/>
        <v>96.785930754352123</v>
      </c>
      <c r="J890">
        <f t="shared" ref="J890:P890" ca="1" si="829">I890*EXP(($C$6-0.5*$C$7^2)*$C$12+$C$7*SQRT($C$12)*NORMINV(RAND(),0,1))</f>
        <v>89.183941461610189</v>
      </c>
      <c r="K890">
        <f t="shared" ca="1" si="829"/>
        <v>88.137896060112368</v>
      </c>
      <c r="L890">
        <f t="shared" ca="1" si="829"/>
        <v>87.504015435163396</v>
      </c>
      <c r="M890">
        <f t="shared" ca="1" si="829"/>
        <v>89.132369974553768</v>
      </c>
      <c r="N890">
        <f t="shared" ca="1" si="829"/>
        <v>88.362566212676043</v>
      </c>
      <c r="O890">
        <f t="shared" ca="1" si="829"/>
        <v>86.174715139802714</v>
      </c>
      <c r="P890">
        <f t="shared" ca="1" si="829"/>
        <v>81.776027471524202</v>
      </c>
      <c r="Q890">
        <f t="shared" ca="1" si="784"/>
        <v>98.689287011756292</v>
      </c>
      <c r="R890">
        <f t="shared" ca="1" si="785"/>
        <v>0</v>
      </c>
      <c r="S890">
        <f t="shared" ca="1" si="786"/>
        <v>0</v>
      </c>
    </row>
    <row r="891" spans="5:19" x14ac:dyDescent="0.75">
      <c r="E891">
        <v>886</v>
      </c>
      <c r="F891">
        <f t="shared" si="782"/>
        <v>100</v>
      </c>
      <c r="G891">
        <f t="shared" ca="1" si="783"/>
        <v>99.027430580009238</v>
      </c>
      <c r="H891">
        <f t="shared" ca="1" si="783"/>
        <v>102.65464493045368</v>
      </c>
      <c r="I891">
        <f t="shared" ca="1" si="783"/>
        <v>104.30820060673629</v>
      </c>
      <c r="J891">
        <f t="shared" ref="J891:P891" ca="1" si="830">I891*EXP(($C$6-0.5*$C$7^2)*$C$12+$C$7*SQRT($C$12)*NORMINV(RAND(),0,1))</f>
        <v>106.58893795648839</v>
      </c>
      <c r="K891">
        <f t="shared" ca="1" si="830"/>
        <v>111.57865747612925</v>
      </c>
      <c r="L891">
        <f t="shared" ca="1" si="830"/>
        <v>114.58366996340288</v>
      </c>
      <c r="M891">
        <f t="shared" ca="1" si="830"/>
        <v>124.75815787637524</v>
      </c>
      <c r="N891">
        <f t="shared" ca="1" si="830"/>
        <v>119.40526845285103</v>
      </c>
      <c r="O891">
        <f t="shared" ca="1" si="830"/>
        <v>121.23718459434616</v>
      </c>
      <c r="P891">
        <f t="shared" ca="1" si="830"/>
        <v>120.43093162606229</v>
      </c>
      <c r="Q891">
        <f t="shared" ca="1" si="784"/>
        <v>124.75815787637524</v>
      </c>
      <c r="R891">
        <f t="shared" ca="1" si="785"/>
        <v>0</v>
      </c>
      <c r="S891">
        <f t="shared" ca="1" si="786"/>
        <v>0</v>
      </c>
    </row>
    <row r="892" spans="5:19" x14ac:dyDescent="0.75">
      <c r="E892">
        <v>887</v>
      </c>
      <c r="F892">
        <f t="shared" si="782"/>
        <v>100</v>
      </c>
      <c r="G892">
        <f t="shared" ca="1" si="783"/>
        <v>98.974250910330923</v>
      </c>
      <c r="H892">
        <f t="shared" ca="1" si="783"/>
        <v>100.54288305724083</v>
      </c>
      <c r="I892">
        <f t="shared" ca="1" si="783"/>
        <v>99.31889960618642</v>
      </c>
      <c r="J892">
        <f t="shared" ref="J892:P892" ca="1" si="831">I892*EXP(($C$6-0.5*$C$7^2)*$C$12+$C$7*SQRT($C$12)*NORMINV(RAND(),0,1))</f>
        <v>95.147358313793333</v>
      </c>
      <c r="K892">
        <f t="shared" ca="1" si="831"/>
        <v>95.56890367877574</v>
      </c>
      <c r="L892">
        <f t="shared" ca="1" si="831"/>
        <v>97.900864093207559</v>
      </c>
      <c r="M892">
        <f t="shared" ca="1" si="831"/>
        <v>105.04794219716324</v>
      </c>
      <c r="N892">
        <f t="shared" ca="1" si="831"/>
        <v>104.22902076140699</v>
      </c>
      <c r="O892">
        <f t="shared" ca="1" si="831"/>
        <v>112.72050141931182</v>
      </c>
      <c r="P892">
        <f t="shared" ca="1" si="831"/>
        <v>113.71268268433502</v>
      </c>
      <c r="Q892">
        <f t="shared" ca="1" si="784"/>
        <v>113.71268268433502</v>
      </c>
      <c r="R892">
        <f t="shared" ca="1" si="785"/>
        <v>0</v>
      </c>
      <c r="S892">
        <f t="shared" ca="1" si="786"/>
        <v>0</v>
      </c>
    </row>
    <row r="893" spans="5:19" x14ac:dyDescent="0.75">
      <c r="E893">
        <v>888</v>
      </c>
      <c r="F893">
        <f t="shared" si="782"/>
        <v>100</v>
      </c>
      <c r="G893">
        <f t="shared" ca="1" si="783"/>
        <v>100.08232158038699</v>
      </c>
      <c r="H893">
        <f t="shared" ca="1" si="783"/>
        <v>102.3839060348578</v>
      </c>
      <c r="I893">
        <f t="shared" ca="1" si="783"/>
        <v>99.480369224562452</v>
      </c>
      <c r="J893">
        <f t="shared" ref="J893:P893" ca="1" si="832">I893*EXP(($C$6-0.5*$C$7^2)*$C$12+$C$7*SQRT($C$12)*NORMINV(RAND(),0,1))</f>
        <v>100.13317773830514</v>
      </c>
      <c r="K893">
        <f t="shared" ca="1" si="832"/>
        <v>104.77989861543682</v>
      </c>
      <c r="L893">
        <f t="shared" ca="1" si="832"/>
        <v>106.64869758645482</v>
      </c>
      <c r="M893">
        <f t="shared" ca="1" si="832"/>
        <v>112.14345904981742</v>
      </c>
      <c r="N893">
        <f t="shared" ca="1" si="832"/>
        <v>110.57657551453305</v>
      </c>
      <c r="O893">
        <f t="shared" ca="1" si="832"/>
        <v>105.80197252432271</v>
      </c>
      <c r="P893">
        <f t="shared" ca="1" si="832"/>
        <v>110.47230823863012</v>
      </c>
      <c r="Q893">
        <f t="shared" ca="1" si="784"/>
        <v>112.14345904981742</v>
      </c>
      <c r="R893">
        <f t="shared" ca="1" si="785"/>
        <v>0</v>
      </c>
      <c r="S893">
        <f t="shared" ca="1" si="786"/>
        <v>0</v>
      </c>
    </row>
    <row r="894" spans="5:19" x14ac:dyDescent="0.75">
      <c r="E894">
        <v>889</v>
      </c>
      <c r="F894">
        <f t="shared" si="782"/>
        <v>100</v>
      </c>
      <c r="G894">
        <f t="shared" ca="1" si="783"/>
        <v>98.274272550172356</v>
      </c>
      <c r="H894">
        <f t="shared" ca="1" si="783"/>
        <v>101.5345630168832</v>
      </c>
      <c r="I894">
        <f t="shared" ca="1" si="783"/>
        <v>99.090206817036446</v>
      </c>
      <c r="J894">
        <f t="shared" ref="J894:P894" ca="1" si="833">I894*EXP(($C$6-0.5*$C$7^2)*$C$12+$C$7*SQRT($C$12)*NORMINV(RAND(),0,1))</f>
        <v>111.56815219381562</v>
      </c>
      <c r="K894">
        <f t="shared" ca="1" si="833"/>
        <v>105.57059479076146</v>
      </c>
      <c r="L894">
        <f t="shared" ca="1" si="833"/>
        <v>104.27093250368939</v>
      </c>
      <c r="M894">
        <f t="shared" ca="1" si="833"/>
        <v>98.246728563036768</v>
      </c>
      <c r="N894">
        <f t="shared" ca="1" si="833"/>
        <v>101.70833971579272</v>
      </c>
      <c r="O894">
        <f t="shared" ca="1" si="833"/>
        <v>96.260747285578375</v>
      </c>
      <c r="P894">
        <f t="shared" ca="1" si="833"/>
        <v>86.416336329416609</v>
      </c>
      <c r="Q894">
        <f t="shared" ca="1" si="784"/>
        <v>111.56815219381562</v>
      </c>
      <c r="R894">
        <f t="shared" ca="1" si="785"/>
        <v>0</v>
      </c>
      <c r="S894">
        <f t="shared" ca="1" si="786"/>
        <v>0</v>
      </c>
    </row>
    <row r="895" spans="5:19" x14ac:dyDescent="0.75">
      <c r="E895">
        <v>890</v>
      </c>
      <c r="F895">
        <f t="shared" si="782"/>
        <v>100</v>
      </c>
      <c r="G895">
        <f t="shared" ca="1" si="783"/>
        <v>105.33334556661285</v>
      </c>
      <c r="H895">
        <f t="shared" ca="1" si="783"/>
        <v>101.76833801080801</v>
      </c>
      <c r="I895">
        <f t="shared" ca="1" si="783"/>
        <v>101.13213043852652</v>
      </c>
      <c r="J895">
        <f t="shared" ref="J895:P895" ca="1" si="834">I895*EXP(($C$6-0.5*$C$7^2)*$C$12+$C$7*SQRT($C$12)*NORMINV(RAND(),0,1))</f>
        <v>109.10746699840234</v>
      </c>
      <c r="K895">
        <f t="shared" ca="1" si="834"/>
        <v>103.50937051713849</v>
      </c>
      <c r="L895">
        <f t="shared" ca="1" si="834"/>
        <v>105.76176322652361</v>
      </c>
      <c r="M895">
        <f t="shared" ca="1" si="834"/>
        <v>107.24673609830543</v>
      </c>
      <c r="N895">
        <f t="shared" ca="1" si="834"/>
        <v>108.51964743905214</v>
      </c>
      <c r="O895">
        <f t="shared" ca="1" si="834"/>
        <v>116.65502019224111</v>
      </c>
      <c r="P895">
        <f t="shared" ca="1" si="834"/>
        <v>117.73584993874607</v>
      </c>
      <c r="Q895">
        <f t="shared" ca="1" si="784"/>
        <v>117.73584993874607</v>
      </c>
      <c r="R895">
        <f t="shared" ca="1" si="785"/>
        <v>0</v>
      </c>
      <c r="S895">
        <f t="shared" ca="1" si="786"/>
        <v>0</v>
      </c>
    </row>
    <row r="896" spans="5:19" x14ac:dyDescent="0.75">
      <c r="E896">
        <v>891</v>
      </c>
      <c r="F896">
        <f t="shared" si="782"/>
        <v>100</v>
      </c>
      <c r="G896">
        <f t="shared" ca="1" si="783"/>
        <v>105.17358571695384</v>
      </c>
      <c r="H896">
        <f t="shared" ca="1" si="783"/>
        <v>108.21177788084142</v>
      </c>
      <c r="I896">
        <f t="shared" ca="1" si="783"/>
        <v>106.1544160936764</v>
      </c>
      <c r="J896">
        <f t="shared" ref="J896:P896" ca="1" si="835">I896*EXP(($C$6-0.5*$C$7^2)*$C$12+$C$7*SQRT($C$12)*NORMINV(RAND(),0,1))</f>
        <v>102.1683224288228</v>
      </c>
      <c r="K896">
        <f t="shared" ca="1" si="835"/>
        <v>102.96981166248131</v>
      </c>
      <c r="L896">
        <f t="shared" ca="1" si="835"/>
        <v>99.338298063281471</v>
      </c>
      <c r="M896">
        <f t="shared" ca="1" si="835"/>
        <v>98.208757244158292</v>
      </c>
      <c r="N896">
        <f t="shared" ca="1" si="835"/>
        <v>106.28157334201484</v>
      </c>
      <c r="O896">
        <f t="shared" ca="1" si="835"/>
        <v>106.94806496848582</v>
      </c>
      <c r="P896">
        <f t="shared" ca="1" si="835"/>
        <v>108.89255239226432</v>
      </c>
      <c r="Q896">
        <f t="shared" ca="1" si="784"/>
        <v>108.89255239226432</v>
      </c>
      <c r="R896">
        <f t="shared" ca="1" si="785"/>
        <v>6.8925523922643208</v>
      </c>
      <c r="S896">
        <f t="shared" ca="1" si="786"/>
        <v>6.722374667349988</v>
      </c>
    </row>
    <row r="897" spans="5:19" x14ac:dyDescent="0.75">
      <c r="E897">
        <v>892</v>
      </c>
      <c r="F897">
        <f t="shared" si="782"/>
        <v>100</v>
      </c>
      <c r="G897">
        <f t="shared" ca="1" si="783"/>
        <v>104.94982821720423</v>
      </c>
      <c r="H897">
        <f t="shared" ca="1" si="783"/>
        <v>101.82597574529603</v>
      </c>
      <c r="I897">
        <f t="shared" ca="1" si="783"/>
        <v>108.03428793161383</v>
      </c>
      <c r="J897">
        <f t="shared" ref="J897:P897" ca="1" si="836">I897*EXP(($C$6-0.5*$C$7^2)*$C$12+$C$7*SQRT($C$12)*NORMINV(RAND(),0,1))</f>
        <v>105.36870907074987</v>
      </c>
      <c r="K897">
        <f t="shared" ca="1" si="836"/>
        <v>106.66555945656741</v>
      </c>
      <c r="L897">
        <f t="shared" ca="1" si="836"/>
        <v>105.92280878020577</v>
      </c>
      <c r="M897">
        <f t="shared" ca="1" si="836"/>
        <v>106.2871137222195</v>
      </c>
      <c r="N897">
        <f t="shared" ca="1" si="836"/>
        <v>102.15633646453249</v>
      </c>
      <c r="O897">
        <f t="shared" ca="1" si="836"/>
        <v>111.51255958888355</v>
      </c>
      <c r="P897">
        <f t="shared" ca="1" si="836"/>
        <v>114.42017641609579</v>
      </c>
      <c r="Q897">
        <f t="shared" ca="1" si="784"/>
        <v>114.42017641609579</v>
      </c>
      <c r="R897">
        <f t="shared" ca="1" si="785"/>
        <v>0</v>
      </c>
      <c r="S897">
        <f t="shared" ca="1" si="786"/>
        <v>0</v>
      </c>
    </row>
    <row r="898" spans="5:19" x14ac:dyDescent="0.75">
      <c r="E898">
        <v>893</v>
      </c>
      <c r="F898">
        <f t="shared" si="782"/>
        <v>100</v>
      </c>
      <c r="G898">
        <f t="shared" ca="1" si="783"/>
        <v>99.909841429710184</v>
      </c>
      <c r="H898">
        <f t="shared" ca="1" si="783"/>
        <v>97.362463887533224</v>
      </c>
      <c r="I898">
        <f t="shared" ca="1" si="783"/>
        <v>104.5618756266017</v>
      </c>
      <c r="J898">
        <f t="shared" ref="J898:P898" ca="1" si="837">I898*EXP(($C$6-0.5*$C$7^2)*$C$12+$C$7*SQRT($C$12)*NORMINV(RAND(),0,1))</f>
        <v>106.20335579436706</v>
      </c>
      <c r="K898">
        <f t="shared" ca="1" si="837"/>
        <v>99.765999933164196</v>
      </c>
      <c r="L898">
        <f t="shared" ca="1" si="837"/>
        <v>99.459833897597335</v>
      </c>
      <c r="M898">
        <f t="shared" ca="1" si="837"/>
        <v>99.52129231024621</v>
      </c>
      <c r="N898">
        <f t="shared" ca="1" si="837"/>
        <v>105.04445797343652</v>
      </c>
      <c r="O898">
        <f t="shared" ca="1" si="837"/>
        <v>106.07971037491664</v>
      </c>
      <c r="P898">
        <f t="shared" ca="1" si="837"/>
        <v>100.7712165994638</v>
      </c>
      <c r="Q898">
        <f t="shared" ca="1" si="784"/>
        <v>106.20335579436706</v>
      </c>
      <c r="R898">
        <f t="shared" ca="1" si="785"/>
        <v>0</v>
      </c>
      <c r="S898">
        <f t="shared" ca="1" si="786"/>
        <v>0</v>
      </c>
    </row>
    <row r="899" spans="5:19" x14ac:dyDescent="0.75">
      <c r="E899">
        <v>894</v>
      </c>
      <c r="F899">
        <f t="shared" si="782"/>
        <v>100</v>
      </c>
      <c r="G899">
        <f t="shared" ca="1" si="783"/>
        <v>96.73940646771571</v>
      </c>
      <c r="H899">
        <f t="shared" ca="1" si="783"/>
        <v>100.79393260309878</v>
      </c>
      <c r="I899">
        <f t="shared" ca="1" si="783"/>
        <v>94.618149020509932</v>
      </c>
      <c r="J899">
        <f t="shared" ref="J899:P899" ca="1" si="838">I899*EXP(($C$6-0.5*$C$7^2)*$C$12+$C$7*SQRT($C$12)*NORMINV(RAND(),0,1))</f>
        <v>93.655145208326132</v>
      </c>
      <c r="K899">
        <f t="shared" ca="1" si="838"/>
        <v>86.296392517395361</v>
      </c>
      <c r="L899">
        <f t="shared" ca="1" si="838"/>
        <v>91.364497629358567</v>
      </c>
      <c r="M899">
        <f t="shared" ca="1" si="838"/>
        <v>87.888105054034796</v>
      </c>
      <c r="N899">
        <f t="shared" ca="1" si="838"/>
        <v>88.76611960621301</v>
      </c>
      <c r="O899">
        <f t="shared" ca="1" si="838"/>
        <v>85.521887360815427</v>
      </c>
      <c r="P899">
        <f t="shared" ca="1" si="838"/>
        <v>91.259569910350294</v>
      </c>
      <c r="Q899">
        <f t="shared" ca="1" si="784"/>
        <v>100.79393260309878</v>
      </c>
      <c r="R899">
        <f t="shared" ca="1" si="785"/>
        <v>0</v>
      </c>
      <c r="S899">
        <f t="shared" ca="1" si="786"/>
        <v>0</v>
      </c>
    </row>
    <row r="900" spans="5:19" x14ac:dyDescent="0.75">
      <c r="E900">
        <v>895</v>
      </c>
      <c r="F900">
        <f t="shared" si="782"/>
        <v>100</v>
      </c>
      <c r="G900">
        <f t="shared" ca="1" si="783"/>
        <v>95.817468968807546</v>
      </c>
      <c r="H900">
        <f t="shared" ca="1" si="783"/>
        <v>88.065299765524671</v>
      </c>
      <c r="I900">
        <f t="shared" ca="1" si="783"/>
        <v>90.234745002932627</v>
      </c>
      <c r="J900">
        <f t="shared" ref="J900:P900" ca="1" si="839">I900*EXP(($C$6-0.5*$C$7^2)*$C$12+$C$7*SQRT($C$12)*NORMINV(RAND(),0,1))</f>
        <v>88.700695987001581</v>
      </c>
      <c r="K900">
        <f t="shared" ca="1" si="839"/>
        <v>89.124087899727655</v>
      </c>
      <c r="L900">
        <f t="shared" ca="1" si="839"/>
        <v>85.418482165793193</v>
      </c>
      <c r="M900">
        <f t="shared" ca="1" si="839"/>
        <v>87.773195143852689</v>
      </c>
      <c r="N900">
        <f t="shared" ca="1" si="839"/>
        <v>85.543743807793874</v>
      </c>
      <c r="O900">
        <f t="shared" ca="1" si="839"/>
        <v>85.309986878096154</v>
      </c>
      <c r="P900">
        <f t="shared" ca="1" si="839"/>
        <v>89.549164701014732</v>
      </c>
      <c r="Q900">
        <f t="shared" ca="1" si="784"/>
        <v>95.817468968807546</v>
      </c>
      <c r="R900">
        <f t="shared" ca="1" si="785"/>
        <v>0</v>
      </c>
      <c r="S900">
        <f t="shared" ca="1" si="786"/>
        <v>0</v>
      </c>
    </row>
    <row r="901" spans="5:19" x14ac:dyDescent="0.75">
      <c r="E901">
        <v>896</v>
      </c>
      <c r="F901">
        <f t="shared" si="782"/>
        <v>100</v>
      </c>
      <c r="G901">
        <f t="shared" ca="1" si="783"/>
        <v>99.903878443372164</v>
      </c>
      <c r="H901">
        <f t="shared" ca="1" si="783"/>
        <v>108.37083550378354</v>
      </c>
      <c r="I901">
        <f t="shared" ca="1" si="783"/>
        <v>109.56351015376096</v>
      </c>
      <c r="J901">
        <f t="shared" ref="J901:P901" ca="1" si="840">I901*EXP(($C$6-0.5*$C$7^2)*$C$12+$C$7*SQRT($C$12)*NORMINV(RAND(),0,1))</f>
        <v>110.1966932188845</v>
      </c>
      <c r="K901">
        <f t="shared" ca="1" si="840"/>
        <v>122.6319260341031</v>
      </c>
      <c r="L901">
        <f t="shared" ca="1" si="840"/>
        <v>121.28277584442523</v>
      </c>
      <c r="M901">
        <f t="shared" ca="1" si="840"/>
        <v>129.16310049478517</v>
      </c>
      <c r="N901">
        <f t="shared" ca="1" si="840"/>
        <v>123.60181138899134</v>
      </c>
      <c r="O901">
        <f t="shared" ca="1" si="840"/>
        <v>123.36911749338122</v>
      </c>
      <c r="P901">
        <f t="shared" ca="1" si="840"/>
        <v>134.80818072836843</v>
      </c>
      <c r="Q901">
        <f t="shared" ca="1" si="784"/>
        <v>134.80818072836843</v>
      </c>
      <c r="R901">
        <f t="shared" ca="1" si="785"/>
        <v>0</v>
      </c>
      <c r="S901">
        <f t="shared" ca="1" si="786"/>
        <v>0</v>
      </c>
    </row>
    <row r="902" spans="5:19" x14ac:dyDescent="0.75">
      <c r="E902">
        <v>897</v>
      </c>
      <c r="F902">
        <f t="shared" si="782"/>
        <v>100</v>
      </c>
      <c r="G902">
        <f t="shared" ca="1" si="783"/>
        <v>95.331941608643845</v>
      </c>
      <c r="H902">
        <f t="shared" ca="1" si="783"/>
        <v>96.460613500941264</v>
      </c>
      <c r="I902">
        <f t="shared" ca="1" si="783"/>
        <v>101.0835776917168</v>
      </c>
      <c r="J902">
        <f t="shared" ref="J902:P902" ca="1" si="841">I902*EXP(($C$6-0.5*$C$7^2)*$C$12+$C$7*SQRT($C$12)*NORMINV(RAND(),0,1))</f>
        <v>99.663430129381268</v>
      </c>
      <c r="K902">
        <f t="shared" ca="1" si="841"/>
        <v>93.101009235794052</v>
      </c>
      <c r="L902">
        <f t="shared" ca="1" si="841"/>
        <v>97.350559657264583</v>
      </c>
      <c r="M902">
        <f t="shared" ca="1" si="841"/>
        <v>95.798832578836311</v>
      </c>
      <c r="N902">
        <f t="shared" ca="1" si="841"/>
        <v>93.960889731220391</v>
      </c>
      <c r="O902">
        <f t="shared" ca="1" si="841"/>
        <v>104.23790214869197</v>
      </c>
      <c r="P902">
        <f t="shared" ca="1" si="841"/>
        <v>101.92667005488431</v>
      </c>
      <c r="Q902">
        <f t="shared" ca="1" si="784"/>
        <v>104.23790214869197</v>
      </c>
      <c r="R902">
        <f t="shared" ca="1" si="785"/>
        <v>0</v>
      </c>
      <c r="S902">
        <f t="shared" ca="1" si="786"/>
        <v>0</v>
      </c>
    </row>
    <row r="903" spans="5:19" x14ac:dyDescent="0.75">
      <c r="E903">
        <v>898</v>
      </c>
      <c r="F903">
        <f t="shared" ref="F903:F966" si="842">$C$5</f>
        <v>100</v>
      </c>
      <c r="G903">
        <f t="shared" ref="G903:P966" ca="1" si="843">F903*EXP(($C$6-0.5*$C$7^2)*$C$12+$C$7*SQRT($C$12)*NORMINV(RAND(),0,1))</f>
        <v>98.544868383719702</v>
      </c>
      <c r="H903">
        <f t="shared" ca="1" si="843"/>
        <v>103.19571266377524</v>
      </c>
      <c r="I903">
        <f t="shared" ca="1" si="843"/>
        <v>105.86419195000889</v>
      </c>
      <c r="J903">
        <f t="shared" ca="1" si="843"/>
        <v>105.88036716961778</v>
      </c>
      <c r="K903">
        <f t="shared" ca="1" si="843"/>
        <v>101.32752761709787</v>
      </c>
      <c r="L903">
        <f t="shared" ca="1" si="843"/>
        <v>102.36020619715693</v>
      </c>
      <c r="M903">
        <f t="shared" ca="1" si="843"/>
        <v>101.76903468573624</v>
      </c>
      <c r="N903">
        <f t="shared" ca="1" si="843"/>
        <v>109.85471889570736</v>
      </c>
      <c r="O903">
        <f t="shared" ca="1" si="843"/>
        <v>114.8694808534499</v>
      </c>
      <c r="P903">
        <f t="shared" ca="1" si="843"/>
        <v>112.26256922381491</v>
      </c>
      <c r="Q903">
        <f t="shared" ref="Q903:Q966" ca="1" si="844">MAX(G903:P903)</f>
        <v>114.8694808534499</v>
      </c>
      <c r="R903">
        <f t="shared" ref="R903:R966" ca="1" si="845">IF(Q903&gt;=$C$13,0, MAX(P903-$C$9,0))</f>
        <v>0</v>
      </c>
      <c r="S903">
        <f t="shared" ref="S903:S966" ca="1" si="846">EXP(-$C$6*$C$8)*R903</f>
        <v>0</v>
      </c>
    </row>
    <row r="904" spans="5:19" x14ac:dyDescent="0.75">
      <c r="E904">
        <v>899</v>
      </c>
      <c r="F904">
        <f t="shared" si="842"/>
        <v>100</v>
      </c>
      <c r="G904">
        <f t="shared" ca="1" si="843"/>
        <v>92.37270897426238</v>
      </c>
      <c r="H904">
        <f t="shared" ca="1" si="843"/>
        <v>89.206087470164377</v>
      </c>
      <c r="I904">
        <f t="shared" ca="1" si="843"/>
        <v>89.177734876522621</v>
      </c>
      <c r="J904">
        <f t="shared" ca="1" si="843"/>
        <v>85.697386458542582</v>
      </c>
      <c r="K904">
        <f t="shared" ca="1" si="843"/>
        <v>92.951951551555723</v>
      </c>
      <c r="L904">
        <f t="shared" ca="1" si="843"/>
        <v>96.653552619577027</v>
      </c>
      <c r="M904">
        <f t="shared" ca="1" si="843"/>
        <v>95.388312164772159</v>
      </c>
      <c r="N904">
        <f t="shared" ca="1" si="843"/>
        <v>100.57428692494588</v>
      </c>
      <c r="O904">
        <f t="shared" ca="1" si="843"/>
        <v>99.027234920556126</v>
      </c>
      <c r="P904">
        <f t="shared" ca="1" si="843"/>
        <v>104.5777632454319</v>
      </c>
      <c r="Q904">
        <f t="shared" ca="1" si="844"/>
        <v>104.5777632454319</v>
      </c>
      <c r="R904">
        <f t="shared" ca="1" si="845"/>
        <v>2.5777632454318962</v>
      </c>
      <c r="S904">
        <f t="shared" ca="1" si="846"/>
        <v>2.5141180441320516</v>
      </c>
    </row>
    <row r="905" spans="5:19" x14ac:dyDescent="0.75">
      <c r="E905">
        <v>900</v>
      </c>
      <c r="F905">
        <f t="shared" si="842"/>
        <v>100</v>
      </c>
      <c r="G905">
        <f t="shared" ca="1" si="843"/>
        <v>97.19323095092598</v>
      </c>
      <c r="H905">
        <f t="shared" ca="1" si="843"/>
        <v>105.61105544068312</v>
      </c>
      <c r="I905">
        <f t="shared" ca="1" si="843"/>
        <v>103.24374942101853</v>
      </c>
      <c r="J905">
        <f t="shared" ca="1" si="843"/>
        <v>96.797573187550697</v>
      </c>
      <c r="K905">
        <f t="shared" ca="1" si="843"/>
        <v>94.823567497657649</v>
      </c>
      <c r="L905">
        <f t="shared" ca="1" si="843"/>
        <v>95.533759980787494</v>
      </c>
      <c r="M905">
        <f t="shared" ca="1" si="843"/>
        <v>97.893889632548849</v>
      </c>
      <c r="N905">
        <f t="shared" ca="1" si="843"/>
        <v>99.27543362995479</v>
      </c>
      <c r="O905">
        <f t="shared" ca="1" si="843"/>
        <v>100.37120040230597</v>
      </c>
      <c r="P905">
        <f t="shared" ca="1" si="843"/>
        <v>107.25029760315358</v>
      </c>
      <c r="Q905">
        <f t="shared" ca="1" si="844"/>
        <v>107.25029760315358</v>
      </c>
      <c r="R905">
        <f t="shared" ca="1" si="845"/>
        <v>5.2502976031535837</v>
      </c>
      <c r="S905">
        <f t="shared" ca="1" si="846"/>
        <v>5.1206672934542876</v>
      </c>
    </row>
    <row r="906" spans="5:19" x14ac:dyDescent="0.75">
      <c r="E906">
        <v>901</v>
      </c>
      <c r="F906">
        <f t="shared" si="842"/>
        <v>100</v>
      </c>
      <c r="G906">
        <f t="shared" ca="1" si="843"/>
        <v>104.65841720085601</v>
      </c>
      <c r="H906">
        <f t="shared" ca="1" si="843"/>
        <v>101.72992757226639</v>
      </c>
      <c r="I906">
        <f t="shared" ca="1" si="843"/>
        <v>100.99923983760777</v>
      </c>
      <c r="J906">
        <f t="shared" ca="1" si="843"/>
        <v>97.121181244123036</v>
      </c>
      <c r="K906">
        <f t="shared" ca="1" si="843"/>
        <v>98.573499094026474</v>
      </c>
      <c r="L906">
        <f t="shared" ca="1" si="843"/>
        <v>95.319685431952635</v>
      </c>
      <c r="M906">
        <f t="shared" ca="1" si="843"/>
        <v>104.00252409717396</v>
      </c>
      <c r="N906">
        <f t="shared" ca="1" si="843"/>
        <v>101.83133423507191</v>
      </c>
      <c r="O906">
        <f t="shared" ca="1" si="843"/>
        <v>105.41252713058428</v>
      </c>
      <c r="P906">
        <f t="shared" ca="1" si="843"/>
        <v>113.39209868883546</v>
      </c>
      <c r="Q906">
        <f t="shared" ca="1" si="844"/>
        <v>113.39209868883546</v>
      </c>
      <c r="R906">
        <f t="shared" ca="1" si="845"/>
        <v>0</v>
      </c>
      <c r="S906">
        <f t="shared" ca="1" si="846"/>
        <v>0</v>
      </c>
    </row>
    <row r="907" spans="5:19" x14ac:dyDescent="0.75">
      <c r="E907">
        <v>902</v>
      </c>
      <c r="F907">
        <f t="shared" si="842"/>
        <v>100</v>
      </c>
      <c r="G907">
        <f t="shared" ca="1" si="843"/>
        <v>102.4900969963695</v>
      </c>
      <c r="H907">
        <f t="shared" ca="1" si="843"/>
        <v>106.10833015972143</v>
      </c>
      <c r="I907">
        <f t="shared" ca="1" si="843"/>
        <v>99.273736551852679</v>
      </c>
      <c r="J907">
        <f t="shared" ca="1" si="843"/>
        <v>103.21519586444981</v>
      </c>
      <c r="K907">
        <f t="shared" ca="1" si="843"/>
        <v>95.261219201665185</v>
      </c>
      <c r="L907">
        <f t="shared" ca="1" si="843"/>
        <v>91.587240494952553</v>
      </c>
      <c r="M907">
        <f t="shared" ca="1" si="843"/>
        <v>83.933260888951878</v>
      </c>
      <c r="N907">
        <f t="shared" ca="1" si="843"/>
        <v>85.006853772606391</v>
      </c>
      <c r="O907">
        <f t="shared" ca="1" si="843"/>
        <v>86.595281948835478</v>
      </c>
      <c r="P907">
        <f t="shared" ca="1" si="843"/>
        <v>82.910566719534671</v>
      </c>
      <c r="Q907">
        <f t="shared" ca="1" si="844"/>
        <v>106.10833015972143</v>
      </c>
      <c r="R907">
        <f t="shared" ca="1" si="845"/>
        <v>0</v>
      </c>
      <c r="S907">
        <f t="shared" ca="1" si="846"/>
        <v>0</v>
      </c>
    </row>
    <row r="908" spans="5:19" x14ac:dyDescent="0.75">
      <c r="E908">
        <v>903</v>
      </c>
      <c r="F908">
        <f t="shared" si="842"/>
        <v>100</v>
      </c>
      <c r="G908">
        <f t="shared" ca="1" si="843"/>
        <v>100.02394027017903</v>
      </c>
      <c r="H908">
        <f t="shared" ca="1" si="843"/>
        <v>100.11893889873097</v>
      </c>
      <c r="I908">
        <f t="shared" ca="1" si="843"/>
        <v>101.95216046455232</v>
      </c>
      <c r="J908">
        <f t="shared" ca="1" si="843"/>
        <v>99.375956887972933</v>
      </c>
      <c r="K908">
        <f t="shared" ca="1" si="843"/>
        <v>95.140323513019283</v>
      </c>
      <c r="L908">
        <f t="shared" ca="1" si="843"/>
        <v>104.42003596910612</v>
      </c>
      <c r="M908">
        <f t="shared" ca="1" si="843"/>
        <v>103.88505117029777</v>
      </c>
      <c r="N908">
        <f t="shared" ca="1" si="843"/>
        <v>99.115458854515325</v>
      </c>
      <c r="O908">
        <f t="shared" ca="1" si="843"/>
        <v>104.58999109510894</v>
      </c>
      <c r="P908">
        <f t="shared" ca="1" si="843"/>
        <v>102.00600866871279</v>
      </c>
      <c r="Q908">
        <f t="shared" ca="1" si="844"/>
        <v>104.58999109510894</v>
      </c>
      <c r="R908">
        <f t="shared" ca="1" si="845"/>
        <v>6.008668712794929E-3</v>
      </c>
      <c r="S908">
        <f t="shared" ca="1" si="846"/>
        <v>5.8603141536834168E-3</v>
      </c>
    </row>
    <row r="909" spans="5:19" x14ac:dyDescent="0.75">
      <c r="E909">
        <v>904</v>
      </c>
      <c r="F909">
        <f t="shared" si="842"/>
        <v>100</v>
      </c>
      <c r="G909">
        <f t="shared" ca="1" si="843"/>
        <v>102.08601102573508</v>
      </c>
      <c r="H909">
        <f t="shared" ca="1" si="843"/>
        <v>100.25488485284087</v>
      </c>
      <c r="I909">
        <f t="shared" ca="1" si="843"/>
        <v>105.01825397105567</v>
      </c>
      <c r="J909">
        <f t="shared" ca="1" si="843"/>
        <v>100.84413369534711</v>
      </c>
      <c r="K909">
        <f t="shared" ca="1" si="843"/>
        <v>96.471194439480882</v>
      </c>
      <c r="L909">
        <f t="shared" ca="1" si="843"/>
        <v>91.074097629739285</v>
      </c>
      <c r="M909">
        <f t="shared" ca="1" si="843"/>
        <v>97.218429147929712</v>
      </c>
      <c r="N909">
        <f t="shared" ca="1" si="843"/>
        <v>100.58064787110956</v>
      </c>
      <c r="O909">
        <f t="shared" ca="1" si="843"/>
        <v>99.637423324956458</v>
      </c>
      <c r="P909">
        <f t="shared" ca="1" si="843"/>
        <v>98.779226631071339</v>
      </c>
      <c r="Q909">
        <f t="shared" ca="1" si="844"/>
        <v>105.01825397105567</v>
      </c>
      <c r="R909">
        <f t="shared" ca="1" si="845"/>
        <v>0</v>
      </c>
      <c r="S909">
        <f t="shared" ca="1" si="846"/>
        <v>0</v>
      </c>
    </row>
    <row r="910" spans="5:19" x14ac:dyDescent="0.75">
      <c r="E910">
        <v>905</v>
      </c>
      <c r="F910">
        <f t="shared" si="842"/>
        <v>100</v>
      </c>
      <c r="G910">
        <f t="shared" ca="1" si="843"/>
        <v>104.41512484139055</v>
      </c>
      <c r="H910">
        <f t="shared" ca="1" si="843"/>
        <v>97.828302174625904</v>
      </c>
      <c r="I910">
        <f t="shared" ca="1" si="843"/>
        <v>101.35377342759379</v>
      </c>
      <c r="J910">
        <f t="shared" ca="1" si="843"/>
        <v>99.453501963888669</v>
      </c>
      <c r="K910">
        <f t="shared" ca="1" si="843"/>
        <v>108.44904778679336</v>
      </c>
      <c r="L910">
        <f t="shared" ca="1" si="843"/>
        <v>119.65721831841208</v>
      </c>
      <c r="M910">
        <f t="shared" ca="1" si="843"/>
        <v>117.25115806040058</v>
      </c>
      <c r="N910">
        <f t="shared" ca="1" si="843"/>
        <v>116.0277661226035</v>
      </c>
      <c r="O910">
        <f t="shared" ca="1" si="843"/>
        <v>117.29685074671301</v>
      </c>
      <c r="P910">
        <f t="shared" ca="1" si="843"/>
        <v>112.84130074039038</v>
      </c>
      <c r="Q910">
        <f t="shared" ca="1" si="844"/>
        <v>119.65721831841208</v>
      </c>
      <c r="R910">
        <f t="shared" ca="1" si="845"/>
        <v>0</v>
      </c>
      <c r="S910">
        <f t="shared" ca="1" si="846"/>
        <v>0</v>
      </c>
    </row>
    <row r="911" spans="5:19" x14ac:dyDescent="0.75">
      <c r="E911">
        <v>906</v>
      </c>
      <c r="F911">
        <f t="shared" si="842"/>
        <v>100</v>
      </c>
      <c r="G911">
        <f t="shared" ca="1" si="843"/>
        <v>97.189872775959785</v>
      </c>
      <c r="H911">
        <f t="shared" ca="1" si="843"/>
        <v>95.889984972513744</v>
      </c>
      <c r="I911">
        <f t="shared" ca="1" si="843"/>
        <v>97.613934221754178</v>
      </c>
      <c r="J911">
        <f t="shared" ca="1" si="843"/>
        <v>101.70864678125854</v>
      </c>
      <c r="K911">
        <f t="shared" ca="1" si="843"/>
        <v>105.6688572589587</v>
      </c>
      <c r="L911">
        <f t="shared" ca="1" si="843"/>
        <v>112.44681236204111</v>
      </c>
      <c r="M911">
        <f t="shared" ca="1" si="843"/>
        <v>115.7577181487293</v>
      </c>
      <c r="N911">
        <f t="shared" ca="1" si="843"/>
        <v>110.55061804502427</v>
      </c>
      <c r="O911">
        <f t="shared" ca="1" si="843"/>
        <v>109.24308041382319</v>
      </c>
      <c r="P911">
        <f t="shared" ca="1" si="843"/>
        <v>104.4968368383561</v>
      </c>
      <c r="Q911">
        <f t="shared" ca="1" si="844"/>
        <v>115.7577181487293</v>
      </c>
      <c r="R911">
        <f t="shared" ca="1" si="845"/>
        <v>0</v>
      </c>
      <c r="S911">
        <f t="shared" ca="1" si="846"/>
        <v>0</v>
      </c>
    </row>
    <row r="912" spans="5:19" x14ac:dyDescent="0.75">
      <c r="E912">
        <v>907</v>
      </c>
      <c r="F912">
        <f t="shared" si="842"/>
        <v>100</v>
      </c>
      <c r="G912">
        <f t="shared" ca="1" si="843"/>
        <v>102.03982983456663</v>
      </c>
      <c r="H912">
        <f t="shared" ca="1" si="843"/>
        <v>100.60174375572196</v>
      </c>
      <c r="I912">
        <f t="shared" ca="1" si="843"/>
        <v>107.95426360017987</v>
      </c>
      <c r="J912">
        <f t="shared" ref="J912:P912" ca="1" si="847">I912*EXP(($C$6-0.5*$C$7^2)*$C$12+$C$7*SQRT($C$12)*NORMINV(RAND(),0,1))</f>
        <v>115.64863774851773</v>
      </c>
      <c r="K912">
        <f t="shared" ca="1" si="847"/>
        <v>110.55872055081743</v>
      </c>
      <c r="L912">
        <f t="shared" ca="1" si="847"/>
        <v>110.29518263495598</v>
      </c>
      <c r="M912">
        <f t="shared" ca="1" si="847"/>
        <v>109.78323769190848</v>
      </c>
      <c r="N912">
        <f t="shared" ca="1" si="847"/>
        <v>111.04623518203543</v>
      </c>
      <c r="O912">
        <f t="shared" ca="1" si="847"/>
        <v>108.90800112466482</v>
      </c>
      <c r="P912">
        <f t="shared" ca="1" si="847"/>
        <v>111.03330758709365</v>
      </c>
      <c r="Q912">
        <f t="shared" ca="1" si="844"/>
        <v>115.64863774851773</v>
      </c>
      <c r="R912">
        <f t="shared" ca="1" si="845"/>
        <v>0</v>
      </c>
      <c r="S912">
        <f t="shared" ca="1" si="846"/>
        <v>0</v>
      </c>
    </row>
    <row r="913" spans="5:19" x14ac:dyDescent="0.75">
      <c r="E913">
        <v>908</v>
      </c>
      <c r="F913">
        <f t="shared" si="842"/>
        <v>100</v>
      </c>
      <c r="G913">
        <f t="shared" ca="1" si="843"/>
        <v>99.224449055149265</v>
      </c>
      <c r="H913">
        <f t="shared" ca="1" si="843"/>
        <v>102.77156076425776</v>
      </c>
      <c r="I913">
        <f t="shared" ca="1" si="843"/>
        <v>103.28947014099974</v>
      </c>
      <c r="J913">
        <f t="shared" ref="J913:P913" ca="1" si="848">I913*EXP(($C$6-0.5*$C$7^2)*$C$12+$C$7*SQRT($C$12)*NORMINV(RAND(),0,1))</f>
        <v>103.28359117427476</v>
      </c>
      <c r="K913">
        <f t="shared" ca="1" si="848"/>
        <v>99.764323790696722</v>
      </c>
      <c r="L913">
        <f t="shared" ca="1" si="848"/>
        <v>97.556299795203969</v>
      </c>
      <c r="M913">
        <f t="shared" ca="1" si="848"/>
        <v>98.876434006062624</v>
      </c>
      <c r="N913">
        <f t="shared" ca="1" si="848"/>
        <v>95.708520670630392</v>
      </c>
      <c r="O913">
        <f t="shared" ca="1" si="848"/>
        <v>102.06823703232618</v>
      </c>
      <c r="P913">
        <f t="shared" ca="1" si="848"/>
        <v>104.20019511055752</v>
      </c>
      <c r="Q913">
        <f t="shared" ca="1" si="844"/>
        <v>104.20019511055752</v>
      </c>
      <c r="R913">
        <f t="shared" ca="1" si="845"/>
        <v>2.2001951105575159</v>
      </c>
      <c r="S913">
        <f t="shared" ca="1" si="846"/>
        <v>2.1458720997230185</v>
      </c>
    </row>
    <row r="914" spans="5:19" x14ac:dyDescent="0.75">
      <c r="E914">
        <v>909</v>
      </c>
      <c r="F914">
        <f t="shared" si="842"/>
        <v>100</v>
      </c>
      <c r="G914">
        <f t="shared" ca="1" si="843"/>
        <v>95.37211793509789</v>
      </c>
      <c r="H914">
        <f t="shared" ca="1" si="843"/>
        <v>88.202145999352112</v>
      </c>
      <c r="I914">
        <f t="shared" ca="1" si="843"/>
        <v>82.808441693023767</v>
      </c>
      <c r="J914">
        <f t="shared" ref="J914:P914" ca="1" si="849">I914*EXP(($C$6-0.5*$C$7^2)*$C$12+$C$7*SQRT($C$12)*NORMINV(RAND(),0,1))</f>
        <v>84.664582033699219</v>
      </c>
      <c r="K914">
        <f t="shared" ca="1" si="849"/>
        <v>86.973209487168802</v>
      </c>
      <c r="L914">
        <f t="shared" ca="1" si="849"/>
        <v>80.551573485607321</v>
      </c>
      <c r="M914">
        <f t="shared" ca="1" si="849"/>
        <v>87.095675767675971</v>
      </c>
      <c r="N914">
        <f t="shared" ca="1" si="849"/>
        <v>83.4204446532746</v>
      </c>
      <c r="O914">
        <f t="shared" ca="1" si="849"/>
        <v>87.195782741142835</v>
      </c>
      <c r="P914">
        <f t="shared" ca="1" si="849"/>
        <v>81.773836308198511</v>
      </c>
      <c r="Q914">
        <f t="shared" ca="1" si="844"/>
        <v>95.37211793509789</v>
      </c>
      <c r="R914">
        <f t="shared" ca="1" si="845"/>
        <v>0</v>
      </c>
      <c r="S914">
        <f t="shared" ca="1" si="846"/>
        <v>0</v>
      </c>
    </row>
    <row r="915" spans="5:19" x14ac:dyDescent="0.75">
      <c r="E915">
        <v>910</v>
      </c>
      <c r="F915">
        <f t="shared" si="842"/>
        <v>100</v>
      </c>
      <c r="G915">
        <f t="shared" ca="1" si="843"/>
        <v>100.9660389160957</v>
      </c>
      <c r="H915">
        <f t="shared" ca="1" si="843"/>
        <v>105.01260423845977</v>
      </c>
      <c r="I915">
        <f t="shared" ca="1" si="843"/>
        <v>105.72057292987098</v>
      </c>
      <c r="J915">
        <f t="shared" ref="J915:P915" ca="1" si="850">I915*EXP(($C$6-0.5*$C$7^2)*$C$12+$C$7*SQRT($C$12)*NORMINV(RAND(),0,1))</f>
        <v>104.53868881426158</v>
      </c>
      <c r="K915">
        <f t="shared" ca="1" si="850"/>
        <v>104.80979584130772</v>
      </c>
      <c r="L915">
        <f t="shared" ca="1" si="850"/>
        <v>110.48031445242096</v>
      </c>
      <c r="M915">
        <f t="shared" ca="1" si="850"/>
        <v>100.170508152803</v>
      </c>
      <c r="N915">
        <f t="shared" ca="1" si="850"/>
        <v>107.78173968096402</v>
      </c>
      <c r="O915">
        <f t="shared" ca="1" si="850"/>
        <v>101.73829361117382</v>
      </c>
      <c r="P915">
        <f t="shared" ca="1" si="850"/>
        <v>114.31832768148554</v>
      </c>
      <c r="Q915">
        <f t="shared" ca="1" si="844"/>
        <v>114.31832768148554</v>
      </c>
      <c r="R915">
        <f t="shared" ca="1" si="845"/>
        <v>0</v>
      </c>
      <c r="S915">
        <f t="shared" ca="1" si="846"/>
        <v>0</v>
      </c>
    </row>
    <row r="916" spans="5:19" x14ac:dyDescent="0.75">
      <c r="E916">
        <v>911</v>
      </c>
      <c r="F916">
        <f t="shared" si="842"/>
        <v>100</v>
      </c>
      <c r="G916">
        <f t="shared" ca="1" si="843"/>
        <v>105.59329385910843</v>
      </c>
      <c r="H916">
        <f t="shared" ca="1" si="843"/>
        <v>100.83027631619139</v>
      </c>
      <c r="I916">
        <f t="shared" ca="1" si="843"/>
        <v>98.266048348199917</v>
      </c>
      <c r="J916">
        <f t="shared" ref="J916:P916" ca="1" si="851">I916*EXP(($C$6-0.5*$C$7^2)*$C$12+$C$7*SQRT($C$12)*NORMINV(RAND(),0,1))</f>
        <v>99.915202683844896</v>
      </c>
      <c r="K916">
        <f t="shared" ca="1" si="851"/>
        <v>99.563396092556061</v>
      </c>
      <c r="L916">
        <f t="shared" ca="1" si="851"/>
        <v>102.26465757060052</v>
      </c>
      <c r="M916">
        <f t="shared" ca="1" si="851"/>
        <v>104.43552617419671</v>
      </c>
      <c r="N916">
        <f t="shared" ca="1" si="851"/>
        <v>101.58712778150834</v>
      </c>
      <c r="O916">
        <f t="shared" ca="1" si="851"/>
        <v>104.64196798922541</v>
      </c>
      <c r="P916">
        <f t="shared" ca="1" si="851"/>
        <v>113.1770025232282</v>
      </c>
      <c r="Q916">
        <f t="shared" ca="1" si="844"/>
        <v>113.1770025232282</v>
      </c>
      <c r="R916">
        <f t="shared" ca="1" si="845"/>
        <v>0</v>
      </c>
      <c r="S916">
        <f t="shared" ca="1" si="846"/>
        <v>0</v>
      </c>
    </row>
    <row r="917" spans="5:19" x14ac:dyDescent="0.75">
      <c r="E917">
        <v>912</v>
      </c>
      <c r="F917">
        <f t="shared" si="842"/>
        <v>100</v>
      </c>
      <c r="G917">
        <f t="shared" ca="1" si="843"/>
        <v>91.354680980738365</v>
      </c>
      <c r="H917">
        <f t="shared" ca="1" si="843"/>
        <v>97.632747813101545</v>
      </c>
      <c r="I917">
        <f t="shared" ca="1" si="843"/>
        <v>92.474097143670036</v>
      </c>
      <c r="J917">
        <f t="shared" ref="J917:P917" ca="1" si="852">I917*EXP(($C$6-0.5*$C$7^2)*$C$12+$C$7*SQRT($C$12)*NORMINV(RAND(),0,1))</f>
        <v>88.52207196780391</v>
      </c>
      <c r="K917">
        <f t="shared" ca="1" si="852"/>
        <v>82.832516554644172</v>
      </c>
      <c r="L917">
        <f t="shared" ca="1" si="852"/>
        <v>86.073921823968476</v>
      </c>
      <c r="M917">
        <f t="shared" ca="1" si="852"/>
        <v>89.646764595546372</v>
      </c>
      <c r="N917">
        <f t="shared" ca="1" si="852"/>
        <v>86.857725381719703</v>
      </c>
      <c r="O917">
        <f t="shared" ca="1" si="852"/>
        <v>92.431456712487076</v>
      </c>
      <c r="P917">
        <f t="shared" ca="1" si="852"/>
        <v>98.023877863534139</v>
      </c>
      <c r="Q917">
        <f t="shared" ca="1" si="844"/>
        <v>98.023877863534139</v>
      </c>
      <c r="R917">
        <f t="shared" ca="1" si="845"/>
        <v>0</v>
      </c>
      <c r="S917">
        <f t="shared" ca="1" si="846"/>
        <v>0</v>
      </c>
    </row>
    <row r="918" spans="5:19" x14ac:dyDescent="0.75">
      <c r="E918">
        <v>913</v>
      </c>
      <c r="F918">
        <f t="shared" si="842"/>
        <v>100</v>
      </c>
      <c r="G918">
        <f t="shared" ca="1" si="843"/>
        <v>104.25786207590887</v>
      </c>
      <c r="H918">
        <f t="shared" ca="1" si="843"/>
        <v>104.69238007096446</v>
      </c>
      <c r="I918">
        <f t="shared" ca="1" si="843"/>
        <v>99.940344309164743</v>
      </c>
      <c r="J918">
        <f t="shared" ref="J918:P918" ca="1" si="853">I918*EXP(($C$6-0.5*$C$7^2)*$C$12+$C$7*SQRT($C$12)*NORMINV(RAND(),0,1))</f>
        <v>97.168231387892206</v>
      </c>
      <c r="K918">
        <f t="shared" ca="1" si="853"/>
        <v>99.981993538195695</v>
      </c>
      <c r="L918">
        <f t="shared" ca="1" si="853"/>
        <v>103.04213561977686</v>
      </c>
      <c r="M918">
        <f t="shared" ca="1" si="853"/>
        <v>102.50426617831502</v>
      </c>
      <c r="N918">
        <f t="shared" ca="1" si="853"/>
        <v>100.34439399426552</v>
      </c>
      <c r="O918">
        <f t="shared" ca="1" si="853"/>
        <v>103.46675302124326</v>
      </c>
      <c r="P918">
        <f t="shared" ca="1" si="853"/>
        <v>98.67150422323121</v>
      </c>
      <c r="Q918">
        <f t="shared" ca="1" si="844"/>
        <v>104.69238007096446</v>
      </c>
      <c r="R918">
        <f t="shared" ca="1" si="845"/>
        <v>0</v>
      </c>
      <c r="S918">
        <f t="shared" ca="1" si="846"/>
        <v>0</v>
      </c>
    </row>
    <row r="919" spans="5:19" x14ac:dyDescent="0.75">
      <c r="E919">
        <v>914</v>
      </c>
      <c r="F919">
        <f t="shared" si="842"/>
        <v>100</v>
      </c>
      <c r="G919">
        <f t="shared" ca="1" si="843"/>
        <v>104.65203679470829</v>
      </c>
      <c r="H919">
        <f t="shared" ca="1" si="843"/>
        <v>103.36587988577263</v>
      </c>
      <c r="I919">
        <f t="shared" ca="1" si="843"/>
        <v>105.73348249212411</v>
      </c>
      <c r="J919">
        <f t="shared" ref="J919:P919" ca="1" si="854">I919*EXP(($C$6-0.5*$C$7^2)*$C$12+$C$7*SQRT($C$12)*NORMINV(RAND(),0,1))</f>
        <v>102.64402588607526</v>
      </c>
      <c r="K919">
        <f t="shared" ca="1" si="854"/>
        <v>99.947967084058007</v>
      </c>
      <c r="L919">
        <f t="shared" ca="1" si="854"/>
        <v>107.05530645307459</v>
      </c>
      <c r="M919">
        <f t="shared" ca="1" si="854"/>
        <v>110.36265802490865</v>
      </c>
      <c r="N919">
        <f t="shared" ca="1" si="854"/>
        <v>112.37555813647093</v>
      </c>
      <c r="O919">
        <f t="shared" ca="1" si="854"/>
        <v>112.85668797947368</v>
      </c>
      <c r="P919">
        <f t="shared" ca="1" si="854"/>
        <v>113.15967448677732</v>
      </c>
      <c r="Q919">
        <f t="shared" ca="1" si="844"/>
        <v>113.15967448677732</v>
      </c>
      <c r="R919">
        <f t="shared" ca="1" si="845"/>
        <v>0</v>
      </c>
      <c r="S919">
        <f t="shared" ca="1" si="846"/>
        <v>0</v>
      </c>
    </row>
    <row r="920" spans="5:19" x14ac:dyDescent="0.75">
      <c r="E920">
        <v>915</v>
      </c>
      <c r="F920">
        <f t="shared" si="842"/>
        <v>100</v>
      </c>
      <c r="G920">
        <f t="shared" ca="1" si="843"/>
        <v>106.5684944906625</v>
      </c>
      <c r="H920">
        <f t="shared" ca="1" si="843"/>
        <v>104.03799272114664</v>
      </c>
      <c r="I920">
        <f t="shared" ca="1" si="843"/>
        <v>102.72324287748842</v>
      </c>
      <c r="J920">
        <f t="shared" ref="J920:P920" ca="1" si="855">I920*EXP(($C$6-0.5*$C$7^2)*$C$12+$C$7*SQRT($C$12)*NORMINV(RAND(),0,1))</f>
        <v>99.929457722031302</v>
      </c>
      <c r="K920">
        <f t="shared" ca="1" si="855"/>
        <v>100.60939661930246</v>
      </c>
      <c r="L920">
        <f t="shared" ca="1" si="855"/>
        <v>97.03438934911874</v>
      </c>
      <c r="M920">
        <f t="shared" ca="1" si="855"/>
        <v>98.977625279629919</v>
      </c>
      <c r="N920">
        <f t="shared" ca="1" si="855"/>
        <v>95.451087995312406</v>
      </c>
      <c r="O920">
        <f t="shared" ca="1" si="855"/>
        <v>95.033394743248564</v>
      </c>
      <c r="P920">
        <f t="shared" ca="1" si="855"/>
        <v>99.047855729403679</v>
      </c>
      <c r="Q920">
        <f t="shared" ca="1" si="844"/>
        <v>106.5684944906625</v>
      </c>
      <c r="R920">
        <f t="shared" ca="1" si="845"/>
        <v>0</v>
      </c>
      <c r="S920">
        <f t="shared" ca="1" si="846"/>
        <v>0</v>
      </c>
    </row>
    <row r="921" spans="5:19" x14ac:dyDescent="0.75">
      <c r="E921">
        <v>916</v>
      </c>
      <c r="F921">
        <f t="shared" si="842"/>
        <v>100</v>
      </c>
      <c r="G921">
        <f t="shared" ca="1" si="843"/>
        <v>97.599623503652538</v>
      </c>
      <c r="H921">
        <f t="shared" ca="1" si="843"/>
        <v>96.838901938894637</v>
      </c>
      <c r="I921">
        <f t="shared" ca="1" si="843"/>
        <v>97.90295289140596</v>
      </c>
      <c r="J921">
        <f t="shared" ref="J921:P921" ca="1" si="856">I921*EXP(($C$6-0.5*$C$7^2)*$C$12+$C$7*SQRT($C$12)*NORMINV(RAND(),0,1))</f>
        <v>98.569834680271626</v>
      </c>
      <c r="K921">
        <f t="shared" ca="1" si="856"/>
        <v>89.733469223852083</v>
      </c>
      <c r="L921">
        <f t="shared" ca="1" si="856"/>
        <v>97.598795946703731</v>
      </c>
      <c r="M921">
        <f t="shared" ca="1" si="856"/>
        <v>99.187500267349165</v>
      </c>
      <c r="N921">
        <f t="shared" ca="1" si="856"/>
        <v>98.527102372489125</v>
      </c>
      <c r="O921">
        <f t="shared" ca="1" si="856"/>
        <v>98.185479268682528</v>
      </c>
      <c r="P921">
        <f t="shared" ca="1" si="856"/>
        <v>91.28018332640967</v>
      </c>
      <c r="Q921">
        <f t="shared" ca="1" si="844"/>
        <v>99.187500267349165</v>
      </c>
      <c r="R921">
        <f t="shared" ca="1" si="845"/>
        <v>0</v>
      </c>
      <c r="S921">
        <f t="shared" ca="1" si="846"/>
        <v>0</v>
      </c>
    </row>
    <row r="922" spans="5:19" x14ac:dyDescent="0.75">
      <c r="E922">
        <v>917</v>
      </c>
      <c r="F922">
        <f t="shared" si="842"/>
        <v>100</v>
      </c>
      <c r="G922">
        <f t="shared" ca="1" si="843"/>
        <v>99.876559192641864</v>
      </c>
      <c r="H922">
        <f t="shared" ca="1" si="843"/>
        <v>93.681468987083264</v>
      </c>
      <c r="I922">
        <f t="shared" ca="1" si="843"/>
        <v>95.965111428422048</v>
      </c>
      <c r="J922">
        <f t="shared" ref="J922:P922" ca="1" si="857">I922*EXP(($C$6-0.5*$C$7^2)*$C$12+$C$7*SQRT($C$12)*NORMINV(RAND(),0,1))</f>
        <v>100.53079420598529</v>
      </c>
      <c r="K922">
        <f t="shared" ca="1" si="857"/>
        <v>99.117546748879292</v>
      </c>
      <c r="L922">
        <f t="shared" ca="1" si="857"/>
        <v>92.972764772080851</v>
      </c>
      <c r="M922">
        <f t="shared" ca="1" si="857"/>
        <v>99.13753818880889</v>
      </c>
      <c r="N922">
        <f t="shared" ca="1" si="857"/>
        <v>100.51942108111784</v>
      </c>
      <c r="O922">
        <f t="shared" ca="1" si="857"/>
        <v>93.801626207507496</v>
      </c>
      <c r="P922">
        <f t="shared" ca="1" si="857"/>
        <v>96.059858519421198</v>
      </c>
      <c r="Q922">
        <f t="shared" ca="1" si="844"/>
        <v>100.53079420598529</v>
      </c>
      <c r="R922">
        <f t="shared" ca="1" si="845"/>
        <v>0</v>
      </c>
      <c r="S922">
        <f t="shared" ca="1" si="846"/>
        <v>0</v>
      </c>
    </row>
    <row r="923" spans="5:19" x14ac:dyDescent="0.75">
      <c r="E923">
        <v>918</v>
      </c>
      <c r="F923">
        <f t="shared" si="842"/>
        <v>100</v>
      </c>
      <c r="G923">
        <f t="shared" ca="1" si="843"/>
        <v>105.91584627755033</v>
      </c>
      <c r="H923">
        <f t="shared" ca="1" si="843"/>
        <v>114.64209557861528</v>
      </c>
      <c r="I923">
        <f t="shared" ca="1" si="843"/>
        <v>107.98492754786812</v>
      </c>
      <c r="J923">
        <f t="shared" ref="J923:P923" ca="1" si="858">I923*EXP(($C$6-0.5*$C$7^2)*$C$12+$C$7*SQRT($C$12)*NORMINV(RAND(),0,1))</f>
        <v>109.12102598499209</v>
      </c>
      <c r="K923">
        <f t="shared" ca="1" si="858"/>
        <v>107.19429121572757</v>
      </c>
      <c r="L923">
        <f t="shared" ca="1" si="858"/>
        <v>108.54843264325089</v>
      </c>
      <c r="M923">
        <f t="shared" ca="1" si="858"/>
        <v>100.25066438606758</v>
      </c>
      <c r="N923">
        <f t="shared" ca="1" si="858"/>
        <v>96.598413226949347</v>
      </c>
      <c r="O923">
        <f t="shared" ca="1" si="858"/>
        <v>107.47485732668122</v>
      </c>
      <c r="P923">
        <f t="shared" ca="1" si="858"/>
        <v>116.48658111288675</v>
      </c>
      <c r="Q923">
        <f t="shared" ca="1" si="844"/>
        <v>116.48658111288675</v>
      </c>
      <c r="R923">
        <f t="shared" ca="1" si="845"/>
        <v>0</v>
      </c>
      <c r="S923">
        <f t="shared" ca="1" si="846"/>
        <v>0</v>
      </c>
    </row>
    <row r="924" spans="5:19" x14ac:dyDescent="0.75">
      <c r="E924">
        <v>919</v>
      </c>
      <c r="F924">
        <f t="shared" si="842"/>
        <v>100</v>
      </c>
      <c r="G924">
        <f t="shared" ca="1" si="843"/>
        <v>93.197357824470501</v>
      </c>
      <c r="H924">
        <f t="shared" ca="1" si="843"/>
        <v>97.035187024340274</v>
      </c>
      <c r="I924">
        <f t="shared" ca="1" si="843"/>
        <v>92.434605549172815</v>
      </c>
      <c r="J924">
        <f t="shared" ref="J924:P924" ca="1" si="859">I924*EXP(($C$6-0.5*$C$7^2)*$C$12+$C$7*SQRT($C$12)*NORMINV(RAND(),0,1))</f>
        <v>89.382061373032002</v>
      </c>
      <c r="K924">
        <f t="shared" ca="1" si="859"/>
        <v>89.521836733273247</v>
      </c>
      <c r="L924">
        <f t="shared" ca="1" si="859"/>
        <v>91.482226451738214</v>
      </c>
      <c r="M924">
        <f t="shared" ca="1" si="859"/>
        <v>85.626132937689235</v>
      </c>
      <c r="N924">
        <f t="shared" ca="1" si="859"/>
        <v>78.265711827252829</v>
      </c>
      <c r="O924">
        <f t="shared" ca="1" si="859"/>
        <v>76.97690504614539</v>
      </c>
      <c r="P924">
        <f t="shared" ca="1" si="859"/>
        <v>69.080520801169499</v>
      </c>
      <c r="Q924">
        <f t="shared" ca="1" si="844"/>
        <v>97.035187024340274</v>
      </c>
      <c r="R924">
        <f t="shared" ca="1" si="845"/>
        <v>0</v>
      </c>
      <c r="S924">
        <f t="shared" ca="1" si="846"/>
        <v>0</v>
      </c>
    </row>
    <row r="925" spans="5:19" x14ac:dyDescent="0.75">
      <c r="E925">
        <v>920</v>
      </c>
      <c r="F925">
        <f t="shared" si="842"/>
        <v>100</v>
      </c>
      <c r="G925">
        <f t="shared" ca="1" si="843"/>
        <v>97.325961255303667</v>
      </c>
      <c r="H925">
        <f t="shared" ca="1" si="843"/>
        <v>98.065911201134057</v>
      </c>
      <c r="I925">
        <f t="shared" ca="1" si="843"/>
        <v>94.816524872264679</v>
      </c>
      <c r="J925">
        <f t="shared" ref="J925:P925" ca="1" si="860">I925*EXP(($C$6-0.5*$C$7^2)*$C$12+$C$7*SQRT($C$12)*NORMINV(RAND(),0,1))</f>
        <v>91.671752845421651</v>
      </c>
      <c r="K925">
        <f t="shared" ca="1" si="860"/>
        <v>98.425464859610855</v>
      </c>
      <c r="L925">
        <f t="shared" ca="1" si="860"/>
        <v>100.50722899747386</v>
      </c>
      <c r="M925">
        <f t="shared" ca="1" si="860"/>
        <v>101.46865202724111</v>
      </c>
      <c r="N925">
        <f t="shared" ca="1" si="860"/>
        <v>103.9735903380482</v>
      </c>
      <c r="O925">
        <f t="shared" ca="1" si="860"/>
        <v>104.67716673522872</v>
      </c>
      <c r="P925">
        <f t="shared" ca="1" si="860"/>
        <v>92.970729335626459</v>
      </c>
      <c r="Q925">
        <f t="shared" ca="1" si="844"/>
        <v>104.67716673522872</v>
      </c>
      <c r="R925">
        <f t="shared" ca="1" si="845"/>
        <v>0</v>
      </c>
      <c r="S925">
        <f t="shared" ca="1" si="846"/>
        <v>0</v>
      </c>
    </row>
    <row r="926" spans="5:19" x14ac:dyDescent="0.75">
      <c r="E926">
        <v>921</v>
      </c>
      <c r="F926">
        <f t="shared" si="842"/>
        <v>100</v>
      </c>
      <c r="G926">
        <f t="shared" ca="1" si="843"/>
        <v>97.770340710907192</v>
      </c>
      <c r="H926">
        <f t="shared" ca="1" si="843"/>
        <v>94.2378511086754</v>
      </c>
      <c r="I926">
        <f t="shared" ca="1" si="843"/>
        <v>95.260183550617484</v>
      </c>
      <c r="J926">
        <f t="shared" ref="J926:P926" ca="1" si="861">I926*EXP(($C$6-0.5*$C$7^2)*$C$12+$C$7*SQRT($C$12)*NORMINV(RAND(),0,1))</f>
        <v>97.560961655711864</v>
      </c>
      <c r="K926">
        <f t="shared" ca="1" si="861"/>
        <v>96.8796235551644</v>
      </c>
      <c r="L926">
        <f t="shared" ca="1" si="861"/>
        <v>99.394980047095743</v>
      </c>
      <c r="M926">
        <f t="shared" ca="1" si="861"/>
        <v>100.12362495505685</v>
      </c>
      <c r="N926">
        <f t="shared" ca="1" si="861"/>
        <v>100.87857459938195</v>
      </c>
      <c r="O926">
        <f t="shared" ca="1" si="861"/>
        <v>104.59850696243774</v>
      </c>
      <c r="P926">
        <f t="shared" ca="1" si="861"/>
        <v>98.998329671623793</v>
      </c>
      <c r="Q926">
        <f t="shared" ca="1" si="844"/>
        <v>104.59850696243774</v>
      </c>
      <c r="R926">
        <f t="shared" ca="1" si="845"/>
        <v>0</v>
      </c>
      <c r="S926">
        <f t="shared" ca="1" si="846"/>
        <v>0</v>
      </c>
    </row>
    <row r="927" spans="5:19" x14ac:dyDescent="0.75">
      <c r="E927">
        <v>922</v>
      </c>
      <c r="F927">
        <f t="shared" si="842"/>
        <v>100</v>
      </c>
      <c r="G927">
        <f t="shared" ca="1" si="843"/>
        <v>110.4608667631356</v>
      </c>
      <c r="H927">
        <f t="shared" ca="1" si="843"/>
        <v>100.1370189643003</v>
      </c>
      <c r="I927">
        <f t="shared" ca="1" si="843"/>
        <v>100.64924937957262</v>
      </c>
      <c r="J927">
        <f t="shared" ref="J927:P927" ca="1" si="862">I927*EXP(($C$6-0.5*$C$7^2)*$C$12+$C$7*SQRT($C$12)*NORMINV(RAND(),0,1))</f>
        <v>100.36222981312133</v>
      </c>
      <c r="K927">
        <f t="shared" ca="1" si="862"/>
        <v>101.93650994814608</v>
      </c>
      <c r="L927">
        <f t="shared" ca="1" si="862"/>
        <v>97.940935476752671</v>
      </c>
      <c r="M927">
        <f t="shared" ca="1" si="862"/>
        <v>100.45489958605837</v>
      </c>
      <c r="N927">
        <f t="shared" ca="1" si="862"/>
        <v>104.94246483862241</v>
      </c>
      <c r="O927">
        <f t="shared" ca="1" si="862"/>
        <v>96.994726302083976</v>
      </c>
      <c r="P927">
        <f t="shared" ca="1" si="862"/>
        <v>98.117832049435322</v>
      </c>
      <c r="Q927">
        <f t="shared" ca="1" si="844"/>
        <v>110.4608667631356</v>
      </c>
      <c r="R927">
        <f t="shared" ca="1" si="845"/>
        <v>0</v>
      </c>
      <c r="S927">
        <f t="shared" ca="1" si="846"/>
        <v>0</v>
      </c>
    </row>
    <row r="928" spans="5:19" x14ac:dyDescent="0.75">
      <c r="E928">
        <v>923</v>
      </c>
      <c r="F928">
        <f t="shared" si="842"/>
        <v>100</v>
      </c>
      <c r="G928">
        <f t="shared" ca="1" si="843"/>
        <v>94.984107900290255</v>
      </c>
      <c r="H928">
        <f t="shared" ca="1" si="843"/>
        <v>97.352404427247606</v>
      </c>
      <c r="I928">
        <f t="shared" ca="1" si="843"/>
        <v>98.683770483524626</v>
      </c>
      <c r="J928">
        <f t="shared" ref="J928:P928" ca="1" si="863">I928*EXP(($C$6-0.5*$C$7^2)*$C$12+$C$7*SQRT($C$12)*NORMINV(RAND(),0,1))</f>
        <v>95.7275976393029</v>
      </c>
      <c r="K928">
        <f t="shared" ca="1" si="863"/>
        <v>98.794647002627002</v>
      </c>
      <c r="L928">
        <f t="shared" ca="1" si="863"/>
        <v>97.944455596819523</v>
      </c>
      <c r="M928">
        <f t="shared" ca="1" si="863"/>
        <v>91.433827238802849</v>
      </c>
      <c r="N928">
        <f t="shared" ca="1" si="863"/>
        <v>87.619393580712881</v>
      </c>
      <c r="O928">
        <f t="shared" ca="1" si="863"/>
        <v>82.666187275047889</v>
      </c>
      <c r="P928">
        <f t="shared" ca="1" si="863"/>
        <v>83.003095838443343</v>
      </c>
      <c r="Q928">
        <f t="shared" ca="1" si="844"/>
        <v>98.794647002627002</v>
      </c>
      <c r="R928">
        <f t="shared" ca="1" si="845"/>
        <v>0</v>
      </c>
      <c r="S928">
        <f t="shared" ca="1" si="846"/>
        <v>0</v>
      </c>
    </row>
    <row r="929" spans="5:19" x14ac:dyDescent="0.75">
      <c r="E929">
        <v>924</v>
      </c>
      <c r="F929">
        <f t="shared" si="842"/>
        <v>100</v>
      </c>
      <c r="G929">
        <f t="shared" ca="1" si="843"/>
        <v>90.449577379403507</v>
      </c>
      <c r="H929">
        <f t="shared" ca="1" si="843"/>
        <v>97.628170555835723</v>
      </c>
      <c r="I929">
        <f t="shared" ca="1" si="843"/>
        <v>98.878011179751425</v>
      </c>
      <c r="J929">
        <f t="shared" ref="J929:P929" ca="1" si="864">I929*EXP(($C$6-0.5*$C$7^2)*$C$12+$C$7*SQRT($C$12)*NORMINV(RAND(),0,1))</f>
        <v>92.2573087927166</v>
      </c>
      <c r="K929">
        <f t="shared" ca="1" si="864"/>
        <v>98.506735134122906</v>
      </c>
      <c r="L929">
        <f t="shared" ca="1" si="864"/>
        <v>90.998479867612744</v>
      </c>
      <c r="M929">
        <f t="shared" ca="1" si="864"/>
        <v>82.275607109588506</v>
      </c>
      <c r="N929">
        <f t="shared" ca="1" si="864"/>
        <v>84.183672069103139</v>
      </c>
      <c r="O929">
        <f t="shared" ca="1" si="864"/>
        <v>81.047384249753193</v>
      </c>
      <c r="P929">
        <f t="shared" ca="1" si="864"/>
        <v>84.068408668390887</v>
      </c>
      <c r="Q929">
        <f t="shared" ca="1" si="844"/>
        <v>98.878011179751425</v>
      </c>
      <c r="R929">
        <f t="shared" ca="1" si="845"/>
        <v>0</v>
      </c>
      <c r="S929">
        <f t="shared" ca="1" si="846"/>
        <v>0</v>
      </c>
    </row>
    <row r="930" spans="5:19" x14ac:dyDescent="0.75">
      <c r="E930">
        <v>925</v>
      </c>
      <c r="F930">
        <f t="shared" si="842"/>
        <v>100</v>
      </c>
      <c r="G930">
        <f t="shared" ca="1" si="843"/>
        <v>99.568793741693142</v>
      </c>
      <c r="H930">
        <f t="shared" ca="1" si="843"/>
        <v>106.01282877321557</v>
      </c>
      <c r="I930">
        <f t="shared" ca="1" si="843"/>
        <v>105.56890172115719</v>
      </c>
      <c r="J930">
        <f t="shared" ref="J930:P930" ca="1" si="865">I930*EXP(($C$6-0.5*$C$7^2)*$C$12+$C$7*SQRT($C$12)*NORMINV(RAND(),0,1))</f>
        <v>102.22406560370695</v>
      </c>
      <c r="K930">
        <f t="shared" ca="1" si="865"/>
        <v>104.51973941824008</v>
      </c>
      <c r="L930">
        <f t="shared" ca="1" si="865"/>
        <v>111.81531633254829</v>
      </c>
      <c r="M930">
        <f t="shared" ca="1" si="865"/>
        <v>118.5490093053053</v>
      </c>
      <c r="N930">
        <f t="shared" ca="1" si="865"/>
        <v>115.8309682845094</v>
      </c>
      <c r="O930">
        <f t="shared" ca="1" si="865"/>
        <v>113.34947652195847</v>
      </c>
      <c r="P930">
        <f t="shared" ca="1" si="865"/>
        <v>108.82353708715252</v>
      </c>
      <c r="Q930">
        <f t="shared" ca="1" si="844"/>
        <v>118.5490093053053</v>
      </c>
      <c r="R930">
        <f t="shared" ca="1" si="845"/>
        <v>0</v>
      </c>
      <c r="S930">
        <f t="shared" ca="1" si="846"/>
        <v>0</v>
      </c>
    </row>
    <row r="931" spans="5:19" x14ac:dyDescent="0.75">
      <c r="E931">
        <v>926</v>
      </c>
      <c r="F931">
        <f t="shared" si="842"/>
        <v>100</v>
      </c>
      <c r="G931">
        <f t="shared" ca="1" si="843"/>
        <v>100.60040108826844</v>
      </c>
      <c r="H931">
        <f t="shared" ca="1" si="843"/>
        <v>106.14107388421881</v>
      </c>
      <c r="I931">
        <f t="shared" ca="1" si="843"/>
        <v>101.77228404660669</v>
      </c>
      <c r="J931">
        <f t="shared" ref="J931:P931" ca="1" si="866">I931*EXP(($C$6-0.5*$C$7^2)*$C$12+$C$7*SQRT($C$12)*NORMINV(RAND(),0,1))</f>
        <v>103.40548051052275</v>
      </c>
      <c r="K931">
        <f t="shared" ca="1" si="866"/>
        <v>107.9701102084953</v>
      </c>
      <c r="L931">
        <f t="shared" ca="1" si="866"/>
        <v>107.35958604299834</v>
      </c>
      <c r="M931">
        <f t="shared" ca="1" si="866"/>
        <v>110.70420974556839</v>
      </c>
      <c r="N931">
        <f t="shared" ca="1" si="866"/>
        <v>107.9689338023539</v>
      </c>
      <c r="O931">
        <f t="shared" ca="1" si="866"/>
        <v>104.07571261114123</v>
      </c>
      <c r="P931">
        <f t="shared" ca="1" si="866"/>
        <v>105.11892514391494</v>
      </c>
      <c r="Q931">
        <f t="shared" ca="1" si="844"/>
        <v>110.70420974556839</v>
      </c>
      <c r="R931">
        <f t="shared" ca="1" si="845"/>
        <v>0</v>
      </c>
      <c r="S931">
        <f t="shared" ca="1" si="846"/>
        <v>0</v>
      </c>
    </row>
    <row r="932" spans="5:19" x14ac:dyDescent="0.75">
      <c r="E932">
        <v>927</v>
      </c>
      <c r="F932">
        <f t="shared" si="842"/>
        <v>100</v>
      </c>
      <c r="G932">
        <f t="shared" ca="1" si="843"/>
        <v>105.13597523860012</v>
      </c>
      <c r="H932">
        <f t="shared" ca="1" si="843"/>
        <v>98.167574702422726</v>
      </c>
      <c r="I932">
        <f t="shared" ca="1" si="843"/>
        <v>97.159364321351759</v>
      </c>
      <c r="J932">
        <f t="shared" ref="J932:P932" ca="1" si="867">I932*EXP(($C$6-0.5*$C$7^2)*$C$12+$C$7*SQRT($C$12)*NORMINV(RAND(),0,1))</f>
        <v>91.203924260377363</v>
      </c>
      <c r="K932">
        <f t="shared" ca="1" si="867"/>
        <v>83.037328548411594</v>
      </c>
      <c r="L932">
        <f t="shared" ca="1" si="867"/>
        <v>84.690910920533057</v>
      </c>
      <c r="M932">
        <f t="shared" ca="1" si="867"/>
        <v>87.119072358183928</v>
      </c>
      <c r="N932">
        <f t="shared" ca="1" si="867"/>
        <v>96.88097591044172</v>
      </c>
      <c r="O932">
        <f t="shared" ca="1" si="867"/>
        <v>93.47182481388991</v>
      </c>
      <c r="P932">
        <f t="shared" ca="1" si="867"/>
        <v>93.825662248880505</v>
      </c>
      <c r="Q932">
        <f t="shared" ca="1" si="844"/>
        <v>105.13597523860012</v>
      </c>
      <c r="R932">
        <f t="shared" ca="1" si="845"/>
        <v>0</v>
      </c>
      <c r="S932">
        <f t="shared" ca="1" si="846"/>
        <v>0</v>
      </c>
    </row>
    <row r="933" spans="5:19" x14ac:dyDescent="0.75">
      <c r="E933">
        <v>928</v>
      </c>
      <c r="F933">
        <f t="shared" si="842"/>
        <v>100</v>
      </c>
      <c r="G933">
        <f t="shared" ca="1" si="843"/>
        <v>108.05361905920807</v>
      </c>
      <c r="H933">
        <f t="shared" ca="1" si="843"/>
        <v>109.49248657336099</v>
      </c>
      <c r="I933">
        <f t="shared" ca="1" si="843"/>
        <v>111.30570409257518</v>
      </c>
      <c r="J933">
        <f t="shared" ref="J933:P933" ca="1" si="868">I933*EXP(($C$6-0.5*$C$7^2)*$C$12+$C$7*SQRT($C$12)*NORMINV(RAND(),0,1))</f>
        <v>104.2807210619555</v>
      </c>
      <c r="K933">
        <f t="shared" ca="1" si="868"/>
        <v>99.537679301839574</v>
      </c>
      <c r="L933">
        <f t="shared" ca="1" si="868"/>
        <v>104.20362658035059</v>
      </c>
      <c r="M933">
        <f t="shared" ca="1" si="868"/>
        <v>104.7769198996984</v>
      </c>
      <c r="N933">
        <f t="shared" ca="1" si="868"/>
        <v>109.14588002957356</v>
      </c>
      <c r="O933">
        <f t="shared" ca="1" si="868"/>
        <v>104.73526041196425</v>
      </c>
      <c r="P933">
        <f t="shared" ca="1" si="868"/>
        <v>111.30842593612913</v>
      </c>
      <c r="Q933">
        <f t="shared" ca="1" si="844"/>
        <v>111.30842593612913</v>
      </c>
      <c r="R933">
        <f t="shared" ca="1" si="845"/>
        <v>0</v>
      </c>
      <c r="S933">
        <f t="shared" ca="1" si="846"/>
        <v>0</v>
      </c>
    </row>
    <row r="934" spans="5:19" x14ac:dyDescent="0.75">
      <c r="E934">
        <v>929</v>
      </c>
      <c r="F934">
        <f t="shared" si="842"/>
        <v>100</v>
      </c>
      <c r="G934">
        <f t="shared" ca="1" si="843"/>
        <v>100.40019932736048</v>
      </c>
      <c r="H934">
        <f t="shared" ca="1" si="843"/>
        <v>103.84856029145284</v>
      </c>
      <c r="I934">
        <f t="shared" ca="1" si="843"/>
        <v>97.450398122332146</v>
      </c>
      <c r="J934">
        <f t="shared" ref="J934:P934" ca="1" si="869">I934*EXP(($C$6-0.5*$C$7^2)*$C$12+$C$7*SQRT($C$12)*NORMINV(RAND(),0,1))</f>
        <v>100.04124671697426</v>
      </c>
      <c r="K934">
        <f t="shared" ca="1" si="869"/>
        <v>100.85959857957135</v>
      </c>
      <c r="L934">
        <f t="shared" ca="1" si="869"/>
        <v>89.104879012385226</v>
      </c>
      <c r="M934">
        <f t="shared" ca="1" si="869"/>
        <v>85.029047045627806</v>
      </c>
      <c r="N934">
        <f t="shared" ca="1" si="869"/>
        <v>82.228820962843159</v>
      </c>
      <c r="O934">
        <f t="shared" ca="1" si="869"/>
        <v>77.881002198192675</v>
      </c>
      <c r="P934">
        <f t="shared" ca="1" si="869"/>
        <v>77.977890273824116</v>
      </c>
      <c r="Q934">
        <f t="shared" ca="1" si="844"/>
        <v>103.84856029145284</v>
      </c>
      <c r="R934">
        <f t="shared" ca="1" si="845"/>
        <v>0</v>
      </c>
      <c r="S934">
        <f t="shared" ca="1" si="846"/>
        <v>0</v>
      </c>
    </row>
    <row r="935" spans="5:19" x14ac:dyDescent="0.75">
      <c r="E935">
        <v>930</v>
      </c>
      <c r="F935">
        <f t="shared" si="842"/>
        <v>100</v>
      </c>
      <c r="G935">
        <f t="shared" ca="1" si="843"/>
        <v>94.36206887333411</v>
      </c>
      <c r="H935">
        <f t="shared" ca="1" si="843"/>
        <v>107.67222831907621</v>
      </c>
      <c r="I935">
        <f t="shared" ca="1" si="843"/>
        <v>108.82455171399258</v>
      </c>
      <c r="J935">
        <f t="shared" ref="J935:P935" ca="1" si="870">I935*EXP(($C$6-0.5*$C$7^2)*$C$12+$C$7*SQRT($C$12)*NORMINV(RAND(),0,1))</f>
        <v>120.18931532190371</v>
      </c>
      <c r="K935">
        <f t="shared" ca="1" si="870"/>
        <v>122.32785282565989</v>
      </c>
      <c r="L935">
        <f t="shared" ca="1" si="870"/>
        <v>120.6988093026941</v>
      </c>
      <c r="M935">
        <f t="shared" ca="1" si="870"/>
        <v>124.15769138049744</v>
      </c>
      <c r="N935">
        <f t="shared" ca="1" si="870"/>
        <v>128.14437289969058</v>
      </c>
      <c r="O935">
        <f t="shared" ca="1" si="870"/>
        <v>128.89612101226683</v>
      </c>
      <c r="P935">
        <f t="shared" ca="1" si="870"/>
        <v>136.9715322145212</v>
      </c>
      <c r="Q935">
        <f t="shared" ca="1" si="844"/>
        <v>136.9715322145212</v>
      </c>
      <c r="R935">
        <f t="shared" ca="1" si="845"/>
        <v>0</v>
      </c>
      <c r="S935">
        <f t="shared" ca="1" si="846"/>
        <v>0</v>
      </c>
    </row>
    <row r="936" spans="5:19" x14ac:dyDescent="0.75">
      <c r="E936">
        <v>931</v>
      </c>
      <c r="F936">
        <f t="shared" si="842"/>
        <v>100</v>
      </c>
      <c r="G936">
        <f t="shared" ca="1" si="843"/>
        <v>101.93195398364554</v>
      </c>
      <c r="H936">
        <f t="shared" ca="1" si="843"/>
        <v>96.643010885421148</v>
      </c>
      <c r="I936">
        <f t="shared" ca="1" si="843"/>
        <v>102.00342129937891</v>
      </c>
      <c r="J936">
        <f t="shared" ref="J936:P936" ca="1" si="871">I936*EXP(($C$6-0.5*$C$7^2)*$C$12+$C$7*SQRT($C$12)*NORMINV(RAND(),0,1))</f>
        <v>101.14829488591403</v>
      </c>
      <c r="K936">
        <f t="shared" ca="1" si="871"/>
        <v>105.90229081843133</v>
      </c>
      <c r="L936">
        <f t="shared" ca="1" si="871"/>
        <v>116.23465693543655</v>
      </c>
      <c r="M936">
        <f t="shared" ca="1" si="871"/>
        <v>112.06009793200842</v>
      </c>
      <c r="N936">
        <f t="shared" ca="1" si="871"/>
        <v>121.18608136208063</v>
      </c>
      <c r="O936">
        <f t="shared" ca="1" si="871"/>
        <v>118.96889902703991</v>
      </c>
      <c r="P936">
        <f t="shared" ca="1" si="871"/>
        <v>112.76232128294907</v>
      </c>
      <c r="Q936">
        <f t="shared" ca="1" si="844"/>
        <v>121.18608136208063</v>
      </c>
      <c r="R936">
        <f t="shared" ca="1" si="845"/>
        <v>0</v>
      </c>
      <c r="S936">
        <f t="shared" ca="1" si="846"/>
        <v>0</v>
      </c>
    </row>
    <row r="937" spans="5:19" x14ac:dyDescent="0.75">
      <c r="E937">
        <v>932</v>
      </c>
      <c r="F937">
        <f t="shared" si="842"/>
        <v>100</v>
      </c>
      <c r="G937">
        <f t="shared" ca="1" si="843"/>
        <v>89.958308369234985</v>
      </c>
      <c r="H937">
        <f t="shared" ca="1" si="843"/>
        <v>86.260778708534531</v>
      </c>
      <c r="I937">
        <f t="shared" ca="1" si="843"/>
        <v>86.840408168670166</v>
      </c>
      <c r="J937">
        <f t="shared" ref="J937:P937" ca="1" si="872">I937*EXP(($C$6-0.5*$C$7^2)*$C$12+$C$7*SQRT($C$12)*NORMINV(RAND(),0,1))</f>
        <v>83.882798116525706</v>
      </c>
      <c r="K937">
        <f t="shared" ca="1" si="872"/>
        <v>87.439881009961809</v>
      </c>
      <c r="L937">
        <f t="shared" ca="1" si="872"/>
        <v>81.87178459763507</v>
      </c>
      <c r="M937">
        <f t="shared" ca="1" si="872"/>
        <v>80.740085738097051</v>
      </c>
      <c r="N937">
        <f t="shared" ca="1" si="872"/>
        <v>78.152201644089317</v>
      </c>
      <c r="O937">
        <f t="shared" ca="1" si="872"/>
        <v>84.189672422213789</v>
      </c>
      <c r="P937">
        <f t="shared" ca="1" si="872"/>
        <v>87.994965433179431</v>
      </c>
      <c r="Q937">
        <f t="shared" ca="1" si="844"/>
        <v>89.958308369234985</v>
      </c>
      <c r="R937">
        <f t="shared" ca="1" si="845"/>
        <v>0</v>
      </c>
      <c r="S937">
        <f t="shared" ca="1" si="846"/>
        <v>0</v>
      </c>
    </row>
    <row r="938" spans="5:19" x14ac:dyDescent="0.75">
      <c r="E938">
        <v>933</v>
      </c>
      <c r="F938">
        <f t="shared" si="842"/>
        <v>100</v>
      </c>
      <c r="G938">
        <f t="shared" ca="1" si="843"/>
        <v>110.0796267274456</v>
      </c>
      <c r="H938">
        <f t="shared" ca="1" si="843"/>
        <v>111.63658583157782</v>
      </c>
      <c r="I938">
        <f t="shared" ca="1" si="843"/>
        <v>113.68314855819027</v>
      </c>
      <c r="J938">
        <f t="shared" ref="J938:P938" ca="1" si="873">I938*EXP(($C$6-0.5*$C$7^2)*$C$12+$C$7*SQRT($C$12)*NORMINV(RAND(),0,1))</f>
        <v>123.35680470800193</v>
      </c>
      <c r="K938">
        <f t="shared" ca="1" si="873"/>
        <v>120.69425039465655</v>
      </c>
      <c r="L938">
        <f t="shared" ca="1" si="873"/>
        <v>119.39648929248197</v>
      </c>
      <c r="M938">
        <f t="shared" ca="1" si="873"/>
        <v>125.35600762668361</v>
      </c>
      <c r="N938">
        <f t="shared" ca="1" si="873"/>
        <v>128.67677792330608</v>
      </c>
      <c r="O938">
        <f t="shared" ca="1" si="873"/>
        <v>135.50280082435631</v>
      </c>
      <c r="P938">
        <f t="shared" ca="1" si="873"/>
        <v>140.12455523146849</v>
      </c>
      <c r="Q938">
        <f t="shared" ca="1" si="844"/>
        <v>140.12455523146849</v>
      </c>
      <c r="R938">
        <f t="shared" ca="1" si="845"/>
        <v>0</v>
      </c>
      <c r="S938">
        <f t="shared" ca="1" si="846"/>
        <v>0</v>
      </c>
    </row>
    <row r="939" spans="5:19" x14ac:dyDescent="0.75">
      <c r="E939">
        <v>934</v>
      </c>
      <c r="F939">
        <f t="shared" si="842"/>
        <v>100</v>
      </c>
      <c r="G939">
        <f t="shared" ca="1" si="843"/>
        <v>103.05596354417439</v>
      </c>
      <c r="H939">
        <f t="shared" ca="1" si="843"/>
        <v>110.75534234792397</v>
      </c>
      <c r="I939">
        <f t="shared" ca="1" si="843"/>
        <v>116.25506643348501</v>
      </c>
      <c r="J939">
        <f t="shared" ref="J939:P939" ca="1" si="874">I939*EXP(($C$6-0.5*$C$7^2)*$C$12+$C$7*SQRT($C$12)*NORMINV(RAND(),0,1))</f>
        <v>117.85549447155479</v>
      </c>
      <c r="K939">
        <f t="shared" ca="1" si="874"/>
        <v>114.88407233482592</v>
      </c>
      <c r="L939">
        <f t="shared" ca="1" si="874"/>
        <v>118.16725088261649</v>
      </c>
      <c r="M939">
        <f t="shared" ca="1" si="874"/>
        <v>118.00665398336453</v>
      </c>
      <c r="N939">
        <f t="shared" ca="1" si="874"/>
        <v>118.70032400623373</v>
      </c>
      <c r="O939">
        <f t="shared" ca="1" si="874"/>
        <v>122.95893434038047</v>
      </c>
      <c r="P939">
        <f t="shared" ca="1" si="874"/>
        <v>126.88898641120873</v>
      </c>
      <c r="Q939">
        <f t="shared" ca="1" si="844"/>
        <v>126.88898641120873</v>
      </c>
      <c r="R939">
        <f t="shared" ca="1" si="845"/>
        <v>0</v>
      </c>
      <c r="S939">
        <f t="shared" ca="1" si="846"/>
        <v>0</v>
      </c>
    </row>
    <row r="940" spans="5:19" x14ac:dyDescent="0.75">
      <c r="E940">
        <v>935</v>
      </c>
      <c r="F940">
        <f t="shared" si="842"/>
        <v>100</v>
      </c>
      <c r="G940">
        <f t="shared" ca="1" si="843"/>
        <v>103.91063294432361</v>
      </c>
      <c r="H940">
        <f t="shared" ca="1" si="843"/>
        <v>102.79042015532573</v>
      </c>
      <c r="I940">
        <f t="shared" ca="1" si="843"/>
        <v>108.11971190850066</v>
      </c>
      <c r="J940">
        <f t="shared" ref="J940:P940" ca="1" si="875">I940*EXP(($C$6-0.5*$C$7^2)*$C$12+$C$7*SQRT($C$12)*NORMINV(RAND(),0,1))</f>
        <v>113.66291523234118</v>
      </c>
      <c r="K940">
        <f t="shared" ca="1" si="875"/>
        <v>122.80550893982827</v>
      </c>
      <c r="L940">
        <f t="shared" ca="1" si="875"/>
        <v>119.8196723884658</v>
      </c>
      <c r="M940">
        <f t="shared" ca="1" si="875"/>
        <v>117.93601539790033</v>
      </c>
      <c r="N940">
        <f t="shared" ca="1" si="875"/>
        <v>117.53907913028232</v>
      </c>
      <c r="O940">
        <f t="shared" ca="1" si="875"/>
        <v>114.70717862198455</v>
      </c>
      <c r="P940">
        <f t="shared" ca="1" si="875"/>
        <v>111.37407154320449</v>
      </c>
      <c r="Q940">
        <f t="shared" ca="1" si="844"/>
        <v>122.80550893982827</v>
      </c>
      <c r="R940">
        <f t="shared" ca="1" si="845"/>
        <v>0</v>
      </c>
      <c r="S940">
        <f t="shared" ca="1" si="846"/>
        <v>0</v>
      </c>
    </row>
    <row r="941" spans="5:19" x14ac:dyDescent="0.75">
      <c r="E941">
        <v>936</v>
      </c>
      <c r="F941">
        <f t="shared" si="842"/>
        <v>100</v>
      </c>
      <c r="G941">
        <f t="shared" ca="1" si="843"/>
        <v>94.42459184733552</v>
      </c>
      <c r="H941">
        <f t="shared" ca="1" si="843"/>
        <v>91.45963860535791</v>
      </c>
      <c r="I941">
        <f t="shared" ca="1" si="843"/>
        <v>89.347769960731824</v>
      </c>
      <c r="J941">
        <f t="shared" ref="J941:P941" ca="1" si="876">I941*EXP(($C$6-0.5*$C$7^2)*$C$12+$C$7*SQRT($C$12)*NORMINV(RAND(),0,1))</f>
        <v>88.926902246748298</v>
      </c>
      <c r="K941">
        <f t="shared" ca="1" si="876"/>
        <v>91.639341738325811</v>
      </c>
      <c r="L941">
        <f t="shared" ca="1" si="876"/>
        <v>88.274274733476688</v>
      </c>
      <c r="M941">
        <f t="shared" ca="1" si="876"/>
        <v>90.858514694912969</v>
      </c>
      <c r="N941">
        <f t="shared" ca="1" si="876"/>
        <v>88.904948148660907</v>
      </c>
      <c r="O941">
        <f t="shared" ca="1" si="876"/>
        <v>90.512268477358191</v>
      </c>
      <c r="P941">
        <f t="shared" ca="1" si="876"/>
        <v>92.117734139801101</v>
      </c>
      <c r="Q941">
        <f t="shared" ca="1" si="844"/>
        <v>94.42459184733552</v>
      </c>
      <c r="R941">
        <f t="shared" ca="1" si="845"/>
        <v>0</v>
      </c>
      <c r="S941">
        <f t="shared" ca="1" si="846"/>
        <v>0</v>
      </c>
    </row>
    <row r="942" spans="5:19" x14ac:dyDescent="0.75">
      <c r="E942">
        <v>937</v>
      </c>
      <c r="F942">
        <f t="shared" si="842"/>
        <v>100</v>
      </c>
      <c r="G942">
        <f t="shared" ca="1" si="843"/>
        <v>102.70515136379549</v>
      </c>
      <c r="H942">
        <f t="shared" ca="1" si="843"/>
        <v>106.84902344905365</v>
      </c>
      <c r="I942">
        <f t="shared" ca="1" si="843"/>
        <v>106.57289453032199</v>
      </c>
      <c r="J942">
        <f t="shared" ref="J942:P942" ca="1" si="877">I942*EXP(($C$6-0.5*$C$7^2)*$C$12+$C$7*SQRT($C$12)*NORMINV(RAND(),0,1))</f>
        <v>120.60087127656978</v>
      </c>
      <c r="K942">
        <f t="shared" ca="1" si="877"/>
        <v>123.03475944071961</v>
      </c>
      <c r="L942">
        <f t="shared" ca="1" si="877"/>
        <v>123.16246342765076</v>
      </c>
      <c r="M942">
        <f t="shared" ca="1" si="877"/>
        <v>125.991942030421</v>
      </c>
      <c r="N942">
        <f t="shared" ca="1" si="877"/>
        <v>121.25318844668695</v>
      </c>
      <c r="O942">
        <f t="shared" ca="1" si="877"/>
        <v>125.21402004029783</v>
      </c>
      <c r="P942">
        <f t="shared" ca="1" si="877"/>
        <v>121.19514362357938</v>
      </c>
      <c r="Q942">
        <f t="shared" ca="1" si="844"/>
        <v>125.991942030421</v>
      </c>
      <c r="R942">
        <f t="shared" ca="1" si="845"/>
        <v>0</v>
      </c>
      <c r="S942">
        <f t="shared" ca="1" si="846"/>
        <v>0</v>
      </c>
    </row>
    <row r="943" spans="5:19" x14ac:dyDescent="0.75">
      <c r="E943">
        <v>938</v>
      </c>
      <c r="F943">
        <f t="shared" si="842"/>
        <v>100</v>
      </c>
      <c r="G943">
        <f t="shared" ca="1" si="843"/>
        <v>110.2134626678663</v>
      </c>
      <c r="H943">
        <f t="shared" ca="1" si="843"/>
        <v>106.25986412769375</v>
      </c>
      <c r="I943">
        <f t="shared" ca="1" si="843"/>
        <v>109.28374199394671</v>
      </c>
      <c r="J943">
        <f t="shared" ref="J943:P943" ca="1" si="878">I943*EXP(($C$6-0.5*$C$7^2)*$C$12+$C$7*SQRT($C$12)*NORMINV(RAND(),0,1))</f>
        <v>113.45113840899118</v>
      </c>
      <c r="K943">
        <f t="shared" ca="1" si="878"/>
        <v>116.77159121211528</v>
      </c>
      <c r="L943">
        <f t="shared" ca="1" si="878"/>
        <v>117.6467212008715</v>
      </c>
      <c r="M943">
        <f t="shared" ca="1" si="878"/>
        <v>116.0583883632796</v>
      </c>
      <c r="N943">
        <f t="shared" ca="1" si="878"/>
        <v>120.27840324676373</v>
      </c>
      <c r="O943">
        <f t="shared" ca="1" si="878"/>
        <v>125.69729615182666</v>
      </c>
      <c r="P943">
        <f t="shared" ca="1" si="878"/>
        <v>126.57985711368683</v>
      </c>
      <c r="Q943">
        <f t="shared" ca="1" si="844"/>
        <v>126.57985711368683</v>
      </c>
      <c r="R943">
        <f t="shared" ca="1" si="845"/>
        <v>0</v>
      </c>
      <c r="S943">
        <f t="shared" ca="1" si="846"/>
        <v>0</v>
      </c>
    </row>
    <row r="944" spans="5:19" x14ac:dyDescent="0.75">
      <c r="E944">
        <v>939</v>
      </c>
      <c r="F944">
        <f t="shared" si="842"/>
        <v>100</v>
      </c>
      <c r="G944">
        <f t="shared" ca="1" si="843"/>
        <v>95.520681104200889</v>
      </c>
      <c r="H944">
        <f t="shared" ca="1" si="843"/>
        <v>96.947221334202169</v>
      </c>
      <c r="I944">
        <f t="shared" ca="1" si="843"/>
        <v>92.320941800998582</v>
      </c>
      <c r="J944">
        <f t="shared" ref="J944:P944" ca="1" si="879">I944*EXP(($C$6-0.5*$C$7^2)*$C$12+$C$7*SQRT($C$12)*NORMINV(RAND(),0,1))</f>
        <v>85.024083454140424</v>
      </c>
      <c r="K944">
        <f t="shared" ca="1" si="879"/>
        <v>86.486195093272002</v>
      </c>
      <c r="L944">
        <f t="shared" ca="1" si="879"/>
        <v>92.30619724552605</v>
      </c>
      <c r="M944">
        <f t="shared" ca="1" si="879"/>
        <v>92.455388043178331</v>
      </c>
      <c r="N944">
        <f t="shared" ca="1" si="879"/>
        <v>87.286039821910947</v>
      </c>
      <c r="O944">
        <f t="shared" ca="1" si="879"/>
        <v>91.292424530653093</v>
      </c>
      <c r="P944">
        <f t="shared" ca="1" si="879"/>
        <v>93.820442361805704</v>
      </c>
      <c r="Q944">
        <f t="shared" ca="1" si="844"/>
        <v>96.947221334202169</v>
      </c>
      <c r="R944">
        <f t="shared" ca="1" si="845"/>
        <v>0</v>
      </c>
      <c r="S944">
        <f t="shared" ca="1" si="846"/>
        <v>0</v>
      </c>
    </row>
    <row r="945" spans="5:19" x14ac:dyDescent="0.75">
      <c r="E945">
        <v>940</v>
      </c>
      <c r="F945">
        <f t="shared" si="842"/>
        <v>100</v>
      </c>
      <c r="G945">
        <f t="shared" ca="1" si="843"/>
        <v>98.469282572796573</v>
      </c>
      <c r="H945">
        <f t="shared" ca="1" si="843"/>
        <v>98.675092686786797</v>
      </c>
      <c r="I945">
        <f t="shared" ca="1" si="843"/>
        <v>102.24298783610013</v>
      </c>
      <c r="J945">
        <f t="shared" ref="J945:P945" ca="1" si="880">I945*EXP(($C$6-0.5*$C$7^2)*$C$12+$C$7*SQRT($C$12)*NORMINV(RAND(),0,1))</f>
        <v>95.481865530916167</v>
      </c>
      <c r="K945">
        <f t="shared" ca="1" si="880"/>
        <v>93.16167149444442</v>
      </c>
      <c r="L945">
        <f t="shared" ca="1" si="880"/>
        <v>87.28263903279516</v>
      </c>
      <c r="M945">
        <f t="shared" ca="1" si="880"/>
        <v>92.628187994702856</v>
      </c>
      <c r="N945">
        <f t="shared" ca="1" si="880"/>
        <v>95.14979818460472</v>
      </c>
      <c r="O945">
        <f t="shared" ca="1" si="880"/>
        <v>93.535993921888661</v>
      </c>
      <c r="P945">
        <f t="shared" ca="1" si="880"/>
        <v>95.326916073202909</v>
      </c>
      <c r="Q945">
        <f t="shared" ca="1" si="844"/>
        <v>102.24298783610013</v>
      </c>
      <c r="R945">
        <f t="shared" ca="1" si="845"/>
        <v>0</v>
      </c>
      <c r="S945">
        <f t="shared" ca="1" si="846"/>
        <v>0</v>
      </c>
    </row>
    <row r="946" spans="5:19" x14ac:dyDescent="0.75">
      <c r="E946">
        <v>941</v>
      </c>
      <c r="F946">
        <f t="shared" si="842"/>
        <v>100</v>
      </c>
      <c r="G946">
        <f t="shared" ca="1" si="843"/>
        <v>98.269621180184316</v>
      </c>
      <c r="H946">
        <f t="shared" ca="1" si="843"/>
        <v>108.03004460717115</v>
      </c>
      <c r="I946">
        <f t="shared" ca="1" si="843"/>
        <v>106.65076383485042</v>
      </c>
      <c r="J946">
        <f t="shared" ref="J946:P946" ca="1" si="881">I946*EXP(($C$6-0.5*$C$7^2)*$C$12+$C$7*SQRT($C$12)*NORMINV(RAND(),0,1))</f>
        <v>107.62974891445231</v>
      </c>
      <c r="K946">
        <f t="shared" ca="1" si="881"/>
        <v>117.56227765881408</v>
      </c>
      <c r="L946">
        <f t="shared" ca="1" si="881"/>
        <v>120.88127521342417</v>
      </c>
      <c r="M946">
        <f t="shared" ca="1" si="881"/>
        <v>118.50865439976056</v>
      </c>
      <c r="N946">
        <f t="shared" ca="1" si="881"/>
        <v>120.10603071412049</v>
      </c>
      <c r="O946">
        <f t="shared" ca="1" si="881"/>
        <v>126.96133150580533</v>
      </c>
      <c r="P946">
        <f t="shared" ca="1" si="881"/>
        <v>125.83052260124538</v>
      </c>
      <c r="Q946">
        <f t="shared" ca="1" si="844"/>
        <v>126.96133150580533</v>
      </c>
      <c r="R946">
        <f t="shared" ca="1" si="845"/>
        <v>0</v>
      </c>
      <c r="S946">
        <f t="shared" ca="1" si="846"/>
        <v>0</v>
      </c>
    </row>
    <row r="947" spans="5:19" x14ac:dyDescent="0.75">
      <c r="E947">
        <v>942</v>
      </c>
      <c r="F947">
        <f t="shared" si="842"/>
        <v>100</v>
      </c>
      <c r="G947">
        <f t="shared" ca="1" si="843"/>
        <v>99.752479674290711</v>
      </c>
      <c r="H947">
        <f t="shared" ca="1" si="843"/>
        <v>99.129819752956976</v>
      </c>
      <c r="I947">
        <f t="shared" ca="1" si="843"/>
        <v>101.09074539499647</v>
      </c>
      <c r="J947">
        <f t="shared" ref="J947:P947" ca="1" si="882">I947*EXP(($C$6-0.5*$C$7^2)*$C$12+$C$7*SQRT($C$12)*NORMINV(RAND(),0,1))</f>
        <v>96.774251308584851</v>
      </c>
      <c r="K947">
        <f t="shared" ca="1" si="882"/>
        <v>99.410460518772652</v>
      </c>
      <c r="L947">
        <f t="shared" ca="1" si="882"/>
        <v>100.57655372698297</v>
      </c>
      <c r="M947">
        <f t="shared" ca="1" si="882"/>
        <v>93.518901797676548</v>
      </c>
      <c r="N947">
        <f t="shared" ca="1" si="882"/>
        <v>101.04491070205859</v>
      </c>
      <c r="O947">
        <f t="shared" ca="1" si="882"/>
        <v>94.05534424860214</v>
      </c>
      <c r="P947">
        <f t="shared" ca="1" si="882"/>
        <v>100.87838198555912</v>
      </c>
      <c r="Q947">
        <f t="shared" ca="1" si="844"/>
        <v>101.09074539499647</v>
      </c>
      <c r="R947">
        <f t="shared" ca="1" si="845"/>
        <v>0</v>
      </c>
      <c r="S947">
        <f t="shared" ca="1" si="846"/>
        <v>0</v>
      </c>
    </row>
    <row r="948" spans="5:19" x14ac:dyDescent="0.75">
      <c r="E948">
        <v>943</v>
      </c>
      <c r="F948">
        <f t="shared" si="842"/>
        <v>100</v>
      </c>
      <c r="G948">
        <f t="shared" ca="1" si="843"/>
        <v>105.06797562625086</v>
      </c>
      <c r="H948">
        <f t="shared" ca="1" si="843"/>
        <v>118.65593371304267</v>
      </c>
      <c r="I948">
        <f t="shared" ca="1" si="843"/>
        <v>115.92459804797562</v>
      </c>
      <c r="J948">
        <f t="shared" ref="J948:P948" ca="1" si="883">I948*EXP(($C$6-0.5*$C$7^2)*$C$12+$C$7*SQRT($C$12)*NORMINV(RAND(),0,1))</f>
        <v>104.60035804357202</v>
      </c>
      <c r="K948">
        <f t="shared" ca="1" si="883"/>
        <v>104.97823525381185</v>
      </c>
      <c r="L948">
        <f t="shared" ca="1" si="883"/>
        <v>108.78610769538373</v>
      </c>
      <c r="M948">
        <f t="shared" ca="1" si="883"/>
        <v>110.60032450596954</v>
      </c>
      <c r="N948">
        <f t="shared" ca="1" si="883"/>
        <v>119.72123757710166</v>
      </c>
      <c r="O948">
        <f t="shared" ca="1" si="883"/>
        <v>106.81371188891374</v>
      </c>
      <c r="P948">
        <f t="shared" ca="1" si="883"/>
        <v>116.18434442490187</v>
      </c>
      <c r="Q948">
        <f t="shared" ca="1" si="844"/>
        <v>119.72123757710166</v>
      </c>
      <c r="R948">
        <f t="shared" ca="1" si="845"/>
        <v>0</v>
      </c>
      <c r="S948">
        <f t="shared" ca="1" si="846"/>
        <v>0</v>
      </c>
    </row>
    <row r="949" spans="5:19" x14ac:dyDescent="0.75">
      <c r="E949">
        <v>944</v>
      </c>
      <c r="F949">
        <f t="shared" si="842"/>
        <v>100</v>
      </c>
      <c r="G949">
        <f t="shared" ca="1" si="843"/>
        <v>96.149640780527406</v>
      </c>
      <c r="H949">
        <f t="shared" ca="1" si="843"/>
        <v>89.62223913793386</v>
      </c>
      <c r="I949">
        <f t="shared" ca="1" si="843"/>
        <v>92.80180479356882</v>
      </c>
      <c r="J949">
        <f t="shared" ref="J949:P949" ca="1" si="884">I949*EXP(($C$6-0.5*$C$7^2)*$C$12+$C$7*SQRT($C$12)*NORMINV(RAND(),0,1))</f>
        <v>92.311384652508039</v>
      </c>
      <c r="K949">
        <f t="shared" ca="1" si="884"/>
        <v>96.50826229139669</v>
      </c>
      <c r="L949">
        <f t="shared" ca="1" si="884"/>
        <v>98.645586305823784</v>
      </c>
      <c r="M949">
        <f t="shared" ca="1" si="884"/>
        <v>98.328718374811018</v>
      </c>
      <c r="N949">
        <f t="shared" ca="1" si="884"/>
        <v>87.506971781034622</v>
      </c>
      <c r="O949">
        <f t="shared" ca="1" si="884"/>
        <v>87.402757257659189</v>
      </c>
      <c r="P949">
        <f t="shared" ca="1" si="884"/>
        <v>85.362943111235651</v>
      </c>
      <c r="Q949">
        <f t="shared" ca="1" si="844"/>
        <v>98.645586305823784</v>
      </c>
      <c r="R949">
        <f t="shared" ca="1" si="845"/>
        <v>0</v>
      </c>
      <c r="S949">
        <f t="shared" ca="1" si="846"/>
        <v>0</v>
      </c>
    </row>
    <row r="950" spans="5:19" x14ac:dyDescent="0.75">
      <c r="E950">
        <v>945</v>
      </c>
      <c r="F950">
        <f t="shared" si="842"/>
        <v>100</v>
      </c>
      <c r="G950">
        <f t="shared" ca="1" si="843"/>
        <v>103.24839107518171</v>
      </c>
      <c r="H950">
        <f t="shared" ca="1" si="843"/>
        <v>110.86537849452016</v>
      </c>
      <c r="I950">
        <f t="shared" ca="1" si="843"/>
        <v>112.18754373116316</v>
      </c>
      <c r="J950">
        <f t="shared" ref="J950:P950" ca="1" si="885">I950*EXP(($C$6-0.5*$C$7^2)*$C$12+$C$7*SQRT($C$12)*NORMINV(RAND(),0,1))</f>
        <v>113.74934466985613</v>
      </c>
      <c r="K950">
        <f t="shared" ca="1" si="885"/>
        <v>116.75009172520171</v>
      </c>
      <c r="L950">
        <f t="shared" ca="1" si="885"/>
        <v>121.32366025119991</v>
      </c>
      <c r="M950">
        <f t="shared" ca="1" si="885"/>
        <v>120.89954483830589</v>
      </c>
      <c r="N950">
        <f t="shared" ca="1" si="885"/>
        <v>121.18307849656802</v>
      </c>
      <c r="O950">
        <f t="shared" ca="1" si="885"/>
        <v>125.54562857777546</v>
      </c>
      <c r="P950">
        <f t="shared" ca="1" si="885"/>
        <v>131.37327356560735</v>
      </c>
      <c r="Q950">
        <f t="shared" ca="1" si="844"/>
        <v>131.37327356560735</v>
      </c>
      <c r="R950">
        <f t="shared" ca="1" si="845"/>
        <v>0</v>
      </c>
      <c r="S950">
        <f t="shared" ca="1" si="846"/>
        <v>0</v>
      </c>
    </row>
    <row r="951" spans="5:19" x14ac:dyDescent="0.75">
      <c r="E951">
        <v>946</v>
      </c>
      <c r="F951">
        <f t="shared" si="842"/>
        <v>100</v>
      </c>
      <c r="G951">
        <f t="shared" ca="1" si="843"/>
        <v>97.317283233452613</v>
      </c>
      <c r="H951">
        <f t="shared" ca="1" si="843"/>
        <v>101.11089659185689</v>
      </c>
      <c r="I951">
        <f t="shared" ca="1" si="843"/>
        <v>96.22317772553032</v>
      </c>
      <c r="J951">
        <f t="shared" ref="J951:P951" ca="1" si="886">I951*EXP(($C$6-0.5*$C$7^2)*$C$12+$C$7*SQRT($C$12)*NORMINV(RAND(),0,1))</f>
        <v>98.764425174810199</v>
      </c>
      <c r="K951">
        <f t="shared" ca="1" si="886"/>
        <v>101.60144575975418</v>
      </c>
      <c r="L951">
        <f t="shared" ca="1" si="886"/>
        <v>95.5014851011057</v>
      </c>
      <c r="M951">
        <f t="shared" ca="1" si="886"/>
        <v>96.682251184105809</v>
      </c>
      <c r="N951">
        <f t="shared" ca="1" si="886"/>
        <v>95.929563032871613</v>
      </c>
      <c r="O951">
        <f t="shared" ca="1" si="886"/>
        <v>95.733051133673285</v>
      </c>
      <c r="P951">
        <f t="shared" ca="1" si="886"/>
        <v>98.318520492497498</v>
      </c>
      <c r="Q951">
        <f t="shared" ca="1" si="844"/>
        <v>101.60144575975418</v>
      </c>
      <c r="R951">
        <f t="shared" ca="1" si="845"/>
        <v>0</v>
      </c>
      <c r="S951">
        <f t="shared" ca="1" si="846"/>
        <v>0</v>
      </c>
    </row>
    <row r="952" spans="5:19" x14ac:dyDescent="0.75">
      <c r="E952">
        <v>947</v>
      </c>
      <c r="F952">
        <f t="shared" si="842"/>
        <v>100</v>
      </c>
      <c r="G952">
        <f t="shared" ca="1" si="843"/>
        <v>91.952712661647269</v>
      </c>
      <c r="H952">
        <f t="shared" ca="1" si="843"/>
        <v>91.363048597510044</v>
      </c>
      <c r="I952">
        <f t="shared" ca="1" si="843"/>
        <v>85.831418547674261</v>
      </c>
      <c r="J952">
        <f t="shared" ref="J952:P952" ca="1" si="887">I952*EXP(($C$6-0.5*$C$7^2)*$C$12+$C$7*SQRT($C$12)*NORMINV(RAND(),0,1))</f>
        <v>82.988897188482838</v>
      </c>
      <c r="K952">
        <f t="shared" ca="1" si="887"/>
        <v>80.765307330377951</v>
      </c>
      <c r="L952">
        <f t="shared" ca="1" si="887"/>
        <v>81.413472025140521</v>
      </c>
      <c r="M952">
        <f t="shared" ca="1" si="887"/>
        <v>81.236160833119612</v>
      </c>
      <c r="N952">
        <f t="shared" ca="1" si="887"/>
        <v>87.493481494272288</v>
      </c>
      <c r="O952">
        <f t="shared" ca="1" si="887"/>
        <v>84.495666889672307</v>
      </c>
      <c r="P952">
        <f t="shared" ca="1" si="887"/>
        <v>85.95567997177163</v>
      </c>
      <c r="Q952">
        <f t="shared" ca="1" si="844"/>
        <v>91.952712661647269</v>
      </c>
      <c r="R952">
        <f t="shared" ca="1" si="845"/>
        <v>0</v>
      </c>
      <c r="S952">
        <f t="shared" ca="1" si="846"/>
        <v>0</v>
      </c>
    </row>
    <row r="953" spans="5:19" x14ac:dyDescent="0.75">
      <c r="E953">
        <v>948</v>
      </c>
      <c r="F953">
        <f t="shared" si="842"/>
        <v>100</v>
      </c>
      <c r="G953">
        <f t="shared" ca="1" si="843"/>
        <v>102.56528454062763</v>
      </c>
      <c r="H953">
        <f t="shared" ca="1" si="843"/>
        <v>99.729116681562388</v>
      </c>
      <c r="I953">
        <f t="shared" ca="1" si="843"/>
        <v>101.92935934152516</v>
      </c>
      <c r="J953">
        <f t="shared" ref="J953:P953" ca="1" si="888">I953*EXP(($C$6-0.5*$C$7^2)*$C$12+$C$7*SQRT($C$12)*NORMINV(RAND(),0,1))</f>
        <v>109.07656445524275</v>
      </c>
      <c r="K953">
        <f t="shared" ca="1" si="888"/>
        <v>105.35250730822899</v>
      </c>
      <c r="L953">
        <f t="shared" ca="1" si="888"/>
        <v>108.43895266410679</v>
      </c>
      <c r="M953">
        <f t="shared" ca="1" si="888"/>
        <v>108.12039764894777</v>
      </c>
      <c r="N953">
        <f t="shared" ca="1" si="888"/>
        <v>99.977789959848977</v>
      </c>
      <c r="O953">
        <f t="shared" ca="1" si="888"/>
        <v>105.65281560619103</v>
      </c>
      <c r="P953">
        <f t="shared" ca="1" si="888"/>
        <v>103.47553683853434</v>
      </c>
      <c r="Q953">
        <f t="shared" ca="1" si="844"/>
        <v>109.07656445524275</v>
      </c>
      <c r="R953">
        <f t="shared" ca="1" si="845"/>
        <v>1.4755368385343388</v>
      </c>
      <c r="S953">
        <f t="shared" ca="1" si="846"/>
        <v>1.43910570418549</v>
      </c>
    </row>
    <row r="954" spans="5:19" x14ac:dyDescent="0.75">
      <c r="E954">
        <v>949</v>
      </c>
      <c r="F954">
        <f t="shared" si="842"/>
        <v>100</v>
      </c>
      <c r="G954">
        <f t="shared" ca="1" si="843"/>
        <v>101.78091174980707</v>
      </c>
      <c r="H954">
        <f t="shared" ca="1" si="843"/>
        <v>97.414643692987951</v>
      </c>
      <c r="I954">
        <f t="shared" ca="1" si="843"/>
        <v>98.412218125045385</v>
      </c>
      <c r="J954">
        <f t="shared" ref="J954:P954" ca="1" si="889">I954*EXP(($C$6-0.5*$C$7^2)*$C$12+$C$7*SQRT($C$12)*NORMINV(RAND(),0,1))</f>
        <v>98.10209887694684</v>
      </c>
      <c r="K954">
        <f t="shared" ca="1" si="889"/>
        <v>95.35557713159524</v>
      </c>
      <c r="L954">
        <f t="shared" ca="1" si="889"/>
        <v>92.097204993200464</v>
      </c>
      <c r="M954">
        <f t="shared" ca="1" si="889"/>
        <v>94.714814728174915</v>
      </c>
      <c r="N954">
        <f t="shared" ca="1" si="889"/>
        <v>90.627084871033645</v>
      </c>
      <c r="O954">
        <f t="shared" ca="1" si="889"/>
        <v>92.349974713026967</v>
      </c>
      <c r="P954">
        <f t="shared" ca="1" si="889"/>
        <v>87.735336325304857</v>
      </c>
      <c r="Q954">
        <f t="shared" ca="1" si="844"/>
        <v>101.78091174980707</v>
      </c>
      <c r="R954">
        <f t="shared" ca="1" si="845"/>
        <v>0</v>
      </c>
      <c r="S954">
        <f t="shared" ca="1" si="846"/>
        <v>0</v>
      </c>
    </row>
    <row r="955" spans="5:19" x14ac:dyDescent="0.75">
      <c r="E955">
        <v>950</v>
      </c>
      <c r="F955">
        <f t="shared" si="842"/>
        <v>100</v>
      </c>
      <c r="G955">
        <f t="shared" ca="1" si="843"/>
        <v>105.69830730389774</v>
      </c>
      <c r="H955">
        <f t="shared" ca="1" si="843"/>
        <v>106.21938474191086</v>
      </c>
      <c r="I955">
        <f t="shared" ca="1" si="843"/>
        <v>102.95756721973339</v>
      </c>
      <c r="J955">
        <f t="shared" ref="J955:P955" ca="1" si="890">I955*EXP(($C$6-0.5*$C$7^2)*$C$12+$C$7*SQRT($C$12)*NORMINV(RAND(),0,1))</f>
        <v>107.8450636597785</v>
      </c>
      <c r="K955">
        <f t="shared" ca="1" si="890"/>
        <v>102.9397605951517</v>
      </c>
      <c r="L955">
        <f t="shared" ca="1" si="890"/>
        <v>108.88669562128214</v>
      </c>
      <c r="M955">
        <f t="shared" ca="1" si="890"/>
        <v>98.133327085080211</v>
      </c>
      <c r="N955">
        <f t="shared" ca="1" si="890"/>
        <v>95.870497526041603</v>
      </c>
      <c r="O955">
        <f t="shared" ca="1" si="890"/>
        <v>93.822878666047274</v>
      </c>
      <c r="P955">
        <f t="shared" ca="1" si="890"/>
        <v>91.863265324201009</v>
      </c>
      <c r="Q955">
        <f t="shared" ca="1" si="844"/>
        <v>108.88669562128214</v>
      </c>
      <c r="R955">
        <f t="shared" ca="1" si="845"/>
        <v>0</v>
      </c>
      <c r="S955">
        <f t="shared" ca="1" si="846"/>
        <v>0</v>
      </c>
    </row>
    <row r="956" spans="5:19" x14ac:dyDescent="0.75">
      <c r="E956">
        <v>951</v>
      </c>
      <c r="F956">
        <f t="shared" si="842"/>
        <v>100</v>
      </c>
      <c r="G956">
        <f t="shared" ca="1" si="843"/>
        <v>97.97425896366498</v>
      </c>
      <c r="H956">
        <f t="shared" ca="1" si="843"/>
        <v>104.16966093139342</v>
      </c>
      <c r="I956">
        <f t="shared" ca="1" si="843"/>
        <v>109.95540500364112</v>
      </c>
      <c r="J956">
        <f t="shared" ref="J956:P956" ca="1" si="891">I956*EXP(($C$6-0.5*$C$7^2)*$C$12+$C$7*SQRT($C$12)*NORMINV(RAND(),0,1))</f>
        <v>116.17682211779425</v>
      </c>
      <c r="K956">
        <f t="shared" ca="1" si="891"/>
        <v>118.52072160060094</v>
      </c>
      <c r="L956">
        <f t="shared" ca="1" si="891"/>
        <v>109.77217260978796</v>
      </c>
      <c r="M956">
        <f t="shared" ca="1" si="891"/>
        <v>108.5883140065756</v>
      </c>
      <c r="N956">
        <f t="shared" ca="1" si="891"/>
        <v>116.80993965206611</v>
      </c>
      <c r="O956">
        <f t="shared" ca="1" si="891"/>
        <v>121.89993189032371</v>
      </c>
      <c r="P956">
        <f t="shared" ca="1" si="891"/>
        <v>110.01205900081979</v>
      </c>
      <c r="Q956">
        <f t="shared" ca="1" si="844"/>
        <v>121.89993189032371</v>
      </c>
      <c r="R956">
        <f t="shared" ca="1" si="845"/>
        <v>0</v>
      </c>
      <c r="S956">
        <f t="shared" ca="1" si="846"/>
        <v>0</v>
      </c>
    </row>
    <row r="957" spans="5:19" x14ac:dyDescent="0.75">
      <c r="E957">
        <v>952</v>
      </c>
      <c r="F957">
        <f t="shared" si="842"/>
        <v>100</v>
      </c>
      <c r="G957">
        <f t="shared" ca="1" si="843"/>
        <v>100.65204656273568</v>
      </c>
      <c r="H957">
        <f t="shared" ca="1" si="843"/>
        <v>101.11144964391251</v>
      </c>
      <c r="I957">
        <f t="shared" ca="1" si="843"/>
        <v>110.75428083757515</v>
      </c>
      <c r="J957">
        <f t="shared" ref="J957:P957" ca="1" si="892">I957*EXP(($C$6-0.5*$C$7^2)*$C$12+$C$7*SQRT($C$12)*NORMINV(RAND(),0,1))</f>
        <v>107.64871003749954</v>
      </c>
      <c r="K957">
        <f t="shared" ca="1" si="892"/>
        <v>108.88501693225945</v>
      </c>
      <c r="L957">
        <f t="shared" ca="1" si="892"/>
        <v>111.13685453002526</v>
      </c>
      <c r="M957">
        <f t="shared" ca="1" si="892"/>
        <v>113.12103083021044</v>
      </c>
      <c r="N957">
        <f t="shared" ca="1" si="892"/>
        <v>109.7637074803867</v>
      </c>
      <c r="O957">
        <f t="shared" ca="1" si="892"/>
        <v>103.45179075385846</v>
      </c>
      <c r="P957">
        <f t="shared" ca="1" si="892"/>
        <v>105.26015927257806</v>
      </c>
      <c r="Q957">
        <f t="shared" ca="1" si="844"/>
        <v>113.12103083021044</v>
      </c>
      <c r="R957">
        <f t="shared" ca="1" si="845"/>
        <v>0</v>
      </c>
      <c r="S957">
        <f t="shared" ca="1" si="846"/>
        <v>0</v>
      </c>
    </row>
    <row r="958" spans="5:19" x14ac:dyDescent="0.75">
      <c r="E958">
        <v>953</v>
      </c>
      <c r="F958">
        <f t="shared" si="842"/>
        <v>100</v>
      </c>
      <c r="G958">
        <f t="shared" ca="1" si="843"/>
        <v>97.803109141492982</v>
      </c>
      <c r="H958">
        <f t="shared" ca="1" si="843"/>
        <v>98.206962186801931</v>
      </c>
      <c r="I958">
        <f t="shared" ca="1" si="843"/>
        <v>97.63793722280829</v>
      </c>
      <c r="J958">
        <f t="shared" ref="J958:P958" ca="1" si="893">I958*EXP(($C$6-0.5*$C$7^2)*$C$12+$C$7*SQRT($C$12)*NORMINV(RAND(),0,1))</f>
        <v>98.251016114292725</v>
      </c>
      <c r="K958">
        <f t="shared" ca="1" si="893"/>
        <v>99.60393205129661</v>
      </c>
      <c r="L958">
        <f t="shared" ca="1" si="893"/>
        <v>95.863722880426778</v>
      </c>
      <c r="M958">
        <f t="shared" ca="1" si="893"/>
        <v>93.132764282174222</v>
      </c>
      <c r="N958">
        <f t="shared" ca="1" si="893"/>
        <v>94.553625033239484</v>
      </c>
      <c r="O958">
        <f t="shared" ca="1" si="893"/>
        <v>93.295024541134168</v>
      </c>
      <c r="P958">
        <f t="shared" ca="1" si="893"/>
        <v>90.660941276222687</v>
      </c>
      <c r="Q958">
        <f t="shared" ca="1" si="844"/>
        <v>99.60393205129661</v>
      </c>
      <c r="R958">
        <f t="shared" ca="1" si="845"/>
        <v>0</v>
      </c>
      <c r="S958">
        <f t="shared" ca="1" si="846"/>
        <v>0</v>
      </c>
    </row>
    <row r="959" spans="5:19" x14ac:dyDescent="0.75">
      <c r="E959">
        <v>954</v>
      </c>
      <c r="F959">
        <f t="shared" si="842"/>
        <v>100</v>
      </c>
      <c r="G959">
        <f t="shared" ca="1" si="843"/>
        <v>101.19902736960753</v>
      </c>
      <c r="H959">
        <f t="shared" ca="1" si="843"/>
        <v>90.047390572407423</v>
      </c>
      <c r="I959">
        <f t="shared" ca="1" si="843"/>
        <v>91.571402673569025</v>
      </c>
      <c r="J959">
        <f t="shared" ref="J959:P959" ca="1" si="894">I959*EXP(($C$6-0.5*$C$7^2)*$C$12+$C$7*SQRT($C$12)*NORMINV(RAND(),0,1))</f>
        <v>92.067843602261732</v>
      </c>
      <c r="K959">
        <f t="shared" ca="1" si="894"/>
        <v>92.364921147352561</v>
      </c>
      <c r="L959">
        <f t="shared" ca="1" si="894"/>
        <v>93.136276231358195</v>
      </c>
      <c r="M959">
        <f t="shared" ca="1" si="894"/>
        <v>86.724249168739306</v>
      </c>
      <c r="N959">
        <f t="shared" ca="1" si="894"/>
        <v>84.505444339914234</v>
      </c>
      <c r="O959">
        <f t="shared" ca="1" si="894"/>
        <v>83.195147086468296</v>
      </c>
      <c r="P959">
        <f t="shared" ca="1" si="894"/>
        <v>82.149438681496264</v>
      </c>
      <c r="Q959">
        <f t="shared" ca="1" si="844"/>
        <v>101.19902736960753</v>
      </c>
      <c r="R959">
        <f t="shared" ca="1" si="845"/>
        <v>0</v>
      </c>
      <c r="S959">
        <f t="shared" ca="1" si="846"/>
        <v>0</v>
      </c>
    </row>
    <row r="960" spans="5:19" x14ac:dyDescent="0.75">
      <c r="E960">
        <v>955</v>
      </c>
      <c r="F960">
        <f t="shared" si="842"/>
        <v>100</v>
      </c>
      <c r="G960">
        <f t="shared" ca="1" si="843"/>
        <v>106.98076047914715</v>
      </c>
      <c r="H960">
        <f t="shared" ca="1" si="843"/>
        <v>108.41563855544941</v>
      </c>
      <c r="I960">
        <f t="shared" ca="1" si="843"/>
        <v>109.30168295852879</v>
      </c>
      <c r="J960">
        <f t="shared" ref="J960:P960" ca="1" si="895">I960*EXP(($C$6-0.5*$C$7^2)*$C$12+$C$7*SQRT($C$12)*NORMINV(RAND(),0,1))</f>
        <v>107.50939742544125</v>
      </c>
      <c r="K960">
        <f t="shared" ca="1" si="895"/>
        <v>108.86862706048436</v>
      </c>
      <c r="L960">
        <f t="shared" ca="1" si="895"/>
        <v>113.61042910755333</v>
      </c>
      <c r="M960">
        <f t="shared" ca="1" si="895"/>
        <v>111.60724098949248</v>
      </c>
      <c r="N960">
        <f t="shared" ca="1" si="895"/>
        <v>121.58728662205641</v>
      </c>
      <c r="O960">
        <f t="shared" ca="1" si="895"/>
        <v>119.69855265392299</v>
      </c>
      <c r="P960">
        <f t="shared" ca="1" si="895"/>
        <v>132.63874211559494</v>
      </c>
      <c r="Q960">
        <f t="shared" ca="1" si="844"/>
        <v>132.63874211559494</v>
      </c>
      <c r="R960">
        <f t="shared" ca="1" si="845"/>
        <v>0</v>
      </c>
      <c r="S960">
        <f t="shared" ca="1" si="846"/>
        <v>0</v>
      </c>
    </row>
    <row r="961" spans="5:19" x14ac:dyDescent="0.75">
      <c r="E961">
        <v>956</v>
      </c>
      <c r="F961">
        <f t="shared" si="842"/>
        <v>100</v>
      </c>
      <c r="G961">
        <f t="shared" ca="1" si="843"/>
        <v>92.564275720498159</v>
      </c>
      <c r="H961">
        <f t="shared" ca="1" si="843"/>
        <v>90.777849747404261</v>
      </c>
      <c r="I961">
        <f t="shared" ca="1" si="843"/>
        <v>92.022764562065845</v>
      </c>
      <c r="J961">
        <f t="shared" ref="J961:P961" ca="1" si="896">I961*EXP(($C$6-0.5*$C$7^2)*$C$12+$C$7*SQRT($C$12)*NORMINV(RAND(),0,1))</f>
        <v>93.162516888147223</v>
      </c>
      <c r="K961">
        <f t="shared" ca="1" si="896"/>
        <v>91.851680715583853</v>
      </c>
      <c r="L961">
        <f t="shared" ca="1" si="896"/>
        <v>82.792618466711687</v>
      </c>
      <c r="M961">
        <f t="shared" ca="1" si="896"/>
        <v>85.44381119296014</v>
      </c>
      <c r="N961">
        <f t="shared" ca="1" si="896"/>
        <v>88.477249562156373</v>
      </c>
      <c r="O961">
        <f t="shared" ca="1" si="896"/>
        <v>93.456609329764859</v>
      </c>
      <c r="P961">
        <f t="shared" ca="1" si="896"/>
        <v>92.073950912519351</v>
      </c>
      <c r="Q961">
        <f t="shared" ca="1" si="844"/>
        <v>93.456609329764859</v>
      </c>
      <c r="R961">
        <f t="shared" ca="1" si="845"/>
        <v>0</v>
      </c>
      <c r="S961">
        <f t="shared" ca="1" si="846"/>
        <v>0</v>
      </c>
    </row>
    <row r="962" spans="5:19" x14ac:dyDescent="0.75">
      <c r="E962">
        <v>957</v>
      </c>
      <c r="F962">
        <f t="shared" si="842"/>
        <v>100</v>
      </c>
      <c r="G962">
        <f t="shared" ca="1" si="843"/>
        <v>101.26500847249409</v>
      </c>
      <c r="H962">
        <f t="shared" ca="1" si="843"/>
        <v>98.280268364472889</v>
      </c>
      <c r="I962">
        <f t="shared" ca="1" si="843"/>
        <v>98.045135241743878</v>
      </c>
      <c r="J962">
        <f t="shared" ref="J962:P962" ca="1" si="897">I962*EXP(($C$6-0.5*$C$7^2)*$C$12+$C$7*SQRT($C$12)*NORMINV(RAND(),0,1))</f>
        <v>100.67621455919856</v>
      </c>
      <c r="K962">
        <f t="shared" ca="1" si="897"/>
        <v>113.7966287803585</v>
      </c>
      <c r="L962">
        <f t="shared" ca="1" si="897"/>
        <v>113.97514659583254</v>
      </c>
      <c r="M962">
        <f t="shared" ca="1" si="897"/>
        <v>109.36878279787216</v>
      </c>
      <c r="N962">
        <f t="shared" ca="1" si="897"/>
        <v>108.31195551920284</v>
      </c>
      <c r="O962">
        <f t="shared" ca="1" si="897"/>
        <v>114.61624612433512</v>
      </c>
      <c r="P962">
        <f t="shared" ca="1" si="897"/>
        <v>117.02807018567199</v>
      </c>
      <c r="Q962">
        <f t="shared" ca="1" si="844"/>
        <v>117.02807018567199</v>
      </c>
      <c r="R962">
        <f t="shared" ca="1" si="845"/>
        <v>0</v>
      </c>
      <c r="S962">
        <f t="shared" ca="1" si="846"/>
        <v>0</v>
      </c>
    </row>
    <row r="963" spans="5:19" x14ac:dyDescent="0.75">
      <c r="E963">
        <v>958</v>
      </c>
      <c r="F963">
        <f t="shared" si="842"/>
        <v>100</v>
      </c>
      <c r="G963">
        <f t="shared" ca="1" si="843"/>
        <v>104.14535572313173</v>
      </c>
      <c r="H963">
        <f t="shared" ca="1" si="843"/>
        <v>98.002308969553511</v>
      </c>
      <c r="I963">
        <f t="shared" ca="1" si="843"/>
        <v>99.435591911642817</v>
      </c>
      <c r="J963">
        <f t="shared" ref="J963:P963" ca="1" si="898">I963*EXP(($C$6-0.5*$C$7^2)*$C$12+$C$7*SQRT($C$12)*NORMINV(RAND(),0,1))</f>
        <v>101.58570564920841</v>
      </c>
      <c r="K963">
        <f t="shared" ca="1" si="898"/>
        <v>101.88745517028124</v>
      </c>
      <c r="L963">
        <f t="shared" ca="1" si="898"/>
        <v>103.36739592797998</v>
      </c>
      <c r="M963">
        <f t="shared" ca="1" si="898"/>
        <v>104.33059608900149</v>
      </c>
      <c r="N963">
        <f t="shared" ca="1" si="898"/>
        <v>99.334071333647231</v>
      </c>
      <c r="O963">
        <f t="shared" ca="1" si="898"/>
        <v>98.911545050885735</v>
      </c>
      <c r="P963">
        <f t="shared" ca="1" si="898"/>
        <v>93.277263558590334</v>
      </c>
      <c r="Q963">
        <f t="shared" ca="1" si="844"/>
        <v>104.33059608900149</v>
      </c>
      <c r="R963">
        <f t="shared" ca="1" si="845"/>
        <v>0</v>
      </c>
      <c r="S963">
        <f t="shared" ca="1" si="846"/>
        <v>0</v>
      </c>
    </row>
    <row r="964" spans="5:19" x14ac:dyDescent="0.75">
      <c r="E964">
        <v>959</v>
      </c>
      <c r="F964">
        <f t="shared" si="842"/>
        <v>100</v>
      </c>
      <c r="G964">
        <f t="shared" ca="1" si="843"/>
        <v>95.633605190316828</v>
      </c>
      <c r="H964">
        <f t="shared" ca="1" si="843"/>
        <v>98.367596090484255</v>
      </c>
      <c r="I964">
        <f t="shared" ca="1" si="843"/>
        <v>103.70131444137658</v>
      </c>
      <c r="J964">
        <f t="shared" ref="J964:P964" ca="1" si="899">I964*EXP(($C$6-0.5*$C$7^2)*$C$12+$C$7*SQRT($C$12)*NORMINV(RAND(),0,1))</f>
        <v>105.15414561689775</v>
      </c>
      <c r="K964">
        <f t="shared" ca="1" si="899"/>
        <v>105.35765775581839</v>
      </c>
      <c r="L964">
        <f t="shared" ca="1" si="899"/>
        <v>111.09137287466334</v>
      </c>
      <c r="M964">
        <f t="shared" ca="1" si="899"/>
        <v>109.90069847207363</v>
      </c>
      <c r="N964">
        <f t="shared" ca="1" si="899"/>
        <v>116.69658071992262</v>
      </c>
      <c r="O964">
        <f t="shared" ca="1" si="899"/>
        <v>116.67701345075571</v>
      </c>
      <c r="P964">
        <f t="shared" ca="1" si="899"/>
        <v>119.48357622693504</v>
      </c>
      <c r="Q964">
        <f t="shared" ca="1" si="844"/>
        <v>119.48357622693504</v>
      </c>
      <c r="R964">
        <f t="shared" ca="1" si="845"/>
        <v>0</v>
      </c>
      <c r="S964">
        <f t="shared" ca="1" si="846"/>
        <v>0</v>
      </c>
    </row>
    <row r="965" spans="5:19" x14ac:dyDescent="0.75">
      <c r="E965">
        <v>960</v>
      </c>
      <c r="F965">
        <f t="shared" si="842"/>
        <v>100</v>
      </c>
      <c r="G965">
        <f t="shared" ca="1" si="843"/>
        <v>96.358367136057325</v>
      </c>
      <c r="H965">
        <f t="shared" ca="1" si="843"/>
        <v>96.166157347632634</v>
      </c>
      <c r="I965">
        <f t="shared" ca="1" si="843"/>
        <v>97.731685102577046</v>
      </c>
      <c r="J965">
        <f t="shared" ref="J965:P965" ca="1" si="900">I965*EXP(($C$6-0.5*$C$7^2)*$C$12+$C$7*SQRT($C$12)*NORMINV(RAND(),0,1))</f>
        <v>99.742657147797061</v>
      </c>
      <c r="K965">
        <f t="shared" ca="1" si="900"/>
        <v>95.398672005217549</v>
      </c>
      <c r="L965">
        <f t="shared" ca="1" si="900"/>
        <v>90.241731526671543</v>
      </c>
      <c r="M965">
        <f t="shared" ca="1" si="900"/>
        <v>88.58111313501621</v>
      </c>
      <c r="N965">
        <f t="shared" ca="1" si="900"/>
        <v>81.259131188029983</v>
      </c>
      <c r="O965">
        <f t="shared" ca="1" si="900"/>
        <v>79.818137963865709</v>
      </c>
      <c r="P965">
        <f t="shared" ca="1" si="900"/>
        <v>82.248278232790582</v>
      </c>
      <c r="Q965">
        <f t="shared" ca="1" si="844"/>
        <v>99.742657147797061</v>
      </c>
      <c r="R965">
        <f t="shared" ca="1" si="845"/>
        <v>0</v>
      </c>
      <c r="S965">
        <f t="shared" ca="1" si="846"/>
        <v>0</v>
      </c>
    </row>
    <row r="966" spans="5:19" x14ac:dyDescent="0.75">
      <c r="E966">
        <v>961</v>
      </c>
      <c r="F966">
        <f t="shared" si="842"/>
        <v>100</v>
      </c>
      <c r="G966">
        <f t="shared" ca="1" si="843"/>
        <v>104.97839378690581</v>
      </c>
      <c r="H966">
        <f t="shared" ca="1" si="843"/>
        <v>94.866480260537045</v>
      </c>
      <c r="I966">
        <f t="shared" ca="1" si="843"/>
        <v>98.065275214495543</v>
      </c>
      <c r="J966">
        <f t="shared" ref="J966:P966" ca="1" si="901">I966*EXP(($C$6-0.5*$C$7^2)*$C$12+$C$7*SQRT($C$12)*NORMINV(RAND(),0,1))</f>
        <v>102.34282664713596</v>
      </c>
      <c r="K966">
        <f t="shared" ca="1" si="901"/>
        <v>101.09178542968532</v>
      </c>
      <c r="L966">
        <f t="shared" ca="1" si="901"/>
        <v>109.5977064944817</v>
      </c>
      <c r="M966">
        <f t="shared" ca="1" si="901"/>
        <v>110.31352963803333</v>
      </c>
      <c r="N966">
        <f t="shared" ca="1" si="901"/>
        <v>110.79900069277852</v>
      </c>
      <c r="O966">
        <f t="shared" ca="1" si="901"/>
        <v>108.18023039090492</v>
      </c>
      <c r="P966">
        <f t="shared" ca="1" si="901"/>
        <v>105.11808140212209</v>
      </c>
      <c r="Q966">
        <f t="shared" ca="1" si="844"/>
        <v>110.79900069277852</v>
      </c>
      <c r="R966">
        <f t="shared" ca="1" si="845"/>
        <v>0</v>
      </c>
      <c r="S966">
        <f t="shared" ca="1" si="846"/>
        <v>0</v>
      </c>
    </row>
    <row r="967" spans="5:19" x14ac:dyDescent="0.75">
      <c r="E967">
        <v>962</v>
      </c>
      <c r="F967">
        <f t="shared" ref="F967:F1005" si="902">$C$5</f>
        <v>100</v>
      </c>
      <c r="G967">
        <f t="shared" ref="G967:P1005" ca="1" si="903">F967*EXP(($C$6-0.5*$C$7^2)*$C$12+$C$7*SQRT($C$12)*NORMINV(RAND(),0,1))</f>
        <v>106.40156442006823</v>
      </c>
      <c r="H967">
        <f t="shared" ca="1" si="903"/>
        <v>103.79504976665886</v>
      </c>
      <c r="I967">
        <f t="shared" ca="1" si="903"/>
        <v>96.938738655074786</v>
      </c>
      <c r="J967">
        <f t="shared" ca="1" si="903"/>
        <v>94.066432380531182</v>
      </c>
      <c r="K967">
        <f t="shared" ca="1" si="903"/>
        <v>95.864795850521958</v>
      </c>
      <c r="L967">
        <f t="shared" ca="1" si="903"/>
        <v>98.008382865526315</v>
      </c>
      <c r="M967">
        <f t="shared" ca="1" si="903"/>
        <v>98.761808440013894</v>
      </c>
      <c r="N967">
        <f t="shared" ca="1" si="903"/>
        <v>94.184290137146888</v>
      </c>
      <c r="O967">
        <f t="shared" ca="1" si="903"/>
        <v>92.284164295339124</v>
      </c>
      <c r="P967">
        <f t="shared" ca="1" si="903"/>
        <v>87.889788930751976</v>
      </c>
      <c r="Q967">
        <f t="shared" ref="Q967:Q1005" ca="1" si="904">MAX(G967:P967)</f>
        <v>106.40156442006823</v>
      </c>
      <c r="R967">
        <f t="shared" ref="R967:R1005" ca="1" si="905">IF(Q967&gt;=$C$13,0, MAX(P967-$C$9,0))</f>
        <v>0</v>
      </c>
      <c r="S967">
        <f t="shared" ref="S967:S1005" ca="1" si="906">EXP(-$C$6*$C$8)*R967</f>
        <v>0</v>
      </c>
    </row>
    <row r="968" spans="5:19" x14ac:dyDescent="0.75">
      <c r="E968">
        <v>963</v>
      </c>
      <c r="F968">
        <f t="shared" si="902"/>
        <v>100</v>
      </c>
      <c r="G968">
        <f t="shared" ca="1" si="903"/>
        <v>105.47049237801942</v>
      </c>
      <c r="H968">
        <f t="shared" ca="1" si="903"/>
        <v>106.15916414350788</v>
      </c>
      <c r="I968">
        <f t="shared" ca="1" si="903"/>
        <v>101.39619856741953</v>
      </c>
      <c r="J968">
        <f t="shared" ca="1" si="903"/>
        <v>99.91793039632762</v>
      </c>
      <c r="K968">
        <f t="shared" ca="1" si="903"/>
        <v>107.87184431312934</v>
      </c>
      <c r="L968">
        <f t="shared" ca="1" si="903"/>
        <v>108.97979611469145</v>
      </c>
      <c r="M968">
        <f t="shared" ca="1" si="903"/>
        <v>108.40263999007402</v>
      </c>
      <c r="N968">
        <f t="shared" ca="1" si="903"/>
        <v>111.27483015811795</v>
      </c>
      <c r="O968">
        <f t="shared" ca="1" si="903"/>
        <v>108.88598793208702</v>
      </c>
      <c r="P968">
        <f t="shared" ca="1" si="903"/>
        <v>96.517496087054454</v>
      </c>
      <c r="Q968">
        <f t="shared" ca="1" si="904"/>
        <v>111.27483015811795</v>
      </c>
      <c r="R968">
        <f t="shared" ca="1" si="905"/>
        <v>0</v>
      </c>
      <c r="S968">
        <f t="shared" ca="1" si="906"/>
        <v>0</v>
      </c>
    </row>
    <row r="969" spans="5:19" x14ac:dyDescent="0.75">
      <c r="E969">
        <v>964</v>
      </c>
      <c r="F969">
        <f t="shared" si="902"/>
        <v>100</v>
      </c>
      <c r="G969">
        <f t="shared" ca="1" si="903"/>
        <v>99.365337523442392</v>
      </c>
      <c r="H969">
        <f t="shared" ca="1" si="903"/>
        <v>104.04320584909401</v>
      </c>
      <c r="I969">
        <f t="shared" ca="1" si="903"/>
        <v>106.52300048414968</v>
      </c>
      <c r="J969">
        <f t="shared" ca="1" si="903"/>
        <v>114.75151484333482</v>
      </c>
      <c r="K969">
        <f t="shared" ca="1" si="903"/>
        <v>120.70220771450356</v>
      </c>
      <c r="L969">
        <f t="shared" ca="1" si="903"/>
        <v>122.64739322452596</v>
      </c>
      <c r="M969">
        <f t="shared" ca="1" si="903"/>
        <v>124.56884256606894</v>
      </c>
      <c r="N969">
        <f t="shared" ca="1" si="903"/>
        <v>127.68052973647146</v>
      </c>
      <c r="O969">
        <f t="shared" ca="1" si="903"/>
        <v>135.64067849807546</v>
      </c>
      <c r="P969">
        <f t="shared" ca="1" si="903"/>
        <v>133.0176715541684</v>
      </c>
      <c r="Q969">
        <f t="shared" ca="1" si="904"/>
        <v>135.64067849807546</v>
      </c>
      <c r="R969">
        <f t="shared" ca="1" si="905"/>
        <v>0</v>
      </c>
      <c r="S969">
        <f t="shared" ca="1" si="906"/>
        <v>0</v>
      </c>
    </row>
    <row r="970" spans="5:19" x14ac:dyDescent="0.75">
      <c r="E970">
        <v>965</v>
      </c>
      <c r="F970">
        <f t="shared" si="902"/>
        <v>100</v>
      </c>
      <c r="G970">
        <f t="shared" ca="1" si="903"/>
        <v>100.09266803869403</v>
      </c>
      <c r="H970">
        <f t="shared" ca="1" si="903"/>
        <v>99.093067950914545</v>
      </c>
      <c r="I970">
        <f t="shared" ca="1" si="903"/>
        <v>92.16130474525734</v>
      </c>
      <c r="J970">
        <f t="shared" ca="1" si="903"/>
        <v>96.661706722140053</v>
      </c>
      <c r="K970">
        <f t="shared" ca="1" si="903"/>
        <v>95.925701330411329</v>
      </c>
      <c r="L970">
        <f t="shared" ca="1" si="903"/>
        <v>96.920822688855623</v>
      </c>
      <c r="M970">
        <f t="shared" ca="1" si="903"/>
        <v>102.14699658109008</v>
      </c>
      <c r="N970">
        <f t="shared" ca="1" si="903"/>
        <v>100.07882199073862</v>
      </c>
      <c r="O970">
        <f t="shared" ca="1" si="903"/>
        <v>98.92157077266863</v>
      </c>
      <c r="P970">
        <f t="shared" ca="1" si="903"/>
        <v>99.45442715380247</v>
      </c>
      <c r="Q970">
        <f t="shared" ca="1" si="904"/>
        <v>102.14699658109008</v>
      </c>
      <c r="R970">
        <f t="shared" ca="1" si="905"/>
        <v>0</v>
      </c>
      <c r="S970">
        <f t="shared" ca="1" si="906"/>
        <v>0</v>
      </c>
    </row>
    <row r="971" spans="5:19" x14ac:dyDescent="0.75">
      <c r="E971">
        <v>966</v>
      </c>
      <c r="F971">
        <f t="shared" si="902"/>
        <v>100</v>
      </c>
      <c r="G971">
        <f t="shared" ca="1" si="903"/>
        <v>96.789545574596318</v>
      </c>
      <c r="H971">
        <f t="shared" ca="1" si="903"/>
        <v>93.646399536351637</v>
      </c>
      <c r="I971">
        <f t="shared" ca="1" si="903"/>
        <v>97.028290329592025</v>
      </c>
      <c r="J971">
        <f t="shared" ca="1" si="903"/>
        <v>100.32378337954854</v>
      </c>
      <c r="K971">
        <f t="shared" ca="1" si="903"/>
        <v>101.15085384328188</v>
      </c>
      <c r="L971">
        <f t="shared" ca="1" si="903"/>
        <v>98.825476792845876</v>
      </c>
      <c r="M971">
        <f t="shared" ca="1" si="903"/>
        <v>103.34042897413519</v>
      </c>
      <c r="N971">
        <f t="shared" ca="1" si="903"/>
        <v>110.89220084995149</v>
      </c>
      <c r="O971">
        <f t="shared" ca="1" si="903"/>
        <v>110.1746167565464</v>
      </c>
      <c r="P971">
        <f t="shared" ca="1" si="903"/>
        <v>108.97347754662901</v>
      </c>
      <c r="Q971">
        <f t="shared" ca="1" si="904"/>
        <v>110.89220084995149</v>
      </c>
      <c r="R971">
        <f t="shared" ca="1" si="905"/>
        <v>0</v>
      </c>
      <c r="S971">
        <f t="shared" ca="1" si="906"/>
        <v>0</v>
      </c>
    </row>
    <row r="972" spans="5:19" x14ac:dyDescent="0.75">
      <c r="E972">
        <v>967</v>
      </c>
      <c r="F972">
        <f t="shared" si="902"/>
        <v>100</v>
      </c>
      <c r="G972">
        <f t="shared" ca="1" si="903"/>
        <v>101.22588754158603</v>
      </c>
      <c r="H972">
        <f t="shared" ca="1" si="903"/>
        <v>104.58565242120095</v>
      </c>
      <c r="I972">
        <f t="shared" ca="1" si="903"/>
        <v>106.90071081191689</v>
      </c>
      <c r="J972">
        <f t="shared" ca="1" si="903"/>
        <v>102.53457587722153</v>
      </c>
      <c r="K972">
        <f t="shared" ca="1" si="903"/>
        <v>98.468605831090343</v>
      </c>
      <c r="L972">
        <f t="shared" ca="1" si="903"/>
        <v>95.887241809741298</v>
      </c>
      <c r="M972">
        <f t="shared" ca="1" si="903"/>
        <v>89.334872155632738</v>
      </c>
      <c r="N972">
        <f t="shared" ca="1" si="903"/>
        <v>88.043208484478996</v>
      </c>
      <c r="O972">
        <f t="shared" ca="1" si="903"/>
        <v>92.778826096295774</v>
      </c>
      <c r="P972">
        <f t="shared" ca="1" si="903"/>
        <v>85.856867672415817</v>
      </c>
      <c r="Q972">
        <f t="shared" ca="1" si="904"/>
        <v>106.90071081191689</v>
      </c>
      <c r="R972">
        <f t="shared" ca="1" si="905"/>
        <v>0</v>
      </c>
      <c r="S972">
        <f t="shared" ca="1" si="906"/>
        <v>0</v>
      </c>
    </row>
    <row r="973" spans="5:19" x14ac:dyDescent="0.75">
      <c r="E973">
        <v>968</v>
      </c>
      <c r="F973">
        <f t="shared" si="902"/>
        <v>100</v>
      </c>
      <c r="G973">
        <f t="shared" ca="1" si="903"/>
        <v>103.42910951981992</v>
      </c>
      <c r="H973">
        <f t="shared" ca="1" si="903"/>
        <v>100.91086881891827</v>
      </c>
      <c r="I973">
        <f t="shared" ca="1" si="903"/>
        <v>111.15110338495229</v>
      </c>
      <c r="J973">
        <f t="shared" ca="1" si="903"/>
        <v>109.90872948893737</v>
      </c>
      <c r="K973">
        <f t="shared" ca="1" si="903"/>
        <v>102.25714959773165</v>
      </c>
      <c r="L973">
        <f t="shared" ca="1" si="903"/>
        <v>98.108732148766308</v>
      </c>
      <c r="M973">
        <f t="shared" ca="1" si="903"/>
        <v>100.0060349002199</v>
      </c>
      <c r="N973">
        <f t="shared" ca="1" si="903"/>
        <v>99.166927763377714</v>
      </c>
      <c r="O973">
        <f t="shared" ca="1" si="903"/>
        <v>93.271611147778188</v>
      </c>
      <c r="P973">
        <f t="shared" ca="1" si="903"/>
        <v>91.166680527043468</v>
      </c>
      <c r="Q973">
        <f t="shared" ca="1" si="904"/>
        <v>111.15110338495229</v>
      </c>
      <c r="R973">
        <f t="shared" ca="1" si="905"/>
        <v>0</v>
      </c>
      <c r="S973">
        <f t="shared" ca="1" si="906"/>
        <v>0</v>
      </c>
    </row>
    <row r="974" spans="5:19" x14ac:dyDescent="0.75">
      <c r="E974">
        <v>969</v>
      </c>
      <c r="F974">
        <f t="shared" si="902"/>
        <v>100</v>
      </c>
      <c r="G974">
        <f t="shared" ca="1" si="903"/>
        <v>106.60901991883098</v>
      </c>
      <c r="H974">
        <f t="shared" ca="1" si="903"/>
        <v>117.04231998300637</v>
      </c>
      <c r="I974">
        <f t="shared" ca="1" si="903"/>
        <v>119.83711972581531</v>
      </c>
      <c r="J974">
        <f t="shared" ca="1" si="903"/>
        <v>127.36635583422762</v>
      </c>
      <c r="K974">
        <f t="shared" ca="1" si="903"/>
        <v>126.33899594147088</v>
      </c>
      <c r="L974">
        <f t="shared" ca="1" si="903"/>
        <v>123.28770306964024</v>
      </c>
      <c r="M974">
        <f t="shared" ca="1" si="903"/>
        <v>127.44649310822074</v>
      </c>
      <c r="N974">
        <f t="shared" ca="1" si="903"/>
        <v>118.48419007282182</v>
      </c>
      <c r="O974">
        <f t="shared" ca="1" si="903"/>
        <v>112.46445289924885</v>
      </c>
      <c r="P974">
        <f t="shared" ca="1" si="903"/>
        <v>113.11799077091841</v>
      </c>
      <c r="Q974">
        <f t="shared" ca="1" si="904"/>
        <v>127.44649310822074</v>
      </c>
      <c r="R974">
        <f t="shared" ca="1" si="905"/>
        <v>0</v>
      </c>
      <c r="S974">
        <f t="shared" ca="1" si="906"/>
        <v>0</v>
      </c>
    </row>
    <row r="975" spans="5:19" x14ac:dyDescent="0.75">
      <c r="E975">
        <v>970</v>
      </c>
      <c r="F975">
        <f t="shared" si="902"/>
        <v>100</v>
      </c>
      <c r="G975">
        <f t="shared" ca="1" si="903"/>
        <v>106.3517474040184</v>
      </c>
      <c r="H975">
        <f t="shared" ca="1" si="903"/>
        <v>102.84884402663</v>
      </c>
      <c r="I975">
        <f t="shared" ca="1" si="903"/>
        <v>109.15686489981118</v>
      </c>
      <c r="J975">
        <f t="shared" ca="1" si="903"/>
        <v>106.65038306771494</v>
      </c>
      <c r="K975">
        <f t="shared" ca="1" si="903"/>
        <v>109.30688319304997</v>
      </c>
      <c r="L975">
        <f t="shared" ca="1" si="903"/>
        <v>97.979983875590719</v>
      </c>
      <c r="M975">
        <f t="shared" ca="1" si="903"/>
        <v>103.29855889243225</v>
      </c>
      <c r="N975">
        <f t="shared" ca="1" si="903"/>
        <v>105.84631598580565</v>
      </c>
      <c r="O975">
        <f t="shared" ca="1" si="903"/>
        <v>101.98545705367331</v>
      </c>
      <c r="P975">
        <f t="shared" ca="1" si="903"/>
        <v>107.42325475776876</v>
      </c>
      <c r="Q975">
        <f t="shared" ca="1" si="904"/>
        <v>109.30688319304997</v>
      </c>
      <c r="R975">
        <f t="shared" ca="1" si="905"/>
        <v>5.4232547577687598</v>
      </c>
      <c r="S975">
        <f t="shared" ca="1" si="906"/>
        <v>5.289354120706685</v>
      </c>
    </row>
    <row r="976" spans="5:19" x14ac:dyDescent="0.75">
      <c r="E976">
        <v>971</v>
      </c>
      <c r="F976">
        <f t="shared" si="902"/>
        <v>100</v>
      </c>
      <c r="G976">
        <f t="shared" ca="1" si="903"/>
        <v>104.16491652033815</v>
      </c>
      <c r="H976">
        <f t="shared" ca="1" si="903"/>
        <v>105.51838526590585</v>
      </c>
      <c r="I976">
        <f t="shared" ca="1" si="903"/>
        <v>104.92475357700614</v>
      </c>
      <c r="J976">
        <f t="shared" ca="1" si="903"/>
        <v>101.79425291955197</v>
      </c>
      <c r="K976">
        <f t="shared" ca="1" si="903"/>
        <v>107.09807896064622</v>
      </c>
      <c r="L976">
        <f t="shared" ca="1" si="903"/>
        <v>98.793439580970514</v>
      </c>
      <c r="M976">
        <f t="shared" ca="1" si="903"/>
        <v>97.241592915180547</v>
      </c>
      <c r="N976">
        <f t="shared" ca="1" si="903"/>
        <v>96.703475731559308</v>
      </c>
      <c r="O976">
        <f t="shared" ca="1" si="903"/>
        <v>89.069357247427433</v>
      </c>
      <c r="P976">
        <f t="shared" ca="1" si="903"/>
        <v>88.148947831688758</v>
      </c>
      <c r="Q976">
        <f t="shared" ca="1" si="904"/>
        <v>107.09807896064622</v>
      </c>
      <c r="R976">
        <f t="shared" ca="1" si="905"/>
        <v>0</v>
      </c>
      <c r="S976">
        <f t="shared" ca="1" si="906"/>
        <v>0</v>
      </c>
    </row>
    <row r="977" spans="5:19" x14ac:dyDescent="0.75">
      <c r="E977">
        <v>972</v>
      </c>
      <c r="F977">
        <f t="shared" si="902"/>
        <v>100</v>
      </c>
      <c r="G977">
        <f t="shared" ca="1" si="903"/>
        <v>95.045070209408991</v>
      </c>
      <c r="H977">
        <f t="shared" ca="1" si="903"/>
        <v>94.141607462140698</v>
      </c>
      <c r="I977">
        <f t="shared" ca="1" si="903"/>
        <v>94.838811764062669</v>
      </c>
      <c r="J977">
        <f t="shared" ca="1" si="903"/>
        <v>93.313860635882421</v>
      </c>
      <c r="K977">
        <f t="shared" ca="1" si="903"/>
        <v>93.926950954518645</v>
      </c>
      <c r="L977">
        <f t="shared" ca="1" si="903"/>
        <v>89.781259038627084</v>
      </c>
      <c r="M977">
        <f t="shared" ca="1" si="903"/>
        <v>94.083821052018848</v>
      </c>
      <c r="N977">
        <f t="shared" ca="1" si="903"/>
        <v>88.969432784224054</v>
      </c>
      <c r="O977">
        <f t="shared" ca="1" si="903"/>
        <v>85.988282768659275</v>
      </c>
      <c r="P977">
        <f t="shared" ca="1" si="903"/>
        <v>86.172068389397211</v>
      </c>
      <c r="Q977">
        <f t="shared" ca="1" si="904"/>
        <v>95.045070209408991</v>
      </c>
      <c r="R977">
        <f t="shared" ca="1" si="905"/>
        <v>0</v>
      </c>
      <c r="S977">
        <f t="shared" ca="1" si="906"/>
        <v>0</v>
      </c>
    </row>
    <row r="978" spans="5:19" x14ac:dyDescent="0.75">
      <c r="E978">
        <v>973</v>
      </c>
      <c r="F978">
        <f t="shared" si="902"/>
        <v>100</v>
      </c>
      <c r="G978">
        <f t="shared" ca="1" si="903"/>
        <v>100.77755601975198</v>
      </c>
      <c r="H978">
        <f t="shared" ca="1" si="903"/>
        <v>96.030963373333151</v>
      </c>
      <c r="I978">
        <f t="shared" ca="1" si="903"/>
        <v>90.238454835879509</v>
      </c>
      <c r="J978">
        <f t="shared" ca="1" si="903"/>
        <v>93.967225586940984</v>
      </c>
      <c r="K978">
        <f t="shared" ca="1" si="903"/>
        <v>95.756613131643547</v>
      </c>
      <c r="L978">
        <f t="shared" ca="1" si="903"/>
        <v>100.46697451596094</v>
      </c>
      <c r="M978">
        <f t="shared" ca="1" si="903"/>
        <v>97.850058432932514</v>
      </c>
      <c r="N978">
        <f t="shared" ca="1" si="903"/>
        <v>100.38650804157695</v>
      </c>
      <c r="O978">
        <f t="shared" ca="1" si="903"/>
        <v>98.977156521118971</v>
      </c>
      <c r="P978">
        <f t="shared" ca="1" si="903"/>
        <v>96.923178270430626</v>
      </c>
      <c r="Q978">
        <f t="shared" ca="1" si="904"/>
        <v>100.77755601975198</v>
      </c>
      <c r="R978">
        <f t="shared" ca="1" si="905"/>
        <v>0</v>
      </c>
      <c r="S978">
        <f t="shared" ca="1" si="906"/>
        <v>0</v>
      </c>
    </row>
    <row r="979" spans="5:19" x14ac:dyDescent="0.75">
      <c r="E979">
        <v>974</v>
      </c>
      <c r="F979">
        <f t="shared" si="902"/>
        <v>100</v>
      </c>
      <c r="G979">
        <f t="shared" ca="1" si="903"/>
        <v>100.76092710938947</v>
      </c>
      <c r="H979">
        <f t="shared" ca="1" si="903"/>
        <v>100.05538898176745</v>
      </c>
      <c r="I979">
        <f t="shared" ca="1" si="903"/>
        <v>105.48794232688317</v>
      </c>
      <c r="J979">
        <f t="shared" ca="1" si="903"/>
        <v>103.00069057292568</v>
      </c>
      <c r="K979">
        <f t="shared" ca="1" si="903"/>
        <v>110.00411839392338</v>
      </c>
      <c r="L979">
        <f t="shared" ca="1" si="903"/>
        <v>112.65964514067825</v>
      </c>
      <c r="M979">
        <f t="shared" ca="1" si="903"/>
        <v>107.19187188953943</v>
      </c>
      <c r="N979">
        <f t="shared" ca="1" si="903"/>
        <v>113.5323797162641</v>
      </c>
      <c r="O979">
        <f t="shared" ca="1" si="903"/>
        <v>105.96213080047424</v>
      </c>
      <c r="P979">
        <f t="shared" ca="1" si="903"/>
        <v>104.95800731533153</v>
      </c>
      <c r="Q979">
        <f t="shared" ca="1" si="904"/>
        <v>113.5323797162641</v>
      </c>
      <c r="R979">
        <f t="shared" ca="1" si="905"/>
        <v>0</v>
      </c>
      <c r="S979">
        <f t="shared" ca="1" si="906"/>
        <v>0</v>
      </c>
    </row>
    <row r="980" spans="5:19" x14ac:dyDescent="0.75">
      <c r="E980">
        <v>975</v>
      </c>
      <c r="F980">
        <f t="shared" si="902"/>
        <v>100</v>
      </c>
      <c r="G980">
        <f t="shared" ca="1" si="903"/>
        <v>102.97727290290153</v>
      </c>
      <c r="H980">
        <f t="shared" ca="1" si="903"/>
        <v>106.60646707865092</v>
      </c>
      <c r="I980">
        <f t="shared" ca="1" si="903"/>
        <v>109.87048391324015</v>
      </c>
      <c r="J980">
        <f t="shared" ca="1" si="903"/>
        <v>102.05487260486814</v>
      </c>
      <c r="K980">
        <f t="shared" ca="1" si="903"/>
        <v>98.560813158593035</v>
      </c>
      <c r="L980">
        <f t="shared" ca="1" si="903"/>
        <v>94.940919639675869</v>
      </c>
      <c r="M980">
        <f t="shared" ca="1" si="903"/>
        <v>96.133790658736487</v>
      </c>
      <c r="N980">
        <f t="shared" ca="1" si="903"/>
        <v>98.535641017006171</v>
      </c>
      <c r="O980">
        <f t="shared" ca="1" si="903"/>
        <v>98.758528256769296</v>
      </c>
      <c r="P980">
        <f t="shared" ca="1" si="903"/>
        <v>98.193844432854434</v>
      </c>
      <c r="Q980">
        <f t="shared" ca="1" si="904"/>
        <v>109.87048391324015</v>
      </c>
      <c r="R980">
        <f t="shared" ca="1" si="905"/>
        <v>0</v>
      </c>
      <c r="S980">
        <f t="shared" ca="1" si="906"/>
        <v>0</v>
      </c>
    </row>
    <row r="981" spans="5:19" x14ac:dyDescent="0.75">
      <c r="E981">
        <v>976</v>
      </c>
      <c r="F981">
        <f t="shared" si="902"/>
        <v>100</v>
      </c>
      <c r="G981">
        <f t="shared" ca="1" si="903"/>
        <v>99.147682553775439</v>
      </c>
      <c r="H981">
        <f t="shared" ca="1" si="903"/>
        <v>94.834780565439104</v>
      </c>
      <c r="I981">
        <f t="shared" ca="1" si="903"/>
        <v>92.408718319049257</v>
      </c>
      <c r="J981">
        <f t="shared" ca="1" si="903"/>
        <v>93.008155287291956</v>
      </c>
      <c r="K981">
        <f t="shared" ca="1" si="903"/>
        <v>97.808651836179465</v>
      </c>
      <c r="L981">
        <f t="shared" ca="1" si="903"/>
        <v>94.530326554356051</v>
      </c>
      <c r="M981">
        <f t="shared" ca="1" si="903"/>
        <v>91.195548844864973</v>
      </c>
      <c r="N981">
        <f t="shared" ca="1" si="903"/>
        <v>85.992222775326923</v>
      </c>
      <c r="O981">
        <f t="shared" ca="1" si="903"/>
        <v>94.052719526924506</v>
      </c>
      <c r="P981">
        <f t="shared" ca="1" si="903"/>
        <v>98.474169865070166</v>
      </c>
      <c r="Q981">
        <f t="shared" ca="1" si="904"/>
        <v>99.147682553775439</v>
      </c>
      <c r="R981">
        <f t="shared" ca="1" si="905"/>
        <v>0</v>
      </c>
      <c r="S981">
        <f t="shared" ca="1" si="906"/>
        <v>0</v>
      </c>
    </row>
    <row r="982" spans="5:19" x14ac:dyDescent="0.75">
      <c r="E982">
        <v>977</v>
      </c>
      <c r="F982">
        <f t="shared" si="902"/>
        <v>100</v>
      </c>
      <c r="G982">
        <f t="shared" ca="1" si="903"/>
        <v>106.09772554149156</v>
      </c>
      <c r="H982">
        <f t="shared" ca="1" si="903"/>
        <v>117.01601699276482</v>
      </c>
      <c r="I982">
        <f t="shared" ca="1" si="903"/>
        <v>109.58972427600757</v>
      </c>
      <c r="J982">
        <f t="shared" ca="1" si="903"/>
        <v>113.81294912748417</v>
      </c>
      <c r="K982">
        <f t="shared" ca="1" si="903"/>
        <v>119.36811442530775</v>
      </c>
      <c r="L982">
        <f t="shared" ca="1" si="903"/>
        <v>124.30686602835405</v>
      </c>
      <c r="M982">
        <f t="shared" ca="1" si="903"/>
        <v>126.57975756298899</v>
      </c>
      <c r="N982">
        <f t="shared" ca="1" si="903"/>
        <v>120.13473077291808</v>
      </c>
      <c r="O982">
        <f t="shared" ca="1" si="903"/>
        <v>116.08277657508066</v>
      </c>
      <c r="P982">
        <f t="shared" ca="1" si="903"/>
        <v>111.12976909820392</v>
      </c>
      <c r="Q982">
        <f t="shared" ca="1" si="904"/>
        <v>126.57975756298899</v>
      </c>
      <c r="R982">
        <f t="shared" ca="1" si="905"/>
        <v>0</v>
      </c>
      <c r="S982">
        <f t="shared" ca="1" si="906"/>
        <v>0</v>
      </c>
    </row>
    <row r="983" spans="5:19" x14ac:dyDescent="0.75">
      <c r="E983">
        <v>978</v>
      </c>
      <c r="F983">
        <f t="shared" si="902"/>
        <v>100</v>
      </c>
      <c r="G983">
        <f t="shared" ca="1" si="903"/>
        <v>97.81944741361535</v>
      </c>
      <c r="H983">
        <f t="shared" ca="1" si="903"/>
        <v>104.51093073664909</v>
      </c>
      <c r="I983">
        <f t="shared" ca="1" si="903"/>
        <v>108.2059955304086</v>
      </c>
      <c r="J983">
        <f t="shared" ca="1" si="903"/>
        <v>109.60767518997855</v>
      </c>
      <c r="K983">
        <f t="shared" ca="1" si="903"/>
        <v>111.63096574463152</v>
      </c>
      <c r="L983">
        <f t="shared" ca="1" si="903"/>
        <v>107.74110718411985</v>
      </c>
      <c r="M983">
        <f t="shared" ca="1" si="903"/>
        <v>112.51542375527586</v>
      </c>
      <c r="N983">
        <f t="shared" ca="1" si="903"/>
        <v>108.88090366774337</v>
      </c>
      <c r="O983">
        <f t="shared" ca="1" si="903"/>
        <v>113.56543385779733</v>
      </c>
      <c r="P983">
        <f t="shared" ca="1" si="903"/>
        <v>105.32727165476729</v>
      </c>
      <c r="Q983">
        <f t="shared" ca="1" si="904"/>
        <v>113.56543385779733</v>
      </c>
      <c r="R983">
        <f t="shared" ca="1" si="905"/>
        <v>0</v>
      </c>
      <c r="S983">
        <f t="shared" ca="1" si="906"/>
        <v>0</v>
      </c>
    </row>
    <row r="984" spans="5:19" x14ac:dyDescent="0.75">
      <c r="E984">
        <v>979</v>
      </c>
      <c r="F984">
        <f t="shared" si="902"/>
        <v>100</v>
      </c>
      <c r="G984">
        <f t="shared" ca="1" si="903"/>
        <v>98.383495812392681</v>
      </c>
      <c r="H984">
        <f t="shared" ca="1" si="903"/>
        <v>95.807400784377492</v>
      </c>
      <c r="I984">
        <f t="shared" ca="1" si="903"/>
        <v>98.573023386189405</v>
      </c>
      <c r="J984">
        <f t="shared" ca="1" si="903"/>
        <v>103.53520175222013</v>
      </c>
      <c r="K984">
        <f t="shared" ca="1" si="903"/>
        <v>107.13061328733176</v>
      </c>
      <c r="L984">
        <f t="shared" ca="1" si="903"/>
        <v>98.756932246428832</v>
      </c>
      <c r="M984">
        <f t="shared" ca="1" si="903"/>
        <v>95.838453232173265</v>
      </c>
      <c r="N984">
        <f t="shared" ca="1" si="903"/>
        <v>92.82434445220801</v>
      </c>
      <c r="O984">
        <f t="shared" ca="1" si="903"/>
        <v>92.363522949012861</v>
      </c>
      <c r="P984">
        <f t="shared" ca="1" si="903"/>
        <v>91.776566062843614</v>
      </c>
      <c r="Q984">
        <f t="shared" ca="1" si="904"/>
        <v>107.13061328733176</v>
      </c>
      <c r="R984">
        <f t="shared" ca="1" si="905"/>
        <v>0</v>
      </c>
      <c r="S984">
        <f t="shared" ca="1" si="906"/>
        <v>0</v>
      </c>
    </row>
    <row r="985" spans="5:19" x14ac:dyDescent="0.75">
      <c r="E985">
        <v>980</v>
      </c>
      <c r="F985">
        <f t="shared" si="902"/>
        <v>100</v>
      </c>
      <c r="G985">
        <f t="shared" ca="1" si="903"/>
        <v>103.95357558434799</v>
      </c>
      <c r="H985">
        <f t="shared" ca="1" si="903"/>
        <v>103.12195327231524</v>
      </c>
      <c r="I985">
        <f t="shared" ca="1" si="903"/>
        <v>95.245393095326378</v>
      </c>
      <c r="J985">
        <f t="shared" ca="1" si="903"/>
        <v>98.143695453538072</v>
      </c>
      <c r="K985">
        <f t="shared" ca="1" si="903"/>
        <v>90.371403131125135</v>
      </c>
      <c r="L985">
        <f t="shared" ca="1" si="903"/>
        <v>87.230557883656616</v>
      </c>
      <c r="M985">
        <f t="shared" ca="1" si="903"/>
        <v>89.509177280338278</v>
      </c>
      <c r="N985">
        <f t="shared" ca="1" si="903"/>
        <v>88.825374258348404</v>
      </c>
      <c r="O985">
        <f t="shared" ca="1" si="903"/>
        <v>94.110033175119312</v>
      </c>
      <c r="P985">
        <f t="shared" ca="1" si="903"/>
        <v>98.706683148002313</v>
      </c>
      <c r="Q985">
        <f t="shared" ca="1" si="904"/>
        <v>103.95357558434799</v>
      </c>
      <c r="R985">
        <f t="shared" ca="1" si="905"/>
        <v>0</v>
      </c>
      <c r="S985">
        <f t="shared" ca="1" si="906"/>
        <v>0</v>
      </c>
    </row>
    <row r="986" spans="5:19" x14ac:dyDescent="0.75">
      <c r="E986">
        <v>981</v>
      </c>
      <c r="F986">
        <f t="shared" si="902"/>
        <v>100</v>
      </c>
      <c r="G986">
        <f t="shared" ca="1" si="903"/>
        <v>98.807800953087209</v>
      </c>
      <c r="H986">
        <f t="shared" ca="1" si="903"/>
        <v>91.319071559801088</v>
      </c>
      <c r="I986">
        <f t="shared" ca="1" si="903"/>
        <v>92.498912684828667</v>
      </c>
      <c r="J986">
        <f t="shared" ca="1" si="903"/>
        <v>93.681669594721825</v>
      </c>
      <c r="K986">
        <f t="shared" ca="1" si="903"/>
        <v>95.336925907742042</v>
      </c>
      <c r="L986">
        <f t="shared" ca="1" si="903"/>
        <v>92.778160848313405</v>
      </c>
      <c r="M986">
        <f t="shared" ca="1" si="903"/>
        <v>95.167549082094865</v>
      </c>
      <c r="N986">
        <f t="shared" ca="1" si="903"/>
        <v>90.54334406971175</v>
      </c>
      <c r="O986">
        <f t="shared" ref="O986:P986" ca="1" si="907">N986*EXP(($C$6-0.5*$C$7^2)*$C$12+$C$7*SQRT($C$12)*NORMINV(RAND(),0,1))</f>
        <v>97.296508135126274</v>
      </c>
      <c r="P986">
        <f t="shared" ca="1" si="907"/>
        <v>101.21144992552699</v>
      </c>
      <c r="Q986">
        <f t="shared" ca="1" si="904"/>
        <v>101.21144992552699</v>
      </c>
      <c r="R986">
        <f t="shared" ca="1" si="905"/>
        <v>0</v>
      </c>
      <c r="S986">
        <f t="shared" ca="1" si="906"/>
        <v>0</v>
      </c>
    </row>
    <row r="987" spans="5:19" x14ac:dyDescent="0.75">
      <c r="E987">
        <v>982</v>
      </c>
      <c r="F987">
        <f t="shared" si="902"/>
        <v>100</v>
      </c>
      <c r="G987">
        <f t="shared" ca="1" si="903"/>
        <v>92.696166369524661</v>
      </c>
      <c r="H987">
        <f t="shared" ca="1" si="903"/>
        <v>89.783076997101034</v>
      </c>
      <c r="I987">
        <f t="shared" ca="1" si="903"/>
        <v>83.686677190205373</v>
      </c>
      <c r="J987">
        <f t="shared" ref="J987:P987" ca="1" si="908">I987*EXP(($C$6-0.5*$C$7^2)*$C$12+$C$7*SQRT($C$12)*NORMINV(RAND(),0,1))</f>
        <v>78.766475320001518</v>
      </c>
      <c r="K987">
        <f t="shared" ca="1" si="908"/>
        <v>79.080584484960795</v>
      </c>
      <c r="L987">
        <f t="shared" ca="1" si="908"/>
        <v>80.512494790813491</v>
      </c>
      <c r="M987">
        <f t="shared" ca="1" si="908"/>
        <v>83.467402895826865</v>
      </c>
      <c r="N987">
        <f t="shared" ca="1" si="908"/>
        <v>80.939248067698443</v>
      </c>
      <c r="O987">
        <f t="shared" ca="1" si="908"/>
        <v>76.964012302425118</v>
      </c>
      <c r="P987">
        <f t="shared" ca="1" si="908"/>
        <v>78.95381248270364</v>
      </c>
      <c r="Q987">
        <f t="shared" ca="1" si="904"/>
        <v>92.696166369524661</v>
      </c>
      <c r="R987">
        <f t="shared" ca="1" si="905"/>
        <v>0</v>
      </c>
      <c r="S987">
        <f t="shared" ca="1" si="906"/>
        <v>0</v>
      </c>
    </row>
    <row r="988" spans="5:19" x14ac:dyDescent="0.75">
      <c r="E988">
        <v>983</v>
      </c>
      <c r="F988">
        <f t="shared" si="902"/>
        <v>100</v>
      </c>
      <c r="G988">
        <f t="shared" ca="1" si="903"/>
        <v>108.62713737595986</v>
      </c>
      <c r="H988">
        <f t="shared" ca="1" si="903"/>
        <v>109.73054847072297</v>
      </c>
      <c r="I988">
        <f t="shared" ca="1" si="903"/>
        <v>101.13206054941148</v>
      </c>
      <c r="J988">
        <f t="shared" ref="J988:P988" ca="1" si="909">I988*EXP(($C$6-0.5*$C$7^2)*$C$12+$C$7*SQRT($C$12)*NORMINV(RAND(),0,1))</f>
        <v>109.90240856348278</v>
      </c>
      <c r="K988">
        <f t="shared" ca="1" si="909"/>
        <v>111.90858311100979</v>
      </c>
      <c r="L988">
        <f t="shared" ca="1" si="909"/>
        <v>115.66278780817905</v>
      </c>
      <c r="M988">
        <f t="shared" ca="1" si="909"/>
        <v>116.93518206493174</v>
      </c>
      <c r="N988">
        <f t="shared" ca="1" si="909"/>
        <v>111.66739317332055</v>
      </c>
      <c r="O988">
        <f t="shared" ca="1" si="909"/>
        <v>111.11987851152222</v>
      </c>
      <c r="P988">
        <f t="shared" ca="1" si="909"/>
        <v>116.65713008666131</v>
      </c>
      <c r="Q988">
        <f t="shared" ca="1" si="904"/>
        <v>116.93518206493174</v>
      </c>
      <c r="R988">
        <f t="shared" ca="1" si="905"/>
        <v>0</v>
      </c>
      <c r="S988">
        <f t="shared" ca="1" si="906"/>
        <v>0</v>
      </c>
    </row>
    <row r="989" spans="5:19" x14ac:dyDescent="0.75">
      <c r="E989">
        <v>984</v>
      </c>
      <c r="F989">
        <f t="shared" si="902"/>
        <v>100</v>
      </c>
      <c r="G989">
        <f t="shared" ca="1" si="903"/>
        <v>100.26566867365429</v>
      </c>
      <c r="H989">
        <f t="shared" ca="1" si="903"/>
        <v>102.89969379348339</v>
      </c>
      <c r="I989">
        <f t="shared" ca="1" si="903"/>
        <v>90.97914383677734</v>
      </c>
      <c r="J989">
        <f t="shared" ref="J989:P989" ca="1" si="910">I989*EXP(($C$6-0.5*$C$7^2)*$C$12+$C$7*SQRT($C$12)*NORMINV(RAND(),0,1))</f>
        <v>91.638978976715805</v>
      </c>
      <c r="K989">
        <f t="shared" ca="1" si="910"/>
        <v>95.299154734270331</v>
      </c>
      <c r="L989">
        <f t="shared" ca="1" si="910"/>
        <v>100.20641045122767</v>
      </c>
      <c r="M989">
        <f t="shared" ca="1" si="910"/>
        <v>102.13937516356685</v>
      </c>
      <c r="N989">
        <f t="shared" ca="1" si="910"/>
        <v>101.40681138642232</v>
      </c>
      <c r="O989">
        <f t="shared" ca="1" si="910"/>
        <v>102.81779178859718</v>
      </c>
      <c r="P989">
        <f t="shared" ca="1" si="910"/>
        <v>108.1251640949195</v>
      </c>
      <c r="Q989">
        <f t="shared" ca="1" si="904"/>
        <v>108.1251640949195</v>
      </c>
      <c r="R989">
        <f t="shared" ca="1" si="905"/>
        <v>6.1251640949194979</v>
      </c>
      <c r="S989">
        <f t="shared" ca="1" si="906"/>
        <v>5.9739332545750372</v>
      </c>
    </row>
    <row r="990" spans="5:19" x14ac:dyDescent="0.75">
      <c r="E990">
        <v>985</v>
      </c>
      <c r="F990">
        <f t="shared" si="902"/>
        <v>100</v>
      </c>
      <c r="G990">
        <f t="shared" ca="1" si="903"/>
        <v>103.03341684323016</v>
      </c>
      <c r="H990">
        <f t="shared" ca="1" si="903"/>
        <v>104.7595896404703</v>
      </c>
      <c r="I990">
        <f t="shared" ca="1" si="903"/>
        <v>104.58951327556399</v>
      </c>
      <c r="J990">
        <f t="shared" ref="J990:P990" ca="1" si="911">I990*EXP(($C$6-0.5*$C$7^2)*$C$12+$C$7*SQRT($C$12)*NORMINV(RAND(),0,1))</f>
        <v>95.87098742085999</v>
      </c>
      <c r="K990">
        <f t="shared" ca="1" si="911"/>
        <v>98.959486013657184</v>
      </c>
      <c r="L990">
        <f t="shared" ca="1" si="911"/>
        <v>97.435678416846727</v>
      </c>
      <c r="M990">
        <f t="shared" ca="1" si="911"/>
        <v>95.495422530687051</v>
      </c>
      <c r="N990">
        <f t="shared" ca="1" si="911"/>
        <v>94.846438584692265</v>
      </c>
      <c r="O990">
        <f t="shared" ca="1" si="911"/>
        <v>88.871006824667063</v>
      </c>
      <c r="P990">
        <f t="shared" ca="1" si="911"/>
        <v>94.65469925021776</v>
      </c>
      <c r="Q990">
        <f t="shared" ca="1" si="904"/>
        <v>104.7595896404703</v>
      </c>
      <c r="R990">
        <f t="shared" ca="1" si="905"/>
        <v>0</v>
      </c>
      <c r="S990">
        <f t="shared" ca="1" si="906"/>
        <v>0</v>
      </c>
    </row>
    <row r="991" spans="5:19" x14ac:dyDescent="0.75">
      <c r="E991">
        <v>986</v>
      </c>
      <c r="F991">
        <f t="shared" si="902"/>
        <v>100</v>
      </c>
      <c r="G991">
        <f t="shared" ca="1" si="903"/>
        <v>107.15152478536044</v>
      </c>
      <c r="H991">
        <f t="shared" ca="1" si="903"/>
        <v>106.44219727417594</v>
      </c>
      <c r="I991">
        <f t="shared" ca="1" si="903"/>
        <v>104.57924311894143</v>
      </c>
      <c r="J991">
        <f t="shared" ref="J991:P991" ca="1" si="912">I991*EXP(($C$6-0.5*$C$7^2)*$C$12+$C$7*SQRT($C$12)*NORMINV(RAND(),0,1))</f>
        <v>104.88872697530674</v>
      </c>
      <c r="K991">
        <f t="shared" ca="1" si="912"/>
        <v>101.38432649763297</v>
      </c>
      <c r="L991">
        <f t="shared" ca="1" si="912"/>
        <v>100.60396264477215</v>
      </c>
      <c r="M991">
        <f t="shared" ca="1" si="912"/>
        <v>95.86131035042834</v>
      </c>
      <c r="N991">
        <f t="shared" ca="1" si="912"/>
        <v>92.561341403802103</v>
      </c>
      <c r="O991">
        <f t="shared" ca="1" si="912"/>
        <v>93.267156560636764</v>
      </c>
      <c r="P991">
        <f t="shared" ca="1" si="912"/>
        <v>89.317731115717564</v>
      </c>
      <c r="Q991">
        <f t="shared" ca="1" si="904"/>
        <v>107.15152478536044</v>
      </c>
      <c r="R991">
        <f t="shared" ca="1" si="905"/>
        <v>0</v>
      </c>
      <c r="S991">
        <f t="shared" ca="1" si="906"/>
        <v>0</v>
      </c>
    </row>
    <row r="992" spans="5:19" x14ac:dyDescent="0.75">
      <c r="E992">
        <v>987</v>
      </c>
      <c r="F992">
        <f t="shared" si="902"/>
        <v>100</v>
      </c>
      <c r="G992">
        <f t="shared" ca="1" si="903"/>
        <v>95.65030303754628</v>
      </c>
      <c r="H992">
        <f t="shared" ca="1" si="903"/>
        <v>96.214132602938662</v>
      </c>
      <c r="I992">
        <f t="shared" ca="1" si="903"/>
        <v>95.257813937807285</v>
      </c>
      <c r="J992">
        <f t="shared" ref="J992:P992" ca="1" si="913">I992*EXP(($C$6-0.5*$C$7^2)*$C$12+$C$7*SQRT($C$12)*NORMINV(RAND(),0,1))</f>
        <v>96.206970613974107</v>
      </c>
      <c r="K992">
        <f t="shared" ca="1" si="913"/>
        <v>102.18113861426669</v>
      </c>
      <c r="L992">
        <f t="shared" ca="1" si="913"/>
        <v>99.099583748028195</v>
      </c>
      <c r="M992">
        <f t="shared" ca="1" si="913"/>
        <v>100.81677128640122</v>
      </c>
      <c r="N992">
        <f t="shared" ca="1" si="913"/>
        <v>94.880872537733012</v>
      </c>
      <c r="O992">
        <f t="shared" ca="1" si="913"/>
        <v>97.554855211276305</v>
      </c>
      <c r="P992">
        <f t="shared" ca="1" si="913"/>
        <v>99.745932585095659</v>
      </c>
      <c r="Q992">
        <f t="shared" ca="1" si="904"/>
        <v>102.18113861426669</v>
      </c>
      <c r="R992">
        <f t="shared" ca="1" si="905"/>
        <v>0</v>
      </c>
      <c r="S992">
        <f t="shared" ca="1" si="906"/>
        <v>0</v>
      </c>
    </row>
    <row r="993" spans="5:19" x14ac:dyDescent="0.75">
      <c r="E993">
        <v>988</v>
      </c>
      <c r="F993">
        <f t="shared" si="902"/>
        <v>100</v>
      </c>
      <c r="G993">
        <f t="shared" ca="1" si="903"/>
        <v>104.07619128831122</v>
      </c>
      <c r="H993">
        <f t="shared" ca="1" si="903"/>
        <v>104.53118783861939</v>
      </c>
      <c r="I993">
        <f t="shared" ca="1" si="903"/>
        <v>104.96451167542305</v>
      </c>
      <c r="J993">
        <f t="shared" ref="J993:P993" ca="1" si="914">I993*EXP(($C$6-0.5*$C$7^2)*$C$12+$C$7*SQRT($C$12)*NORMINV(RAND(),0,1))</f>
        <v>116.73056686114379</v>
      </c>
      <c r="K993">
        <f t="shared" ca="1" si="914"/>
        <v>112.52705484846591</v>
      </c>
      <c r="L993">
        <f t="shared" ca="1" si="914"/>
        <v>110.70460601767388</v>
      </c>
      <c r="M993">
        <f t="shared" ca="1" si="914"/>
        <v>115.53580802988739</v>
      </c>
      <c r="N993">
        <f t="shared" ca="1" si="914"/>
        <v>116.45539839214221</v>
      </c>
      <c r="O993">
        <f t="shared" ca="1" si="914"/>
        <v>114.25914616221534</v>
      </c>
      <c r="P993">
        <f t="shared" ca="1" si="914"/>
        <v>117.01618748822472</v>
      </c>
      <c r="Q993">
        <f t="shared" ca="1" si="904"/>
        <v>117.01618748822472</v>
      </c>
      <c r="R993">
        <f t="shared" ca="1" si="905"/>
        <v>0</v>
      </c>
      <c r="S993">
        <f t="shared" ca="1" si="906"/>
        <v>0</v>
      </c>
    </row>
    <row r="994" spans="5:19" x14ac:dyDescent="0.75">
      <c r="E994">
        <v>989</v>
      </c>
      <c r="F994">
        <f t="shared" si="902"/>
        <v>100</v>
      </c>
      <c r="G994">
        <f t="shared" ca="1" si="903"/>
        <v>101.27980101264755</v>
      </c>
      <c r="H994">
        <f t="shared" ca="1" si="903"/>
        <v>96.929423561263889</v>
      </c>
      <c r="I994">
        <f t="shared" ca="1" si="903"/>
        <v>96.847796984405306</v>
      </c>
      <c r="J994">
        <f t="shared" ref="J994:P994" ca="1" si="915">I994*EXP(($C$6-0.5*$C$7^2)*$C$12+$C$7*SQRT($C$12)*NORMINV(RAND(),0,1))</f>
        <v>102.64868915564956</v>
      </c>
      <c r="K994">
        <f t="shared" ca="1" si="915"/>
        <v>106.17559746094346</v>
      </c>
      <c r="L994">
        <f t="shared" ca="1" si="915"/>
        <v>97.453834766259902</v>
      </c>
      <c r="M994">
        <f t="shared" ca="1" si="915"/>
        <v>92.900158737237078</v>
      </c>
      <c r="N994">
        <f t="shared" ca="1" si="915"/>
        <v>94.61172200227621</v>
      </c>
      <c r="O994">
        <f t="shared" ca="1" si="915"/>
        <v>94.599957221770367</v>
      </c>
      <c r="P994">
        <f t="shared" ca="1" si="915"/>
        <v>100.31048955691259</v>
      </c>
      <c r="Q994">
        <f t="shared" ca="1" si="904"/>
        <v>106.17559746094346</v>
      </c>
      <c r="R994">
        <f t="shared" ca="1" si="905"/>
        <v>0</v>
      </c>
      <c r="S994">
        <f t="shared" ca="1" si="906"/>
        <v>0</v>
      </c>
    </row>
    <row r="995" spans="5:19" x14ac:dyDescent="0.75">
      <c r="E995">
        <v>990</v>
      </c>
      <c r="F995">
        <f t="shared" si="902"/>
        <v>100</v>
      </c>
      <c r="G995">
        <f t="shared" ca="1" si="903"/>
        <v>97.327663633520544</v>
      </c>
      <c r="H995">
        <f t="shared" ca="1" si="903"/>
        <v>98.879680909759273</v>
      </c>
      <c r="I995">
        <f t="shared" ca="1" si="903"/>
        <v>97.989018396295037</v>
      </c>
      <c r="J995">
        <f t="shared" ref="J995:P995" ca="1" si="916">I995*EXP(($C$6-0.5*$C$7^2)*$C$12+$C$7*SQRT($C$12)*NORMINV(RAND(),0,1))</f>
        <v>99.065574922585398</v>
      </c>
      <c r="K995">
        <f t="shared" ca="1" si="916"/>
        <v>102.04366168797318</v>
      </c>
      <c r="L995">
        <f t="shared" ca="1" si="916"/>
        <v>105.47219871766178</v>
      </c>
      <c r="M995">
        <f t="shared" ca="1" si="916"/>
        <v>103.42573878941317</v>
      </c>
      <c r="N995">
        <f t="shared" ca="1" si="916"/>
        <v>102.12052016090892</v>
      </c>
      <c r="O995">
        <f t="shared" ca="1" si="916"/>
        <v>107.17590790051895</v>
      </c>
      <c r="P995">
        <f t="shared" ca="1" si="916"/>
        <v>107.14347517870384</v>
      </c>
      <c r="Q995">
        <f t="shared" ca="1" si="904"/>
        <v>107.17590790051895</v>
      </c>
      <c r="R995">
        <f t="shared" ca="1" si="905"/>
        <v>5.143475178703838</v>
      </c>
      <c r="S995">
        <f t="shared" ca="1" si="906"/>
        <v>5.0164823240615526</v>
      </c>
    </row>
    <row r="996" spans="5:19" x14ac:dyDescent="0.75">
      <c r="E996">
        <v>991</v>
      </c>
      <c r="F996">
        <f t="shared" si="902"/>
        <v>100</v>
      </c>
      <c r="G996">
        <f t="shared" ca="1" si="903"/>
        <v>102.94163388330236</v>
      </c>
      <c r="H996">
        <f t="shared" ca="1" si="903"/>
        <v>103.09078552809954</v>
      </c>
      <c r="I996">
        <f t="shared" ca="1" si="903"/>
        <v>98.822785316805266</v>
      </c>
      <c r="J996">
        <f t="shared" ref="J996:P996" ca="1" si="917">I996*EXP(($C$6-0.5*$C$7^2)*$C$12+$C$7*SQRT($C$12)*NORMINV(RAND(),0,1))</f>
        <v>93.637694458381318</v>
      </c>
      <c r="K996">
        <f t="shared" ca="1" si="917"/>
        <v>91.327675550066587</v>
      </c>
      <c r="L996">
        <f t="shared" ca="1" si="917"/>
        <v>91.135736442043736</v>
      </c>
      <c r="M996">
        <f t="shared" ca="1" si="917"/>
        <v>96.253270204560366</v>
      </c>
      <c r="N996">
        <f t="shared" ca="1" si="917"/>
        <v>96.852336282271281</v>
      </c>
      <c r="O996">
        <f t="shared" ca="1" si="917"/>
        <v>98.325138010830585</v>
      </c>
      <c r="P996">
        <f t="shared" ca="1" si="917"/>
        <v>101.52228376212048</v>
      </c>
      <c r="Q996">
        <f t="shared" ca="1" si="904"/>
        <v>103.09078552809954</v>
      </c>
      <c r="R996">
        <f t="shared" ca="1" si="905"/>
        <v>0</v>
      </c>
      <c r="S996">
        <f t="shared" ca="1" si="906"/>
        <v>0</v>
      </c>
    </row>
    <row r="997" spans="5:19" x14ac:dyDescent="0.75">
      <c r="E997">
        <v>992</v>
      </c>
      <c r="F997">
        <f t="shared" si="902"/>
        <v>100</v>
      </c>
      <c r="G997">
        <f t="shared" ca="1" si="903"/>
        <v>104.17570284325744</v>
      </c>
      <c r="H997">
        <f t="shared" ca="1" si="903"/>
        <v>104.07340982372835</v>
      </c>
      <c r="I997">
        <f t="shared" ca="1" si="903"/>
        <v>108.21796104239097</v>
      </c>
      <c r="J997">
        <f t="shared" ref="J997:P997" ca="1" si="918">I997*EXP(($C$6-0.5*$C$7^2)*$C$12+$C$7*SQRT($C$12)*NORMINV(RAND(),0,1))</f>
        <v>106.25377351889783</v>
      </c>
      <c r="K997">
        <f t="shared" ca="1" si="918"/>
        <v>111.80651508350627</v>
      </c>
      <c r="L997">
        <f t="shared" ca="1" si="918"/>
        <v>113.77820103433925</v>
      </c>
      <c r="M997">
        <f t="shared" ca="1" si="918"/>
        <v>121.07026169054225</v>
      </c>
      <c r="N997">
        <f t="shared" ca="1" si="918"/>
        <v>123.91130822903902</v>
      </c>
      <c r="O997">
        <f t="shared" ca="1" si="918"/>
        <v>114.89864806856204</v>
      </c>
      <c r="P997">
        <f t="shared" ca="1" si="918"/>
        <v>110.16085600886569</v>
      </c>
      <c r="Q997">
        <f t="shared" ca="1" si="904"/>
        <v>123.91130822903902</v>
      </c>
      <c r="R997">
        <f t="shared" ca="1" si="905"/>
        <v>0</v>
      </c>
      <c r="S997">
        <f t="shared" ca="1" si="906"/>
        <v>0</v>
      </c>
    </row>
    <row r="998" spans="5:19" x14ac:dyDescent="0.75">
      <c r="E998">
        <v>993</v>
      </c>
      <c r="F998">
        <f t="shared" si="902"/>
        <v>100</v>
      </c>
      <c r="G998">
        <f t="shared" ca="1" si="903"/>
        <v>101.76127913570552</v>
      </c>
      <c r="H998">
        <f t="shared" ca="1" si="903"/>
        <v>103.61137970042763</v>
      </c>
      <c r="I998">
        <f t="shared" ca="1" si="903"/>
        <v>97.254677560661364</v>
      </c>
      <c r="J998">
        <f t="shared" ref="J998:P998" ca="1" si="919">I998*EXP(($C$6-0.5*$C$7^2)*$C$12+$C$7*SQRT($C$12)*NORMINV(RAND(),0,1))</f>
        <v>106.74949561569841</v>
      </c>
      <c r="K998">
        <f t="shared" ca="1" si="919"/>
        <v>106.79348258074886</v>
      </c>
      <c r="L998">
        <f t="shared" ca="1" si="919"/>
        <v>107.14236478247423</v>
      </c>
      <c r="M998">
        <f t="shared" ca="1" si="919"/>
        <v>116.30312039873984</v>
      </c>
      <c r="N998">
        <f t="shared" ca="1" si="919"/>
        <v>119.33381116710565</v>
      </c>
      <c r="O998">
        <f t="shared" ca="1" si="919"/>
        <v>121.4465119832301</v>
      </c>
      <c r="P998">
        <f t="shared" ca="1" si="919"/>
        <v>124.6298108220266</v>
      </c>
      <c r="Q998">
        <f t="shared" ca="1" si="904"/>
        <v>124.6298108220266</v>
      </c>
      <c r="R998">
        <f t="shared" ca="1" si="905"/>
        <v>0</v>
      </c>
      <c r="S998">
        <f t="shared" ca="1" si="906"/>
        <v>0</v>
      </c>
    </row>
    <row r="999" spans="5:19" x14ac:dyDescent="0.75">
      <c r="E999">
        <v>994</v>
      </c>
      <c r="F999">
        <f t="shared" si="902"/>
        <v>100</v>
      </c>
      <c r="G999">
        <f t="shared" ca="1" si="903"/>
        <v>96.587579593290002</v>
      </c>
      <c r="H999">
        <f t="shared" ca="1" si="903"/>
        <v>103.16189901216296</v>
      </c>
      <c r="I999">
        <f t="shared" ca="1" si="903"/>
        <v>101.4586726853446</v>
      </c>
      <c r="J999">
        <f t="shared" ref="J999:P999" ca="1" si="920">I999*EXP(($C$6-0.5*$C$7^2)*$C$12+$C$7*SQRT($C$12)*NORMINV(RAND(),0,1))</f>
        <v>103.72826998672119</v>
      </c>
      <c r="K999">
        <f t="shared" ca="1" si="920"/>
        <v>102.7227454179741</v>
      </c>
      <c r="L999">
        <f t="shared" ca="1" si="920"/>
        <v>104.38508301315387</v>
      </c>
      <c r="M999">
        <f t="shared" ca="1" si="920"/>
        <v>113.81099715556952</v>
      </c>
      <c r="N999">
        <f t="shared" ca="1" si="920"/>
        <v>110.90671067157935</v>
      </c>
      <c r="O999">
        <f t="shared" ca="1" si="920"/>
        <v>123.13897867492273</v>
      </c>
      <c r="P999">
        <f t="shared" ca="1" si="920"/>
        <v>125.42793535339516</v>
      </c>
      <c r="Q999">
        <f t="shared" ca="1" si="904"/>
        <v>125.42793535339516</v>
      </c>
      <c r="R999">
        <f t="shared" ca="1" si="905"/>
        <v>0</v>
      </c>
      <c r="S999">
        <f t="shared" ca="1" si="906"/>
        <v>0</v>
      </c>
    </row>
    <row r="1000" spans="5:19" x14ac:dyDescent="0.75">
      <c r="E1000">
        <v>995</v>
      </c>
      <c r="F1000">
        <f t="shared" si="902"/>
        <v>100</v>
      </c>
      <c r="G1000">
        <f t="shared" ca="1" si="903"/>
        <v>101.04739125505067</v>
      </c>
      <c r="H1000">
        <f t="shared" ca="1" si="903"/>
        <v>104.76360226324357</v>
      </c>
      <c r="I1000">
        <f t="shared" ca="1" si="903"/>
        <v>105.09313188237689</v>
      </c>
      <c r="J1000">
        <f t="shared" ref="J1000:P1000" ca="1" si="921">I1000*EXP(($C$6-0.5*$C$7^2)*$C$12+$C$7*SQRT($C$12)*NORMINV(RAND(),0,1))</f>
        <v>109.96803291336293</v>
      </c>
      <c r="K1000">
        <f t="shared" ca="1" si="921"/>
        <v>112.21116177637099</v>
      </c>
      <c r="L1000">
        <f t="shared" ca="1" si="921"/>
        <v>122.09982542857441</v>
      </c>
      <c r="M1000">
        <f t="shared" ca="1" si="921"/>
        <v>121.50752871651738</v>
      </c>
      <c r="N1000">
        <f t="shared" ca="1" si="921"/>
        <v>120.49492993699603</v>
      </c>
      <c r="O1000">
        <f t="shared" ca="1" si="921"/>
        <v>116.56884731648411</v>
      </c>
      <c r="P1000">
        <f t="shared" ca="1" si="921"/>
        <v>116.99826891691289</v>
      </c>
      <c r="Q1000">
        <f t="shared" ca="1" si="904"/>
        <v>122.09982542857441</v>
      </c>
      <c r="R1000">
        <f t="shared" ca="1" si="905"/>
        <v>0</v>
      </c>
      <c r="S1000">
        <f t="shared" ca="1" si="906"/>
        <v>0</v>
      </c>
    </row>
    <row r="1001" spans="5:19" x14ac:dyDescent="0.75">
      <c r="E1001">
        <v>996</v>
      </c>
      <c r="F1001">
        <f t="shared" si="902"/>
        <v>100</v>
      </c>
      <c r="G1001">
        <f t="shared" ca="1" si="903"/>
        <v>97.856641103839294</v>
      </c>
      <c r="H1001">
        <f t="shared" ca="1" si="903"/>
        <v>91.256439915743741</v>
      </c>
      <c r="I1001">
        <f t="shared" ca="1" si="903"/>
        <v>91.360928229363537</v>
      </c>
      <c r="J1001">
        <f t="shared" ref="J1001:P1001" ca="1" si="922">I1001*EXP(($C$6-0.5*$C$7^2)*$C$12+$C$7*SQRT($C$12)*NORMINV(RAND(),0,1))</f>
        <v>94.135674269660612</v>
      </c>
      <c r="K1001">
        <f t="shared" ca="1" si="922"/>
        <v>98.939711280332716</v>
      </c>
      <c r="L1001">
        <f t="shared" ca="1" si="922"/>
        <v>95.808174004313258</v>
      </c>
      <c r="M1001">
        <f t="shared" ca="1" si="922"/>
        <v>103.83397752801463</v>
      </c>
      <c r="N1001">
        <f t="shared" ca="1" si="922"/>
        <v>100.27867243923988</v>
      </c>
      <c r="O1001">
        <f t="shared" ca="1" si="922"/>
        <v>111.37195558375493</v>
      </c>
      <c r="P1001">
        <f t="shared" ca="1" si="922"/>
        <v>102.89406122793244</v>
      </c>
      <c r="Q1001">
        <f t="shared" ca="1" si="904"/>
        <v>111.37195558375493</v>
      </c>
      <c r="R1001">
        <f t="shared" ca="1" si="905"/>
        <v>0</v>
      </c>
      <c r="S1001">
        <f t="shared" ca="1" si="906"/>
        <v>0</v>
      </c>
    </row>
    <row r="1002" spans="5:19" x14ac:dyDescent="0.75">
      <c r="E1002">
        <v>997</v>
      </c>
      <c r="F1002">
        <f t="shared" si="902"/>
        <v>100</v>
      </c>
      <c r="G1002">
        <f t="shared" ca="1" si="903"/>
        <v>102.16249490002673</v>
      </c>
      <c r="H1002">
        <f t="shared" ca="1" si="903"/>
        <v>96.147647290560244</v>
      </c>
      <c r="I1002">
        <f t="shared" ca="1" si="903"/>
        <v>85.886997914453602</v>
      </c>
      <c r="J1002">
        <f t="shared" ref="J1002:P1002" ca="1" si="923">I1002*EXP(($C$6-0.5*$C$7^2)*$C$12+$C$7*SQRT($C$12)*NORMINV(RAND(),0,1))</f>
        <v>88.722641677082407</v>
      </c>
      <c r="K1002">
        <f t="shared" ca="1" si="923"/>
        <v>86.146964110864985</v>
      </c>
      <c r="L1002">
        <f t="shared" ca="1" si="923"/>
        <v>83.553870219909925</v>
      </c>
      <c r="M1002">
        <f t="shared" ca="1" si="923"/>
        <v>85.508100973634953</v>
      </c>
      <c r="N1002">
        <f t="shared" ca="1" si="923"/>
        <v>85.558956868764355</v>
      </c>
      <c r="O1002">
        <f t="shared" ca="1" si="923"/>
        <v>90.600148511324377</v>
      </c>
      <c r="P1002">
        <f t="shared" ca="1" si="923"/>
        <v>89.673429166803317</v>
      </c>
      <c r="Q1002">
        <f t="shared" ca="1" si="904"/>
        <v>102.16249490002673</v>
      </c>
      <c r="R1002">
        <f t="shared" ca="1" si="905"/>
        <v>0</v>
      </c>
      <c r="S1002">
        <f t="shared" ca="1" si="906"/>
        <v>0</v>
      </c>
    </row>
    <row r="1003" spans="5:19" x14ac:dyDescent="0.75">
      <c r="E1003">
        <v>998</v>
      </c>
      <c r="F1003">
        <f t="shared" si="902"/>
        <v>100</v>
      </c>
      <c r="G1003">
        <f t="shared" ca="1" si="903"/>
        <v>102.35820931240187</v>
      </c>
      <c r="H1003">
        <f t="shared" ca="1" si="903"/>
        <v>103.55858969790218</v>
      </c>
      <c r="I1003">
        <f t="shared" ca="1" si="903"/>
        <v>105.49388447816825</v>
      </c>
      <c r="J1003">
        <f t="shared" ref="J1003:P1003" ca="1" si="924">I1003*EXP(($C$6-0.5*$C$7^2)*$C$12+$C$7*SQRT($C$12)*NORMINV(RAND(),0,1))</f>
        <v>101.58107452283136</v>
      </c>
      <c r="K1003">
        <f t="shared" ca="1" si="924"/>
        <v>102.37987883331429</v>
      </c>
      <c r="L1003">
        <f t="shared" ca="1" si="924"/>
        <v>101.23809122915632</v>
      </c>
      <c r="M1003">
        <f t="shared" ca="1" si="924"/>
        <v>93.826227381714048</v>
      </c>
      <c r="N1003">
        <f t="shared" ca="1" si="924"/>
        <v>96.655312436084401</v>
      </c>
      <c r="O1003">
        <f t="shared" ca="1" si="924"/>
        <v>98.961590385479781</v>
      </c>
      <c r="P1003">
        <f t="shared" ca="1" si="924"/>
        <v>98.390870266133646</v>
      </c>
      <c r="Q1003">
        <f t="shared" ca="1" si="904"/>
        <v>105.49388447816825</v>
      </c>
      <c r="R1003">
        <f t="shared" ca="1" si="905"/>
        <v>0</v>
      </c>
      <c r="S1003">
        <f t="shared" ca="1" si="906"/>
        <v>0</v>
      </c>
    </row>
    <row r="1004" spans="5:19" x14ac:dyDescent="0.75">
      <c r="E1004">
        <v>999</v>
      </c>
      <c r="F1004">
        <f t="shared" si="902"/>
        <v>100</v>
      </c>
      <c r="G1004">
        <f t="shared" ca="1" si="903"/>
        <v>98.704894128652271</v>
      </c>
      <c r="H1004">
        <f t="shared" ca="1" si="903"/>
        <v>92.992809164369177</v>
      </c>
      <c r="I1004">
        <f t="shared" ca="1" si="903"/>
        <v>96.771834068847625</v>
      </c>
      <c r="J1004">
        <f t="shared" ref="J1004:P1004" ca="1" si="925">I1004*EXP(($C$6-0.5*$C$7^2)*$C$12+$C$7*SQRT($C$12)*NORMINV(RAND(),0,1))</f>
        <v>100.17807679197352</v>
      </c>
      <c r="K1004">
        <f t="shared" ca="1" si="925"/>
        <v>99.477258615455369</v>
      </c>
      <c r="L1004">
        <f t="shared" ca="1" si="925"/>
        <v>95.742642589681694</v>
      </c>
      <c r="M1004">
        <f t="shared" ca="1" si="925"/>
        <v>99.072426609420035</v>
      </c>
      <c r="N1004">
        <f t="shared" ca="1" si="925"/>
        <v>102.93141562900523</v>
      </c>
      <c r="O1004">
        <f t="shared" ca="1" si="925"/>
        <v>105.6511873748765</v>
      </c>
      <c r="P1004">
        <f t="shared" ca="1" si="925"/>
        <v>112.81543187680235</v>
      </c>
      <c r="Q1004">
        <f t="shared" ca="1" si="904"/>
        <v>112.81543187680235</v>
      </c>
      <c r="R1004">
        <f t="shared" ca="1" si="905"/>
        <v>0</v>
      </c>
      <c r="S1004">
        <f t="shared" ca="1" si="906"/>
        <v>0</v>
      </c>
    </row>
    <row r="1005" spans="5:19" x14ac:dyDescent="0.75">
      <c r="E1005">
        <v>1000</v>
      </c>
      <c r="F1005">
        <f t="shared" si="902"/>
        <v>100</v>
      </c>
      <c r="G1005">
        <f t="shared" ca="1" si="903"/>
        <v>98.542145104785178</v>
      </c>
      <c r="H1005">
        <f t="shared" ca="1" si="903"/>
        <v>98.400468470222577</v>
      </c>
      <c r="I1005">
        <f t="shared" ca="1" si="903"/>
        <v>100.85190878302524</v>
      </c>
      <c r="J1005">
        <f t="shared" ref="J1005:P1005" ca="1" si="926">I1005*EXP(($C$6-0.5*$C$7^2)*$C$12+$C$7*SQRT($C$12)*NORMINV(RAND(),0,1))</f>
        <v>108.64233900420896</v>
      </c>
      <c r="K1005">
        <f t="shared" ca="1" si="926"/>
        <v>106.51833821414397</v>
      </c>
      <c r="L1005">
        <f t="shared" ca="1" si="926"/>
        <v>108.48550559612511</v>
      </c>
      <c r="M1005">
        <f t="shared" ca="1" si="926"/>
        <v>116.19437143351193</v>
      </c>
      <c r="N1005">
        <f t="shared" ca="1" si="926"/>
        <v>129.5041286732052</v>
      </c>
      <c r="O1005">
        <f t="shared" ca="1" si="926"/>
        <v>131.40929001346788</v>
      </c>
      <c r="P1005">
        <f t="shared" ca="1" si="926"/>
        <v>133.34393044897868</v>
      </c>
      <c r="Q1005">
        <f t="shared" ca="1" si="904"/>
        <v>133.34393044897868</v>
      </c>
      <c r="R1005">
        <f t="shared" ca="1" si="905"/>
        <v>0</v>
      </c>
      <c r="S1005">
        <f t="shared" ca="1" si="906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3B81E-75E5-446F-B9AE-1281A6B3D4A8}">
  <sheetPr codeName="Hoja5"/>
  <dimension ref="B2:N1005"/>
  <sheetViews>
    <sheetView topLeftCell="A5" zoomScale="101" workbookViewId="0">
      <selection activeCell="C21" sqref="C21"/>
    </sheetView>
  </sheetViews>
  <sheetFormatPr baseColWidth="10" defaultRowHeight="14.75" x14ac:dyDescent="0.75"/>
  <sheetData>
    <row r="2" spans="2:14" x14ac:dyDescent="0.75">
      <c r="C2" s="2">
        <v>1</v>
      </c>
      <c r="D2" s="2">
        <v>2</v>
      </c>
    </row>
    <row r="3" spans="2:14" x14ac:dyDescent="0.75">
      <c r="B3" t="s">
        <v>33</v>
      </c>
      <c r="C3">
        <v>18</v>
      </c>
      <c r="D3">
        <v>20</v>
      </c>
    </row>
    <row r="4" spans="2:14" x14ac:dyDescent="0.75">
      <c r="B4" t="s">
        <v>34</v>
      </c>
      <c r="C4">
        <v>0.25</v>
      </c>
      <c r="D4">
        <v>0.25</v>
      </c>
    </row>
    <row r="5" spans="2:14" x14ac:dyDescent="0.75">
      <c r="B5" t="s">
        <v>35</v>
      </c>
      <c r="C5">
        <v>0.02</v>
      </c>
      <c r="F5" t="s">
        <v>39</v>
      </c>
      <c r="G5" t="s">
        <v>40</v>
      </c>
      <c r="H5" t="s">
        <v>41</v>
      </c>
      <c r="I5" t="s">
        <v>43</v>
      </c>
      <c r="J5" t="s">
        <v>42</v>
      </c>
      <c r="K5" t="s">
        <v>44</v>
      </c>
      <c r="L5" t="s">
        <v>45</v>
      </c>
      <c r="M5" t="s">
        <v>46</v>
      </c>
      <c r="N5" t="s">
        <v>47</v>
      </c>
    </row>
    <row r="6" spans="2:14" x14ac:dyDescent="0.75">
      <c r="B6" t="s">
        <v>36</v>
      </c>
      <c r="C6">
        <v>1</v>
      </c>
      <c r="F6">
        <v>1</v>
      </c>
      <c r="G6">
        <f ca="1">NORMSINV(RAND())</f>
        <v>-1.9187940129670671</v>
      </c>
      <c r="H6">
        <f ca="1">NORMSINV(RAND())</f>
        <v>-6.0254956814862828E-2</v>
      </c>
      <c r="I6">
        <f ca="1">G6</f>
        <v>-1.9187940129670671</v>
      </c>
      <c r="J6">
        <f ca="1">G6*$C$8+SQRT(1-$C$8^2)*H6</f>
        <v>-1.4789504174730661</v>
      </c>
      <c r="K6">
        <f ca="1">C$3*EXP(($C$5-0.5*C$4^2)*$C$6+C$4*SQRT($C$6)*I6)</f>
        <v>11.016820647966114</v>
      </c>
      <c r="L6">
        <f ca="1">D$3*EXP(($C$5-0.5*D$4^2)*$C$6+D$4*SQRT($C$6)*J6)</f>
        <v>13.663727161878276</v>
      </c>
      <c r="M6">
        <f ca="1">MAX(SQRT(K6*L6)-$C$7,0)</f>
        <v>0</v>
      </c>
      <c r="N6">
        <f ca="1">MAX((K6+L6)*0.5-$C$7,0)</f>
        <v>0</v>
      </c>
    </row>
    <row r="7" spans="2:14" x14ac:dyDescent="0.75">
      <c r="B7" t="s">
        <v>37</v>
      </c>
      <c r="C7">
        <v>90</v>
      </c>
      <c r="F7">
        <v>2</v>
      </c>
      <c r="G7">
        <f t="shared" ref="G7:H70" ca="1" si="0">NORMSINV(RAND())</f>
        <v>1.4887655233387067</v>
      </c>
      <c r="H7">
        <f t="shared" ca="1" si="0"/>
        <v>1.157558812466333</v>
      </c>
      <c r="I7">
        <f t="shared" ref="I7:I70" ca="1" si="1">G7</f>
        <v>1.4887655233387067</v>
      </c>
      <c r="J7">
        <f t="shared" ref="J7:J70" ca="1" si="2">G7*$C$8+SQRT(1-$C$8^2)*H7</f>
        <v>1.8822273289333229</v>
      </c>
      <c r="K7">
        <f t="shared" ref="K7:K70" ca="1" si="3">C$3*EXP(($C$5-0.5*C$4^2)*$C$6+C$4*SQRT($C$6)*I7)</f>
        <v>25.824228456727194</v>
      </c>
      <c r="L7">
        <f t="shared" ref="L7:L70" ca="1" si="4">D$3*EXP(($C$5-0.5*D$4^2)*$C$6+D$4*SQRT($C$6)*J7)</f>
        <v>31.659526728786261</v>
      </c>
      <c r="M7">
        <f t="shared" ref="M7:M70" ca="1" si="5">MAX(SQRT(K7*L7)-$C$7,0)</f>
        <v>0</v>
      </c>
      <c r="N7">
        <f t="shared" ref="N7:N70" ca="1" si="6">MAX((K7+L7)*0.5-$C$7,0)</f>
        <v>0</v>
      </c>
    </row>
    <row r="8" spans="2:14" x14ac:dyDescent="0.75">
      <c r="B8" t="s">
        <v>38</v>
      </c>
      <c r="C8">
        <v>0.75</v>
      </c>
      <c r="F8">
        <v>3</v>
      </c>
      <c r="G8">
        <f t="shared" ca="1" si="0"/>
        <v>0.65234777408157663</v>
      </c>
      <c r="H8">
        <f t="shared" ca="1" si="0"/>
        <v>0.60286026490145828</v>
      </c>
      <c r="I8">
        <f t="shared" ca="1" si="1"/>
        <v>0.65234777408157663</v>
      </c>
      <c r="J8">
        <f t="shared" ca="1" si="2"/>
        <v>0.88801541462412747</v>
      </c>
      <c r="K8">
        <f t="shared" ca="1" si="3"/>
        <v>20.951467704673693</v>
      </c>
      <c r="L8">
        <f t="shared" ca="1" si="4"/>
        <v>24.692168466149091</v>
      </c>
      <c r="M8">
        <f t="shared" ca="1" si="5"/>
        <v>0</v>
      </c>
      <c r="N8">
        <f t="shared" ca="1" si="6"/>
        <v>0</v>
      </c>
    </row>
    <row r="9" spans="2:14" x14ac:dyDescent="0.75">
      <c r="F9">
        <v>4</v>
      </c>
      <c r="G9">
        <f t="shared" ca="1" si="0"/>
        <v>-1.5421483448961799</v>
      </c>
      <c r="H9">
        <f t="shared" ca="1" si="0"/>
        <v>2.6674028585831699</v>
      </c>
      <c r="I9">
        <f t="shared" ca="1" si="1"/>
        <v>-1.5421483448961799</v>
      </c>
      <c r="J9">
        <f t="shared" ca="1" si="2"/>
        <v>0.6077098938863299</v>
      </c>
      <c r="K9">
        <f t="shared" ca="1" si="3"/>
        <v>12.104589420882993</v>
      </c>
      <c r="L9">
        <f t="shared" ca="1" si="4"/>
        <v>23.021066857427769</v>
      </c>
      <c r="M9">
        <f t="shared" ca="1" si="5"/>
        <v>0</v>
      </c>
      <c r="N9">
        <f t="shared" ca="1" si="6"/>
        <v>0</v>
      </c>
    </row>
    <row r="10" spans="2:14" x14ac:dyDescent="0.75">
      <c r="F10">
        <v>5</v>
      </c>
      <c r="G10">
        <f t="shared" ca="1" si="0"/>
        <v>0.55938359035766272</v>
      </c>
      <c r="H10">
        <f t="shared" ca="1" si="0"/>
        <v>1.2464494011987683</v>
      </c>
      <c r="I10">
        <f t="shared" ca="1" si="1"/>
        <v>0.55938359035766272</v>
      </c>
      <c r="J10">
        <f t="shared" ca="1" si="2"/>
        <v>1.2439864771175759</v>
      </c>
      <c r="K10">
        <f t="shared" ca="1" si="3"/>
        <v>20.470148527018306</v>
      </c>
      <c r="L10">
        <f t="shared" ca="1" si="4"/>
        <v>26.990336454132784</v>
      </c>
      <c r="M10">
        <f t="shared" ca="1" si="5"/>
        <v>0</v>
      </c>
      <c r="N10">
        <f t="shared" ca="1" si="6"/>
        <v>0</v>
      </c>
    </row>
    <row r="11" spans="2:14" x14ac:dyDescent="0.75">
      <c r="B11" t="s">
        <v>48</v>
      </c>
      <c r="F11">
        <v>6</v>
      </c>
      <c r="G11">
        <f t="shared" ca="1" si="0"/>
        <v>0.93242938787797669</v>
      </c>
      <c r="H11">
        <f t="shared" ca="1" si="0"/>
        <v>-1.6541571813988007</v>
      </c>
      <c r="I11">
        <f t="shared" ca="1" si="1"/>
        <v>0.93242938787797669</v>
      </c>
      <c r="J11">
        <f t="shared" ca="1" si="2"/>
        <v>-0.39480009193971377</v>
      </c>
      <c r="K11">
        <f t="shared" ca="1" si="3"/>
        <v>22.471079005385416</v>
      </c>
      <c r="L11">
        <f t="shared" ca="1" si="4"/>
        <v>17.917578150627833</v>
      </c>
      <c r="M11">
        <f t="shared" ca="1" si="5"/>
        <v>0</v>
      </c>
      <c r="N11">
        <f t="shared" ca="1" si="6"/>
        <v>0</v>
      </c>
    </row>
    <row r="12" spans="2:14" x14ac:dyDescent="0.75">
      <c r="C12">
        <f ca="1">EXP(-C5*C6)*AVERAGE(M6:M1005)</f>
        <v>0</v>
      </c>
      <c r="F12">
        <v>7</v>
      </c>
      <c r="G12">
        <f t="shared" ca="1" si="0"/>
        <v>-0.16081178488123496</v>
      </c>
      <c r="H12">
        <f t="shared" ca="1" si="0"/>
        <v>-0.79785936948367187</v>
      </c>
      <c r="I12">
        <f t="shared" ca="1" si="1"/>
        <v>-0.16081178488123496</v>
      </c>
      <c r="J12">
        <f t="shared" ca="1" si="2"/>
        <v>-0.6483432068750743</v>
      </c>
      <c r="K12">
        <f t="shared" ca="1" si="3"/>
        <v>17.097270171576689</v>
      </c>
      <c r="L12">
        <f t="shared" ca="1" si="4"/>
        <v>16.81710413614087</v>
      </c>
      <c r="M12">
        <f t="shared" ca="1" si="5"/>
        <v>0</v>
      </c>
      <c r="N12">
        <f t="shared" ca="1" si="6"/>
        <v>0</v>
      </c>
    </row>
    <row r="13" spans="2:14" x14ac:dyDescent="0.75">
      <c r="F13">
        <v>8</v>
      </c>
      <c r="G13">
        <f t="shared" ca="1" si="0"/>
        <v>-1.2480821731262135</v>
      </c>
      <c r="H13">
        <f t="shared" ca="1" si="0"/>
        <v>-0.87963640055930825</v>
      </c>
      <c r="I13">
        <f t="shared" ca="1" si="1"/>
        <v>-1.2480821731262135</v>
      </c>
      <c r="J13">
        <f t="shared" ca="1" si="2"/>
        <v>-1.517886419854642</v>
      </c>
      <c r="K13">
        <f ca="1">C$3*EXP(($C$5-0.5*C$4^2)*$C$6+C$4*SQRT($C$6)*I13)</f>
        <v>13.02800426277043</v>
      </c>
      <c r="L13">
        <f t="shared" ca="1" si="4"/>
        <v>13.531369662617131</v>
      </c>
      <c r="M13">
        <f t="shared" ca="1" si="5"/>
        <v>0</v>
      </c>
      <c r="N13">
        <f t="shared" ca="1" si="6"/>
        <v>0</v>
      </c>
    </row>
    <row r="14" spans="2:14" x14ac:dyDescent="0.75">
      <c r="F14">
        <v>9</v>
      </c>
      <c r="G14">
        <f t="shared" ca="1" si="0"/>
        <v>0.44179010322809548</v>
      </c>
      <c r="H14">
        <f t="shared" ca="1" si="0"/>
        <v>-0.19213187581280772</v>
      </c>
      <c r="I14">
        <f t="shared" ca="1" si="1"/>
        <v>0.44179010322809548</v>
      </c>
      <c r="J14">
        <f t="shared" ca="1" si="2"/>
        <v>0.20425928683881281</v>
      </c>
      <c r="K14">
        <f t="shared" ca="1" si="3"/>
        <v>19.877119248338982</v>
      </c>
      <c r="L14">
        <f t="shared" ca="1" si="4"/>
        <v>20.812361129536399</v>
      </c>
      <c r="M14">
        <f t="shared" ca="1" si="5"/>
        <v>0</v>
      </c>
      <c r="N14">
        <f t="shared" ca="1" si="6"/>
        <v>0</v>
      </c>
    </row>
    <row r="15" spans="2:14" x14ac:dyDescent="0.75">
      <c r="F15">
        <v>10</v>
      </c>
      <c r="G15">
        <f t="shared" ca="1" si="0"/>
        <v>3.3635992797419093E-2</v>
      </c>
      <c r="H15">
        <f t="shared" ca="1" si="0"/>
        <v>-0.54957090958341215</v>
      </c>
      <c r="I15">
        <f t="shared" ca="1" si="1"/>
        <v>3.3635992797419093E-2</v>
      </c>
      <c r="J15">
        <f t="shared" ca="1" si="2"/>
        <v>-0.33827999404025377</v>
      </c>
      <c r="K15">
        <f t="shared" ca="1" si="3"/>
        <v>17.948934540466638</v>
      </c>
      <c r="L15">
        <f t="shared" ca="1" si="4"/>
        <v>18.172551113267922</v>
      </c>
      <c r="M15">
        <f t="shared" ca="1" si="5"/>
        <v>0</v>
      </c>
      <c r="N15">
        <f t="shared" ca="1" si="6"/>
        <v>0</v>
      </c>
    </row>
    <row r="16" spans="2:14" x14ac:dyDescent="0.75">
      <c r="F16">
        <v>11</v>
      </c>
      <c r="G16">
        <f t="shared" ca="1" si="0"/>
        <v>-1.6228508858131847</v>
      </c>
      <c r="H16">
        <f t="shared" ca="1" si="0"/>
        <v>0.3798179044566985</v>
      </c>
      <c r="I16">
        <f t="shared" ca="1" si="1"/>
        <v>-1.6228508858131847</v>
      </c>
      <c r="J16">
        <f t="shared" ca="1" si="2"/>
        <v>-0.96591223468935983</v>
      </c>
      <c r="K16">
        <f t="shared" ca="1" si="3"/>
        <v>11.862818779395361</v>
      </c>
      <c r="L16">
        <f t="shared" ca="1" si="4"/>
        <v>15.533581284874376</v>
      </c>
      <c r="M16">
        <f t="shared" ca="1" si="5"/>
        <v>0</v>
      </c>
      <c r="N16">
        <f t="shared" ca="1" si="6"/>
        <v>0</v>
      </c>
    </row>
    <row r="17" spans="2:14" x14ac:dyDescent="0.75">
      <c r="B17" t="s">
        <v>49</v>
      </c>
      <c r="C17">
        <f>SQRT(C3*D3)</f>
        <v>18.973665961010276</v>
      </c>
      <c r="F17">
        <v>12</v>
      </c>
      <c r="G17">
        <f t="shared" ca="1" si="0"/>
        <v>0.57059094804016075</v>
      </c>
      <c r="H17">
        <f t="shared" ca="1" si="0"/>
        <v>1.3853613985204234</v>
      </c>
      <c r="I17">
        <f t="shared" ca="1" si="1"/>
        <v>0.57059094804016075</v>
      </c>
      <c r="J17">
        <f t="shared" ca="1" si="2"/>
        <v>1.344273645138542</v>
      </c>
      <c r="K17">
        <f t="shared" ca="1" si="3"/>
        <v>20.527583019646936</v>
      </c>
      <c r="L17">
        <f t="shared" ca="1" si="4"/>
        <v>27.675586889023482</v>
      </c>
      <c r="M17">
        <f t="shared" ca="1" si="5"/>
        <v>0</v>
      </c>
      <c r="N17">
        <f t="shared" ca="1" si="6"/>
        <v>0</v>
      </c>
    </row>
    <row r="18" spans="2:14" x14ac:dyDescent="0.75">
      <c r="B18" t="s">
        <v>50</v>
      </c>
      <c r="C18">
        <f>SQRT(C4^2+D4^2+2*C8*C4*D4)/2</f>
        <v>0.23385358667337133</v>
      </c>
      <c r="F18">
        <v>13</v>
      </c>
      <c r="G18">
        <f t="shared" ca="1" si="0"/>
        <v>1.2251899116070279</v>
      </c>
      <c r="H18">
        <f t="shared" ca="1" si="0"/>
        <v>-0.20689783572470943</v>
      </c>
      <c r="I18">
        <f t="shared" ca="1" si="1"/>
        <v>1.2251899116070279</v>
      </c>
      <c r="J18">
        <f t="shared" ca="1" si="2"/>
        <v>0.78204237867400184</v>
      </c>
      <c r="K18">
        <f t="shared" ca="1" si="3"/>
        <v>24.177422322385389</v>
      </c>
      <c r="L18">
        <f t="shared" ca="1" si="4"/>
        <v>24.046582056579894</v>
      </c>
      <c r="M18">
        <f t="shared" ca="1" si="5"/>
        <v>0</v>
      </c>
      <c r="N18">
        <f t="shared" ca="1" si="6"/>
        <v>0</v>
      </c>
    </row>
    <row r="19" spans="2:14" x14ac:dyDescent="0.75">
      <c r="B19" t="s">
        <v>51</v>
      </c>
      <c r="C19">
        <f>(0.5*C4^2 + 0.5*D4^2)/2-C18^2/2</f>
        <v>3.90625E-3</v>
      </c>
      <c r="F19">
        <v>14</v>
      </c>
      <c r="G19">
        <f t="shared" ca="1" si="0"/>
        <v>-0.14099188561502213</v>
      </c>
      <c r="H19">
        <f t="shared" ca="1" si="0"/>
        <v>0.90446855364165313</v>
      </c>
      <c r="I19">
        <f t="shared" ca="1" si="1"/>
        <v>-0.14099188561502213</v>
      </c>
      <c r="J19">
        <f t="shared" ca="1" si="2"/>
        <v>0.49250580119225784</v>
      </c>
      <c r="K19">
        <f t="shared" ca="1" si="3"/>
        <v>17.182196945964307</v>
      </c>
      <c r="L19">
        <f t="shared" ca="1" si="4"/>
        <v>22.367493545018714</v>
      </c>
      <c r="M19">
        <f t="shared" ca="1" si="5"/>
        <v>0</v>
      </c>
      <c r="N19">
        <f t="shared" ca="1" si="6"/>
        <v>0</v>
      </c>
    </row>
    <row r="20" spans="2:14" x14ac:dyDescent="0.75">
      <c r="F20">
        <v>15</v>
      </c>
      <c r="G20">
        <f t="shared" ca="1" si="0"/>
        <v>3.1204480025427684E-2</v>
      </c>
      <c r="H20">
        <f t="shared" ca="1" si="0"/>
        <v>-0.64720582650814373</v>
      </c>
      <c r="I20">
        <f t="shared" ca="1" si="1"/>
        <v>3.1204480025427684E-2</v>
      </c>
      <c r="J20">
        <f t="shared" ca="1" si="2"/>
        <v>-0.40468305598407006</v>
      </c>
      <c r="K20">
        <f t="shared" ca="1" si="3"/>
        <v>17.938027090108424</v>
      </c>
      <c r="L20">
        <f t="shared" ca="1" si="4"/>
        <v>17.873363099934</v>
      </c>
      <c r="M20">
        <f t="shared" ca="1" si="5"/>
        <v>0</v>
      </c>
      <c r="N20">
        <f t="shared" ca="1" si="6"/>
        <v>0</v>
      </c>
    </row>
    <row r="21" spans="2:14" x14ac:dyDescent="0.75">
      <c r="B21" t="s">
        <v>52</v>
      </c>
      <c r="C21">
        <f ca="1">C17*EXP((C5-C18^2/2)*C6+C18*SQRT(C6)*NORMSDIST(RAND()))</f>
        <v>22.57268595143303</v>
      </c>
      <c r="F21">
        <v>16</v>
      </c>
      <c r="G21">
        <f t="shared" ca="1" si="0"/>
        <v>1.2389821057880195</v>
      </c>
      <c r="H21">
        <f t="shared" ca="1" si="0"/>
        <v>-0.64993857451485015</v>
      </c>
      <c r="I21">
        <f t="shared" ca="1" si="1"/>
        <v>1.2389821057880195</v>
      </c>
      <c r="J21">
        <f t="shared" ca="1" si="2"/>
        <v>0.49934262043248567</v>
      </c>
      <c r="K21">
        <f t="shared" ca="1" si="3"/>
        <v>24.260931136738243</v>
      </c>
      <c r="L21">
        <f t="shared" ca="1" si="4"/>
        <v>22.405756863183363</v>
      </c>
      <c r="M21">
        <f t="shared" ca="1" si="5"/>
        <v>0</v>
      </c>
      <c r="N21">
        <f t="shared" ca="1" si="6"/>
        <v>0</v>
      </c>
    </row>
    <row r="22" spans="2:14" x14ac:dyDescent="0.75">
      <c r="F22">
        <v>17</v>
      </c>
      <c r="G22">
        <f t="shared" ca="1" si="0"/>
        <v>0.73068046216256799</v>
      </c>
      <c r="H22">
        <f t="shared" ca="1" si="0"/>
        <v>1.3716476492514238</v>
      </c>
      <c r="I22">
        <f t="shared" ca="1" si="1"/>
        <v>0.73068046216256799</v>
      </c>
      <c r="J22">
        <f t="shared" ca="1" si="2"/>
        <v>1.4552699882033306</v>
      </c>
      <c r="K22">
        <f t="shared" ca="1" si="3"/>
        <v>21.365807705008866</v>
      </c>
      <c r="L22">
        <f t="shared" ca="1" si="4"/>
        <v>28.454313632410873</v>
      </c>
      <c r="M22">
        <f t="shared" ca="1" si="5"/>
        <v>0</v>
      </c>
      <c r="N22">
        <f t="shared" ca="1" si="6"/>
        <v>0</v>
      </c>
    </row>
    <row r="23" spans="2:14" x14ac:dyDescent="0.75">
      <c r="F23">
        <v>18</v>
      </c>
      <c r="G23">
        <f t="shared" ca="1" si="0"/>
        <v>-1.6220155960263429</v>
      </c>
      <c r="H23">
        <f t="shared" ca="1" si="0"/>
        <v>-0.42396945193788116</v>
      </c>
      <c r="I23">
        <f t="shared" ca="1" si="1"/>
        <v>-1.6220155960263429</v>
      </c>
      <c r="J23">
        <f t="shared" ca="1" si="2"/>
        <v>-1.4969411303487534</v>
      </c>
      <c r="K23">
        <f t="shared" ca="1" si="3"/>
        <v>11.86529626090563</v>
      </c>
      <c r="L23">
        <f t="shared" ca="1" si="4"/>
        <v>13.602410109384476</v>
      </c>
      <c r="M23">
        <f t="shared" ca="1" si="5"/>
        <v>0</v>
      </c>
      <c r="N23">
        <f t="shared" ca="1" si="6"/>
        <v>0</v>
      </c>
    </row>
    <row r="24" spans="2:14" x14ac:dyDescent="0.75">
      <c r="F24">
        <v>19</v>
      </c>
      <c r="G24">
        <f t="shared" ca="1" si="0"/>
        <v>0.20836443706389993</v>
      </c>
      <c r="H24">
        <f t="shared" ca="1" si="0"/>
        <v>0.45518100808311945</v>
      </c>
      <c r="I24">
        <f t="shared" ca="1" si="1"/>
        <v>0.20836443706389993</v>
      </c>
      <c r="J24">
        <f t="shared" ca="1" si="2"/>
        <v>0.45734726502482881</v>
      </c>
      <c r="K24">
        <f t="shared" ca="1" si="3"/>
        <v>18.750358404907644</v>
      </c>
      <c r="L24">
        <f t="shared" ca="1" si="4"/>
        <v>22.171752966553729</v>
      </c>
      <c r="M24">
        <f t="shared" ca="1" si="5"/>
        <v>0</v>
      </c>
      <c r="N24">
        <f t="shared" ca="1" si="6"/>
        <v>0</v>
      </c>
    </row>
    <row r="25" spans="2:14" x14ac:dyDescent="0.75">
      <c r="F25">
        <v>20</v>
      </c>
      <c r="G25">
        <f t="shared" ca="1" si="0"/>
        <v>-1.5323394775301078</v>
      </c>
      <c r="H25">
        <f t="shared" ca="1" si="0"/>
        <v>1.1139023315396561</v>
      </c>
      <c r="I25">
        <f t="shared" ca="1" si="1"/>
        <v>-1.5323394775301078</v>
      </c>
      <c r="J25">
        <f t="shared" ca="1" si="2"/>
        <v>-0.41247746963034337</v>
      </c>
      <c r="K25">
        <f t="shared" ca="1" si="3"/>
        <v>12.134308923359935</v>
      </c>
      <c r="L25">
        <f t="shared" ca="1" si="4"/>
        <v>17.838568914664947</v>
      </c>
      <c r="M25">
        <f t="shared" ca="1" si="5"/>
        <v>0</v>
      </c>
      <c r="N25">
        <f t="shared" ca="1" si="6"/>
        <v>0</v>
      </c>
    </row>
    <row r="26" spans="2:14" x14ac:dyDescent="0.75">
      <c r="F26">
        <v>21</v>
      </c>
      <c r="G26">
        <f t="shared" ca="1" si="0"/>
        <v>-2.608915414616451</v>
      </c>
      <c r="H26">
        <f t="shared" ca="1" si="0"/>
        <v>-1.5288149131673003</v>
      </c>
      <c r="I26">
        <f t="shared" ca="1" si="1"/>
        <v>-2.608915414616451</v>
      </c>
      <c r="J26">
        <f t="shared" ca="1" si="2"/>
        <v>-2.9679025761842093</v>
      </c>
      <c r="K26">
        <f t="shared" ca="1" si="3"/>
        <v>9.2710153492398284</v>
      </c>
      <c r="L26">
        <f t="shared" ca="1" si="4"/>
        <v>9.4169064235477133</v>
      </c>
      <c r="M26">
        <f t="shared" ca="1" si="5"/>
        <v>0</v>
      </c>
      <c r="N26">
        <f t="shared" ca="1" si="6"/>
        <v>0</v>
      </c>
    </row>
    <row r="27" spans="2:14" x14ac:dyDescent="0.75">
      <c r="F27">
        <v>22</v>
      </c>
      <c r="G27">
        <f t="shared" ca="1" si="0"/>
        <v>-0.50144253505898662</v>
      </c>
      <c r="H27">
        <f t="shared" ca="1" si="0"/>
        <v>1.4002441479560497</v>
      </c>
      <c r="I27">
        <f t="shared" ca="1" si="1"/>
        <v>-0.50144253505898662</v>
      </c>
      <c r="J27">
        <f t="shared" ca="1" si="2"/>
        <v>0.55009254627206983</v>
      </c>
      <c r="K27">
        <f t="shared" ca="1" si="3"/>
        <v>15.701576544051814</v>
      </c>
      <c r="L27">
        <f t="shared" ca="1" si="4"/>
        <v>22.691840490724871</v>
      </c>
      <c r="M27">
        <f t="shared" ca="1" si="5"/>
        <v>0</v>
      </c>
      <c r="N27">
        <f t="shared" ca="1" si="6"/>
        <v>0</v>
      </c>
    </row>
    <row r="28" spans="2:14" x14ac:dyDescent="0.75">
      <c r="F28">
        <v>23</v>
      </c>
      <c r="G28">
        <f t="shared" ca="1" si="0"/>
        <v>0.80587429029420721</v>
      </c>
      <c r="H28">
        <f t="shared" ca="1" si="0"/>
        <v>1.4689075132239866</v>
      </c>
      <c r="I28">
        <f t="shared" ca="1" si="1"/>
        <v>0.80587429029420721</v>
      </c>
      <c r="J28">
        <f t="shared" ca="1" si="2"/>
        <v>1.575996712456903</v>
      </c>
      <c r="K28">
        <f t="shared" ca="1" si="3"/>
        <v>21.771250836143569</v>
      </c>
      <c r="L28">
        <f t="shared" ca="1" si="4"/>
        <v>29.326204025015205</v>
      </c>
      <c r="M28">
        <f t="shared" ca="1" si="5"/>
        <v>0</v>
      </c>
      <c r="N28">
        <f t="shared" ca="1" si="6"/>
        <v>0</v>
      </c>
    </row>
    <row r="29" spans="2:14" x14ac:dyDescent="0.75">
      <c r="F29">
        <v>24</v>
      </c>
      <c r="G29">
        <f t="shared" ca="1" si="0"/>
        <v>1.3462741550692094</v>
      </c>
      <c r="H29">
        <f t="shared" ca="1" si="0"/>
        <v>0.52150199358387916</v>
      </c>
      <c r="I29">
        <f t="shared" ca="1" si="1"/>
        <v>1.3462741550692094</v>
      </c>
      <c r="J29">
        <f t="shared" ca="1" si="2"/>
        <v>1.3546467621137437</v>
      </c>
      <c r="K29">
        <f t="shared" ca="1" si="3"/>
        <v>24.920488505173836</v>
      </c>
      <c r="L29">
        <f t="shared" ca="1" si="4"/>
        <v>27.747450555065374</v>
      </c>
      <c r="M29">
        <f t="shared" ca="1" si="5"/>
        <v>0</v>
      </c>
      <c r="N29">
        <f t="shared" ca="1" si="6"/>
        <v>0</v>
      </c>
    </row>
    <row r="30" spans="2:14" x14ac:dyDescent="0.75">
      <c r="F30">
        <v>25</v>
      </c>
      <c r="G30">
        <f t="shared" ca="1" si="0"/>
        <v>1.5902616425738363</v>
      </c>
      <c r="H30">
        <f t="shared" ca="1" si="0"/>
        <v>-0.58069664459764192</v>
      </c>
      <c r="I30">
        <f t="shared" ca="1" si="1"/>
        <v>1.5902616425738363</v>
      </c>
      <c r="J30">
        <f t="shared" ca="1" si="2"/>
        <v>0.8086015047366224</v>
      </c>
      <c r="K30">
        <f t="shared" ca="1" si="3"/>
        <v>26.487877315673565</v>
      </c>
      <c r="L30">
        <f t="shared" ca="1" si="4"/>
        <v>24.206777349968121</v>
      </c>
      <c r="M30">
        <f t="shared" ca="1" si="5"/>
        <v>0</v>
      </c>
      <c r="N30">
        <f t="shared" ca="1" si="6"/>
        <v>0</v>
      </c>
    </row>
    <row r="31" spans="2:14" x14ac:dyDescent="0.75">
      <c r="F31">
        <v>26</v>
      </c>
      <c r="G31">
        <f t="shared" ca="1" si="0"/>
        <v>-9.9918100671898324E-2</v>
      </c>
      <c r="H31">
        <f t="shared" ca="1" si="0"/>
        <v>0.8590643165657369</v>
      </c>
      <c r="I31">
        <f t="shared" ca="1" si="1"/>
        <v>-9.9918100671898324E-2</v>
      </c>
      <c r="J31">
        <f t="shared" ca="1" si="2"/>
        <v>0.49327905995672755</v>
      </c>
      <c r="K31">
        <f t="shared" ca="1" si="3"/>
        <v>17.359540373974991</v>
      </c>
      <c r="L31">
        <f t="shared" ca="1" si="4"/>
        <v>22.371817928094366</v>
      </c>
      <c r="M31">
        <f t="shared" ca="1" si="5"/>
        <v>0</v>
      </c>
      <c r="N31">
        <f t="shared" ca="1" si="6"/>
        <v>0</v>
      </c>
    </row>
    <row r="32" spans="2:14" x14ac:dyDescent="0.75">
      <c r="F32">
        <v>27</v>
      </c>
      <c r="G32">
        <f t="shared" ca="1" si="0"/>
        <v>1.4735284848861047E-2</v>
      </c>
      <c r="H32">
        <f t="shared" ca="1" si="0"/>
        <v>0.94570014634635302</v>
      </c>
      <c r="I32">
        <f t="shared" ca="1" si="1"/>
        <v>1.4735284848861047E-2</v>
      </c>
      <c r="J32">
        <f t="shared" ca="1" si="2"/>
        <v>0.63657331415410545</v>
      </c>
      <c r="K32">
        <f t="shared" ca="1" si="3"/>
        <v>17.864322708402611</v>
      </c>
      <c r="L32">
        <f t="shared" ca="1" si="4"/>
        <v>23.187784320488397</v>
      </c>
      <c r="M32">
        <f t="shared" ca="1" si="5"/>
        <v>0</v>
      </c>
      <c r="N32">
        <f t="shared" ca="1" si="6"/>
        <v>0</v>
      </c>
    </row>
    <row r="33" spans="6:14" x14ac:dyDescent="0.75">
      <c r="F33">
        <v>28</v>
      </c>
      <c r="G33">
        <f t="shared" ca="1" si="0"/>
        <v>-0.84826805353245582</v>
      </c>
      <c r="H33">
        <f t="shared" ca="1" si="0"/>
        <v>1.67504949497768</v>
      </c>
      <c r="I33">
        <f t="shared" ca="1" si="1"/>
        <v>-0.84826805353245582</v>
      </c>
      <c r="J33">
        <f t="shared" ca="1" si="2"/>
        <v>0.47174005920947737</v>
      </c>
      <c r="K33">
        <f t="shared" ca="1" si="3"/>
        <v>14.397502362836697</v>
      </c>
      <c r="L33">
        <f t="shared" ca="1" si="4"/>
        <v>22.251675037353877</v>
      </c>
      <c r="M33">
        <f t="shared" ca="1" si="5"/>
        <v>0</v>
      </c>
      <c r="N33">
        <f t="shared" ca="1" si="6"/>
        <v>0</v>
      </c>
    </row>
    <row r="34" spans="6:14" x14ac:dyDescent="0.75">
      <c r="F34">
        <v>29</v>
      </c>
      <c r="G34">
        <f t="shared" ca="1" si="0"/>
        <v>-0.3066048768652711</v>
      </c>
      <c r="H34">
        <f t="shared" ca="1" si="0"/>
        <v>-0.19823280261621196</v>
      </c>
      <c r="I34">
        <f t="shared" ca="1" si="1"/>
        <v>-0.3066048768652711</v>
      </c>
      <c r="J34">
        <f t="shared" ca="1" si="2"/>
        <v>-0.36107233200341604</v>
      </c>
      <c r="K34">
        <f t="shared" ca="1" si="3"/>
        <v>16.485324133830748</v>
      </c>
      <c r="L34">
        <f t="shared" ca="1" si="4"/>
        <v>18.06929683677998</v>
      </c>
      <c r="M34">
        <f t="shared" ca="1" si="5"/>
        <v>0</v>
      </c>
      <c r="N34">
        <f t="shared" ca="1" si="6"/>
        <v>0</v>
      </c>
    </row>
    <row r="35" spans="6:14" x14ac:dyDescent="0.75">
      <c r="F35">
        <v>30</v>
      </c>
      <c r="G35">
        <f t="shared" ca="1" si="0"/>
        <v>-1.3489332974678041</v>
      </c>
      <c r="H35">
        <f t="shared" ca="1" si="0"/>
        <v>-1.1898239113983624</v>
      </c>
      <c r="I35">
        <f t="shared" ca="1" si="1"/>
        <v>-1.3489332974678041</v>
      </c>
      <c r="J35">
        <f t="shared" ca="1" si="2"/>
        <v>-1.7986945164804073</v>
      </c>
      <c r="K35">
        <f t="shared" ca="1" si="3"/>
        <v>12.703638309875267</v>
      </c>
      <c r="L35">
        <f t="shared" ca="1" si="4"/>
        <v>12.61401685474257</v>
      </c>
      <c r="M35">
        <f t="shared" ca="1" si="5"/>
        <v>0</v>
      </c>
      <c r="N35">
        <f t="shared" ca="1" si="6"/>
        <v>0</v>
      </c>
    </row>
    <row r="36" spans="6:14" x14ac:dyDescent="0.75">
      <c r="F36">
        <v>31</v>
      </c>
      <c r="G36">
        <f t="shared" ca="1" si="0"/>
        <v>0.52229465419416621</v>
      </c>
      <c r="H36">
        <f t="shared" ca="1" si="0"/>
        <v>1.2297467040250236</v>
      </c>
      <c r="I36">
        <f t="shared" ca="1" si="1"/>
        <v>0.52229465419416621</v>
      </c>
      <c r="J36">
        <f t="shared" ca="1" si="2"/>
        <v>1.2051219792585159</v>
      </c>
      <c r="K36">
        <f t="shared" ca="1" si="3"/>
        <v>20.281221759197241</v>
      </c>
      <c r="L36">
        <f t="shared" ca="1" si="4"/>
        <v>26.729364855107708</v>
      </c>
      <c r="M36">
        <f t="shared" ca="1" si="5"/>
        <v>0</v>
      </c>
      <c r="N36">
        <f t="shared" ca="1" si="6"/>
        <v>0</v>
      </c>
    </row>
    <row r="37" spans="6:14" x14ac:dyDescent="0.75">
      <c r="F37">
        <v>32</v>
      </c>
      <c r="G37">
        <f t="shared" ca="1" si="0"/>
        <v>0.61882290440064114</v>
      </c>
      <c r="H37">
        <f t="shared" ca="1" si="0"/>
        <v>-1.9809276676553631</v>
      </c>
      <c r="I37">
        <f t="shared" ca="1" si="1"/>
        <v>0.61882290440064114</v>
      </c>
      <c r="J37">
        <f t="shared" ca="1" si="2"/>
        <v>-0.8461433151553438</v>
      </c>
      <c r="K37">
        <f t="shared" ca="1" si="3"/>
        <v>20.776602712937191</v>
      </c>
      <c r="L37">
        <f t="shared" ca="1" si="4"/>
        <v>16.005724584251301</v>
      </c>
      <c r="M37">
        <f t="shared" ca="1" si="5"/>
        <v>0</v>
      </c>
      <c r="N37">
        <f t="shared" ca="1" si="6"/>
        <v>0</v>
      </c>
    </row>
    <row r="38" spans="6:14" x14ac:dyDescent="0.75">
      <c r="F38">
        <v>33</v>
      </c>
      <c r="G38">
        <f t="shared" ca="1" si="0"/>
        <v>-0.44982353596515834</v>
      </c>
      <c r="H38">
        <f t="shared" ca="1" si="0"/>
        <v>-0.67669537536779256</v>
      </c>
      <c r="I38">
        <f t="shared" ca="1" si="1"/>
        <v>-0.44982353596515834</v>
      </c>
      <c r="J38">
        <f t="shared" ca="1" si="2"/>
        <v>-0.78495957111653936</v>
      </c>
      <c r="K38">
        <f t="shared" ca="1" si="3"/>
        <v>15.905514514455318</v>
      </c>
      <c r="L38">
        <f t="shared" ca="1" si="4"/>
        <v>16.252429101522338</v>
      </c>
      <c r="M38">
        <f t="shared" ca="1" si="5"/>
        <v>0</v>
      </c>
      <c r="N38">
        <f t="shared" ca="1" si="6"/>
        <v>0</v>
      </c>
    </row>
    <row r="39" spans="6:14" x14ac:dyDescent="0.75">
      <c r="F39">
        <v>34</v>
      </c>
      <c r="G39">
        <f t="shared" ca="1" si="0"/>
        <v>-1.0139656823048946</v>
      </c>
      <c r="H39">
        <f t="shared" ca="1" si="0"/>
        <v>-4.2580777539724217E-2</v>
      </c>
      <c r="I39">
        <f t="shared" ca="1" si="1"/>
        <v>-1.0139656823048946</v>
      </c>
      <c r="J39">
        <f t="shared" ca="1" si="2"/>
        <v>-0.78863879872913967</v>
      </c>
      <c r="K39">
        <f t="shared" ca="1" si="3"/>
        <v>13.813278467390946</v>
      </c>
      <c r="L39">
        <f t="shared" ca="1" si="4"/>
        <v>16.237486878075423</v>
      </c>
      <c r="M39">
        <f t="shared" ca="1" si="5"/>
        <v>0</v>
      </c>
      <c r="N39">
        <f t="shared" ca="1" si="6"/>
        <v>0</v>
      </c>
    </row>
    <row r="40" spans="6:14" x14ac:dyDescent="0.75">
      <c r="F40">
        <v>35</v>
      </c>
      <c r="G40">
        <f t="shared" ca="1" si="0"/>
        <v>-1.4488140328200605</v>
      </c>
      <c r="H40">
        <f t="shared" ca="1" si="0"/>
        <v>-0.50393714668961997</v>
      </c>
      <c r="I40">
        <f t="shared" ca="1" si="1"/>
        <v>-1.4488140328200605</v>
      </c>
      <c r="J40">
        <f t="shared" ca="1" si="2"/>
        <v>-1.4199336162520981</v>
      </c>
      <c r="K40">
        <f t="shared" ca="1" si="3"/>
        <v>12.390353789731762</v>
      </c>
      <c r="L40">
        <f t="shared" ca="1" si="4"/>
        <v>13.866819074537986</v>
      </c>
      <c r="M40">
        <f t="shared" ca="1" si="5"/>
        <v>0</v>
      </c>
      <c r="N40">
        <f t="shared" ca="1" si="6"/>
        <v>0</v>
      </c>
    </row>
    <row r="41" spans="6:14" x14ac:dyDescent="0.75">
      <c r="F41">
        <v>36</v>
      </c>
      <c r="G41">
        <f t="shared" ca="1" si="0"/>
        <v>0.90982019941368031</v>
      </c>
      <c r="H41">
        <f t="shared" ca="1" si="0"/>
        <v>-0.10441379477455459</v>
      </c>
      <c r="I41">
        <f t="shared" ca="1" si="1"/>
        <v>0.90982019941368031</v>
      </c>
      <c r="J41">
        <f t="shared" ca="1" si="2"/>
        <v>0.61330191595575856</v>
      </c>
      <c r="K41">
        <f t="shared" ca="1" si="3"/>
        <v>22.344424073184562</v>
      </c>
      <c r="L41">
        <f t="shared" ca="1" si="4"/>
        <v>23.05327294280708</v>
      </c>
      <c r="M41">
        <f t="shared" ca="1" si="5"/>
        <v>0</v>
      </c>
      <c r="N41">
        <f t="shared" ca="1" si="6"/>
        <v>0</v>
      </c>
    </row>
    <row r="42" spans="6:14" x14ac:dyDescent="0.75">
      <c r="F42">
        <v>37</v>
      </c>
      <c r="G42">
        <f t="shared" ca="1" si="0"/>
        <v>0.67038862784742048</v>
      </c>
      <c r="H42">
        <f t="shared" ca="1" si="0"/>
        <v>-1.3158776055725752</v>
      </c>
      <c r="I42">
        <f t="shared" ca="1" si="1"/>
        <v>0.67038862784742048</v>
      </c>
      <c r="J42">
        <f t="shared" ca="1" si="2"/>
        <v>-0.36757975415047839</v>
      </c>
      <c r="K42">
        <f t="shared" ca="1" si="3"/>
        <v>21.046176714310093</v>
      </c>
      <c r="L42">
        <f t="shared" ca="1" si="4"/>
        <v>18.039924599846938</v>
      </c>
      <c r="M42">
        <f t="shared" ca="1" si="5"/>
        <v>0</v>
      </c>
      <c r="N42">
        <f t="shared" ca="1" si="6"/>
        <v>0</v>
      </c>
    </row>
    <row r="43" spans="6:14" x14ac:dyDescent="0.75">
      <c r="F43">
        <v>38</v>
      </c>
      <c r="G43">
        <f t="shared" ca="1" si="0"/>
        <v>1.3224497906422268</v>
      </c>
      <c r="H43">
        <f t="shared" ca="1" si="0"/>
        <v>-0.26681187305882154</v>
      </c>
      <c r="I43">
        <f t="shared" ca="1" si="1"/>
        <v>1.3224497906422268</v>
      </c>
      <c r="J43">
        <f t="shared" ca="1" si="2"/>
        <v>0.81535787724342601</v>
      </c>
      <c r="K43">
        <f t="shared" ca="1" si="3"/>
        <v>24.7725009563623</v>
      </c>
      <c r="L43">
        <f t="shared" ca="1" si="4"/>
        <v>24.24769940205865</v>
      </c>
      <c r="M43">
        <f t="shared" ca="1" si="5"/>
        <v>0</v>
      </c>
      <c r="N43">
        <f t="shared" ca="1" si="6"/>
        <v>0</v>
      </c>
    </row>
    <row r="44" spans="6:14" x14ac:dyDescent="0.75">
      <c r="F44">
        <v>39</v>
      </c>
      <c r="G44">
        <f t="shared" ca="1" si="0"/>
        <v>-0.36399986211726321</v>
      </c>
      <c r="H44">
        <f t="shared" ca="1" si="0"/>
        <v>-1.4456871768386901</v>
      </c>
      <c r="I44">
        <f t="shared" ca="1" si="1"/>
        <v>-0.36399986211726321</v>
      </c>
      <c r="J44">
        <f t="shared" ca="1" si="2"/>
        <v>-1.2292320824655052</v>
      </c>
      <c r="K44">
        <f t="shared" ca="1" si="3"/>
        <v>16.250469365133856</v>
      </c>
      <c r="L44">
        <f t="shared" ca="1" si="4"/>
        <v>14.543937686401732</v>
      </c>
      <c r="M44">
        <f t="shared" ca="1" si="5"/>
        <v>0</v>
      </c>
      <c r="N44">
        <f t="shared" ca="1" si="6"/>
        <v>0</v>
      </c>
    </row>
    <row r="45" spans="6:14" x14ac:dyDescent="0.75">
      <c r="F45">
        <v>40</v>
      </c>
      <c r="G45">
        <f t="shared" ca="1" si="0"/>
        <v>1.8694840151261858</v>
      </c>
      <c r="H45">
        <f t="shared" ca="1" si="0"/>
        <v>-0.17792377659581676</v>
      </c>
      <c r="I45">
        <f t="shared" ca="1" si="1"/>
        <v>1.8694840151261858</v>
      </c>
      <c r="J45">
        <f t="shared" ca="1" si="2"/>
        <v>1.2844274950451531</v>
      </c>
      <c r="K45">
        <f t="shared" ca="1" si="3"/>
        <v>28.402942861361524</v>
      </c>
      <c r="L45">
        <f t="shared" ca="1" si="4"/>
        <v>27.26459972376249</v>
      </c>
      <c r="M45">
        <f t="shared" ca="1" si="5"/>
        <v>0</v>
      </c>
      <c r="N45">
        <f t="shared" ca="1" si="6"/>
        <v>0</v>
      </c>
    </row>
    <row r="46" spans="6:14" x14ac:dyDescent="0.75">
      <c r="F46">
        <v>41</v>
      </c>
      <c r="G46">
        <f t="shared" ca="1" si="0"/>
        <v>0.83187034696950057</v>
      </c>
      <c r="H46">
        <f t="shared" ca="1" si="0"/>
        <v>-1.0666840232165953</v>
      </c>
      <c r="I46">
        <f t="shared" ca="1" si="1"/>
        <v>0.83187034696950057</v>
      </c>
      <c r="J46">
        <f t="shared" ca="1" si="2"/>
        <v>-8.1642403002114339E-2</v>
      </c>
      <c r="K46">
        <f t="shared" ca="1" si="3"/>
        <v>21.913203279632491</v>
      </c>
      <c r="L46">
        <f t="shared" ca="1" si="4"/>
        <v>19.376706965492151</v>
      </c>
      <c r="M46">
        <f t="shared" ca="1" si="5"/>
        <v>0</v>
      </c>
      <c r="N46">
        <f t="shared" ca="1" si="6"/>
        <v>0</v>
      </c>
    </row>
    <row r="47" spans="6:14" x14ac:dyDescent="0.75">
      <c r="F47">
        <v>42</v>
      </c>
      <c r="G47">
        <f t="shared" ca="1" si="0"/>
        <v>-0.13466284363384567</v>
      </c>
      <c r="H47">
        <f t="shared" ca="1" si="0"/>
        <v>0.66206502894515262</v>
      </c>
      <c r="I47">
        <f t="shared" ca="1" si="1"/>
        <v>-0.13466284363384567</v>
      </c>
      <c r="J47">
        <f t="shared" ca="1" si="2"/>
        <v>0.33691772186002922</v>
      </c>
      <c r="K47">
        <f t="shared" ca="1" si="3"/>
        <v>17.209405176992394</v>
      </c>
      <c r="L47">
        <f t="shared" ca="1" si="4"/>
        <v>21.514168197307079</v>
      </c>
      <c r="M47">
        <f t="shared" ca="1" si="5"/>
        <v>0</v>
      </c>
      <c r="N47">
        <f t="shared" ca="1" si="6"/>
        <v>0</v>
      </c>
    </row>
    <row r="48" spans="6:14" x14ac:dyDescent="0.75">
      <c r="F48">
        <v>43</v>
      </c>
      <c r="G48">
        <f t="shared" ca="1" si="0"/>
        <v>0.9944306111640463</v>
      </c>
      <c r="H48">
        <f t="shared" ca="1" si="0"/>
        <v>-0.52020377319922728</v>
      </c>
      <c r="I48">
        <f t="shared" ca="1" si="1"/>
        <v>0.9944306111640463</v>
      </c>
      <c r="J48">
        <f t="shared" ca="1" si="2"/>
        <v>0.40174050463238403</v>
      </c>
      <c r="K48">
        <f t="shared" ca="1" si="3"/>
        <v>22.822101048615444</v>
      </c>
      <c r="L48">
        <f t="shared" ca="1" si="4"/>
        <v>21.865660657614878</v>
      </c>
      <c r="M48">
        <f t="shared" ca="1" si="5"/>
        <v>0</v>
      </c>
      <c r="N48">
        <f t="shared" ca="1" si="6"/>
        <v>0</v>
      </c>
    </row>
    <row r="49" spans="6:14" x14ac:dyDescent="0.75">
      <c r="F49">
        <v>44</v>
      </c>
      <c r="G49">
        <f t="shared" ca="1" si="0"/>
        <v>-1.1007090710719496</v>
      </c>
      <c r="H49">
        <f t="shared" ca="1" si="0"/>
        <v>-0.56084741026776619</v>
      </c>
      <c r="I49">
        <f t="shared" ca="1" si="1"/>
        <v>-1.1007090710719496</v>
      </c>
      <c r="J49">
        <f t="shared" ca="1" si="2"/>
        <v>-1.196497496059743</v>
      </c>
      <c r="K49">
        <f t="shared" ca="1" si="3"/>
        <v>13.516950495787873</v>
      </c>
      <c r="L49">
        <f t="shared" ca="1" si="4"/>
        <v>14.663448482691839</v>
      </c>
      <c r="M49">
        <f t="shared" ca="1" si="5"/>
        <v>0</v>
      </c>
      <c r="N49">
        <f t="shared" ca="1" si="6"/>
        <v>0</v>
      </c>
    </row>
    <row r="50" spans="6:14" x14ac:dyDescent="0.75">
      <c r="F50">
        <v>45</v>
      </c>
      <c r="G50">
        <f t="shared" ca="1" si="0"/>
        <v>0.26116821053120998</v>
      </c>
      <c r="H50">
        <f t="shared" ca="1" si="0"/>
        <v>-0.51947482415433077</v>
      </c>
      <c r="I50">
        <f t="shared" ca="1" si="1"/>
        <v>0.26116821053120998</v>
      </c>
      <c r="J50">
        <f t="shared" ca="1" si="2"/>
        <v>-0.1477241413694346</v>
      </c>
      <c r="K50">
        <f t="shared" ca="1" si="3"/>
        <v>18.999521801905829</v>
      </c>
      <c r="L50">
        <f t="shared" ca="1" si="4"/>
        <v>19.059225035880218</v>
      </c>
      <c r="M50">
        <f t="shared" ca="1" si="5"/>
        <v>0</v>
      </c>
      <c r="N50">
        <f t="shared" ca="1" si="6"/>
        <v>0</v>
      </c>
    </row>
    <row r="51" spans="6:14" x14ac:dyDescent="0.75">
      <c r="F51">
        <v>46</v>
      </c>
      <c r="G51">
        <f t="shared" ca="1" si="0"/>
        <v>-0.59006344530739152</v>
      </c>
      <c r="H51">
        <f t="shared" ca="1" si="0"/>
        <v>-1.026762988079313</v>
      </c>
      <c r="I51">
        <f t="shared" ca="1" si="1"/>
        <v>-0.59006344530739152</v>
      </c>
      <c r="J51">
        <f t="shared" ca="1" si="2"/>
        <v>-1.1216874644464032</v>
      </c>
      <c r="K51">
        <f t="shared" ca="1" si="3"/>
        <v>15.357529832178077</v>
      </c>
      <c r="L51">
        <f t="shared" ca="1" si="4"/>
        <v>14.940272324883448</v>
      </c>
      <c r="M51">
        <f t="shared" ca="1" si="5"/>
        <v>0</v>
      </c>
      <c r="N51">
        <f t="shared" ca="1" si="6"/>
        <v>0</v>
      </c>
    </row>
    <row r="52" spans="6:14" x14ac:dyDescent="0.75">
      <c r="F52">
        <v>47</v>
      </c>
      <c r="G52">
        <f t="shared" ca="1" si="0"/>
        <v>-1.8277500649168739</v>
      </c>
      <c r="H52">
        <f t="shared" ca="1" si="0"/>
        <v>0.12143447791031944</v>
      </c>
      <c r="I52">
        <f t="shared" ca="1" si="1"/>
        <v>-1.8277500649168739</v>
      </c>
      <c r="J52">
        <f t="shared" ca="1" si="2"/>
        <v>-1.2904911914027375</v>
      </c>
      <c r="K52">
        <f t="shared" ca="1" si="3"/>
        <v>11.270449835421214</v>
      </c>
      <c r="L52">
        <f t="shared" ca="1" si="4"/>
        <v>14.322897432011851</v>
      </c>
      <c r="M52">
        <f t="shared" ca="1" si="5"/>
        <v>0</v>
      </c>
      <c r="N52">
        <f t="shared" ca="1" si="6"/>
        <v>0</v>
      </c>
    </row>
    <row r="53" spans="6:14" x14ac:dyDescent="0.75">
      <c r="F53">
        <v>48</v>
      </c>
      <c r="G53">
        <f t="shared" ca="1" si="0"/>
        <v>-0.43494516458366694</v>
      </c>
      <c r="H53">
        <f t="shared" ca="1" si="0"/>
        <v>0.40798811683858249</v>
      </c>
      <c r="I53">
        <f t="shared" ca="1" si="1"/>
        <v>-0.43494516458366694</v>
      </c>
      <c r="J53">
        <f t="shared" ca="1" si="2"/>
        <v>-5.63500996816369E-2</v>
      </c>
      <c r="K53">
        <f t="shared" ca="1" si="3"/>
        <v>15.964786718340282</v>
      </c>
      <c r="L53">
        <f t="shared" ca="1" si="4"/>
        <v>19.499615523536033</v>
      </c>
      <c r="M53">
        <f t="shared" ca="1" si="5"/>
        <v>0</v>
      </c>
      <c r="N53">
        <f t="shared" ca="1" si="6"/>
        <v>0</v>
      </c>
    </row>
    <row r="54" spans="6:14" x14ac:dyDescent="0.75">
      <c r="F54">
        <v>49</v>
      </c>
      <c r="G54">
        <f t="shared" ca="1" si="0"/>
        <v>1.0511548044557084</v>
      </c>
      <c r="H54">
        <f t="shared" ca="1" si="0"/>
        <v>0.68870423718462015</v>
      </c>
      <c r="I54">
        <f t="shared" ca="1" si="1"/>
        <v>1.0511548044557084</v>
      </c>
      <c r="J54">
        <f t="shared" ca="1" si="2"/>
        <v>1.2439011379585181</v>
      </c>
      <c r="K54">
        <f t="shared" ca="1" si="3"/>
        <v>23.148048039059514</v>
      </c>
      <c r="L54">
        <f t="shared" ca="1" si="4"/>
        <v>26.989760627121456</v>
      </c>
      <c r="M54">
        <f t="shared" ca="1" si="5"/>
        <v>0</v>
      </c>
      <c r="N54">
        <f t="shared" ca="1" si="6"/>
        <v>0</v>
      </c>
    </row>
    <row r="55" spans="6:14" x14ac:dyDescent="0.75">
      <c r="F55">
        <v>50</v>
      </c>
      <c r="G55">
        <f t="shared" ca="1" si="0"/>
        <v>-1.174070070986361</v>
      </c>
      <c r="H55">
        <f t="shared" ca="1" si="0"/>
        <v>-1.9095113466600597</v>
      </c>
      <c r="I55">
        <f t="shared" ca="1" si="1"/>
        <v>-1.174070070986361</v>
      </c>
      <c r="J55">
        <f t="shared" ca="1" si="2"/>
        <v>-2.1435755904694123</v>
      </c>
      <c r="K55">
        <f t="shared" ca="1" si="3"/>
        <v>13.271305723493626</v>
      </c>
      <c r="L55">
        <f t="shared" ca="1" si="4"/>
        <v>11.571999870656855</v>
      </c>
      <c r="M55">
        <f t="shared" ca="1" si="5"/>
        <v>0</v>
      </c>
      <c r="N55">
        <f t="shared" ca="1" si="6"/>
        <v>0</v>
      </c>
    </row>
    <row r="56" spans="6:14" x14ac:dyDescent="0.75">
      <c r="F56">
        <v>51</v>
      </c>
      <c r="G56">
        <f t="shared" ca="1" si="0"/>
        <v>-1.6547431177038598</v>
      </c>
      <c r="H56">
        <f t="shared" ca="1" si="0"/>
        <v>1.2422898368062136</v>
      </c>
      <c r="I56">
        <f t="shared" ca="1" si="1"/>
        <v>-1.6547431177038598</v>
      </c>
      <c r="J56">
        <f t="shared" ca="1" si="2"/>
        <v>-0.41935984716483088</v>
      </c>
      <c r="K56">
        <f t="shared" ca="1" si="3"/>
        <v>11.768611895080731</v>
      </c>
      <c r="L56">
        <f t="shared" ca="1" si="4"/>
        <v>17.807902363092275</v>
      </c>
      <c r="M56">
        <f t="shared" ca="1" si="5"/>
        <v>0</v>
      </c>
      <c r="N56">
        <f t="shared" ca="1" si="6"/>
        <v>0</v>
      </c>
    </row>
    <row r="57" spans="6:14" x14ac:dyDescent="0.75">
      <c r="F57">
        <v>52</v>
      </c>
      <c r="G57">
        <f t="shared" ca="1" si="0"/>
        <v>0.29157980693888769</v>
      </c>
      <c r="H57">
        <f t="shared" ca="1" si="0"/>
        <v>-0.7841946808768937</v>
      </c>
      <c r="I57">
        <f t="shared" ca="1" si="1"/>
        <v>0.29157980693888769</v>
      </c>
      <c r="J57">
        <f t="shared" ca="1" si="2"/>
        <v>-0.30001117106081426</v>
      </c>
      <c r="K57">
        <f t="shared" ca="1" si="3"/>
        <v>19.144523768335912</v>
      </c>
      <c r="L57">
        <f t="shared" ca="1" si="4"/>
        <v>18.347245987073801</v>
      </c>
      <c r="M57">
        <f t="shared" ca="1" si="5"/>
        <v>0</v>
      </c>
      <c r="N57">
        <f t="shared" ca="1" si="6"/>
        <v>0</v>
      </c>
    </row>
    <row r="58" spans="6:14" x14ac:dyDescent="0.75">
      <c r="F58">
        <v>53</v>
      </c>
      <c r="G58">
        <f t="shared" ca="1" si="0"/>
        <v>0.34769986806477349</v>
      </c>
      <c r="H58">
        <f t="shared" ca="1" si="0"/>
        <v>0.29922375248288463</v>
      </c>
      <c r="I58">
        <f t="shared" ca="1" si="1"/>
        <v>0.34769986806477349</v>
      </c>
      <c r="J58">
        <f t="shared" ca="1" si="2"/>
        <v>0.45869280990689476</v>
      </c>
      <c r="K58">
        <f t="shared" ca="1" si="3"/>
        <v>19.415014788968875</v>
      </c>
      <c r="L58">
        <f t="shared" ca="1" si="4"/>
        <v>22.179212493307038</v>
      </c>
      <c r="M58">
        <f t="shared" ca="1" si="5"/>
        <v>0</v>
      </c>
      <c r="N58">
        <f t="shared" ca="1" si="6"/>
        <v>0</v>
      </c>
    </row>
    <row r="59" spans="6:14" x14ac:dyDescent="0.75">
      <c r="F59">
        <v>54</v>
      </c>
      <c r="G59">
        <f t="shared" ca="1" si="0"/>
        <v>1.0767236659591417</v>
      </c>
      <c r="H59">
        <f t="shared" ca="1" si="0"/>
        <v>7.9306699651540927E-2</v>
      </c>
      <c r="I59">
        <f t="shared" ca="1" si="1"/>
        <v>1.0767236659591417</v>
      </c>
      <c r="J59">
        <f t="shared" ca="1" si="2"/>
        <v>0.8599992006141739</v>
      </c>
      <c r="K59">
        <f t="shared" ca="1" si="3"/>
        <v>23.296489276388499</v>
      </c>
      <c r="L59">
        <f t="shared" ca="1" si="4"/>
        <v>24.519827444528293</v>
      </c>
      <c r="M59">
        <f t="shared" ca="1" si="5"/>
        <v>0</v>
      </c>
      <c r="N59">
        <f t="shared" ca="1" si="6"/>
        <v>0</v>
      </c>
    </row>
    <row r="60" spans="6:14" x14ac:dyDescent="0.75">
      <c r="F60">
        <v>55</v>
      </c>
      <c r="G60">
        <f t="shared" ca="1" si="0"/>
        <v>0.36039459628043258</v>
      </c>
      <c r="H60">
        <f t="shared" ca="1" si="0"/>
        <v>-0.72524811667719069</v>
      </c>
      <c r="I60">
        <f t="shared" ca="1" si="1"/>
        <v>0.36039459628043258</v>
      </c>
      <c r="J60">
        <f t="shared" ca="1" si="2"/>
        <v>-0.20941059167612619</v>
      </c>
      <c r="K60">
        <f t="shared" ca="1" si="3"/>
        <v>19.476729753017302</v>
      </c>
      <c r="L60">
        <f t="shared" ca="1" si="4"/>
        <v>18.767555836584894</v>
      </c>
      <c r="M60">
        <f t="shared" ca="1" si="5"/>
        <v>0</v>
      </c>
      <c r="N60">
        <f t="shared" ca="1" si="6"/>
        <v>0</v>
      </c>
    </row>
    <row r="61" spans="6:14" x14ac:dyDescent="0.75">
      <c r="F61">
        <v>56</v>
      </c>
      <c r="G61">
        <f t="shared" ca="1" si="0"/>
        <v>-0.49782262359885793</v>
      </c>
      <c r="H61">
        <f t="shared" ca="1" si="0"/>
        <v>1.0149479639767494</v>
      </c>
      <c r="I61">
        <f t="shared" ca="1" si="1"/>
        <v>-0.49782262359885793</v>
      </c>
      <c r="J61">
        <f t="shared" ca="1" si="2"/>
        <v>0.2979580088893119</v>
      </c>
      <c r="K61">
        <f t="shared" ca="1" si="3"/>
        <v>15.715792554887633</v>
      </c>
      <c r="L61">
        <f t="shared" ca="1" si="4"/>
        <v>21.305638921484977</v>
      </c>
      <c r="M61">
        <f t="shared" ca="1" si="5"/>
        <v>0</v>
      </c>
      <c r="N61">
        <f t="shared" ca="1" si="6"/>
        <v>0</v>
      </c>
    </row>
    <row r="62" spans="6:14" x14ac:dyDescent="0.75">
      <c r="F62">
        <v>57</v>
      </c>
      <c r="G62">
        <f t="shared" ca="1" si="0"/>
        <v>-0.83830557307142717</v>
      </c>
      <c r="H62">
        <f t="shared" ca="1" si="0"/>
        <v>1.4754098485851597</v>
      </c>
      <c r="I62">
        <f t="shared" ca="1" si="1"/>
        <v>-0.83830557307142717</v>
      </c>
      <c r="J62">
        <f t="shared" ca="1" si="2"/>
        <v>0.34716270550937856</v>
      </c>
      <c r="K62">
        <f t="shared" ca="1" si="3"/>
        <v>14.433405764138154</v>
      </c>
      <c r="L62">
        <f t="shared" ca="1" si="4"/>
        <v>21.569341899207473</v>
      </c>
      <c r="M62">
        <f t="shared" ca="1" si="5"/>
        <v>0</v>
      </c>
      <c r="N62">
        <f t="shared" ca="1" si="6"/>
        <v>0</v>
      </c>
    </row>
    <row r="63" spans="6:14" x14ac:dyDescent="0.75">
      <c r="F63">
        <v>58</v>
      </c>
      <c r="G63">
        <f t="shared" ca="1" si="0"/>
        <v>-1.9305150519355541E-2</v>
      </c>
      <c r="H63">
        <f t="shared" ca="1" si="0"/>
        <v>-0.58353649841478794</v>
      </c>
      <c r="I63">
        <f t="shared" ca="1" si="1"/>
        <v>-1.9305150519355541E-2</v>
      </c>
      <c r="J63">
        <f t="shared" ca="1" si="2"/>
        <v>-0.40045197682325806</v>
      </c>
      <c r="K63">
        <f t="shared" ca="1" si="3"/>
        <v>17.71294043120794</v>
      </c>
      <c r="L63">
        <f t="shared" ca="1" si="4"/>
        <v>17.89227900604374</v>
      </c>
      <c r="M63">
        <f t="shared" ca="1" si="5"/>
        <v>0</v>
      </c>
      <c r="N63">
        <f t="shared" ca="1" si="6"/>
        <v>0</v>
      </c>
    </row>
    <row r="64" spans="6:14" x14ac:dyDescent="0.75">
      <c r="F64">
        <v>59</v>
      </c>
      <c r="G64">
        <f t="shared" ca="1" si="0"/>
        <v>-0.63708926944392341</v>
      </c>
      <c r="H64">
        <f t="shared" ca="1" si="0"/>
        <v>1.7870695938363275E-2</v>
      </c>
      <c r="I64">
        <f t="shared" ca="1" si="1"/>
        <v>-0.63708926944392341</v>
      </c>
      <c r="J64">
        <f t="shared" ca="1" si="2"/>
        <v>-0.46599659778080221</v>
      </c>
      <c r="K64">
        <f t="shared" ca="1" si="3"/>
        <v>15.178036875807253</v>
      </c>
      <c r="L64">
        <f t="shared" ca="1" si="4"/>
        <v>17.601482370761733</v>
      </c>
      <c r="M64">
        <f t="shared" ca="1" si="5"/>
        <v>0</v>
      </c>
      <c r="N64">
        <f t="shared" ca="1" si="6"/>
        <v>0</v>
      </c>
    </row>
    <row r="65" spans="6:14" x14ac:dyDescent="0.75">
      <c r="F65">
        <v>60</v>
      </c>
      <c r="G65">
        <f t="shared" ca="1" si="0"/>
        <v>-0.56503973064248203</v>
      </c>
      <c r="H65">
        <f t="shared" ca="1" si="0"/>
        <v>0.19271605769986364</v>
      </c>
      <c r="I65">
        <f t="shared" ca="1" si="1"/>
        <v>-0.56503973064248203</v>
      </c>
      <c r="J65">
        <f t="shared" ca="1" si="2"/>
        <v>-0.29631010740120811</v>
      </c>
      <c r="K65">
        <f t="shared" ca="1" si="3"/>
        <v>15.453906592043339</v>
      </c>
      <c r="L65">
        <f t="shared" ca="1" si="4"/>
        <v>18.364229924535486</v>
      </c>
      <c r="M65">
        <f t="shared" ca="1" si="5"/>
        <v>0</v>
      </c>
      <c r="N65">
        <f t="shared" ca="1" si="6"/>
        <v>0</v>
      </c>
    </row>
    <row r="66" spans="6:14" x14ac:dyDescent="0.75">
      <c r="F66">
        <v>61</v>
      </c>
      <c r="G66">
        <f t="shared" ca="1" si="0"/>
        <v>6.2374150756251013E-3</v>
      </c>
      <c r="H66">
        <f t="shared" ca="1" si="0"/>
        <v>0.22363115545287618</v>
      </c>
      <c r="I66">
        <f t="shared" ca="1" si="1"/>
        <v>6.2374150756251013E-3</v>
      </c>
      <c r="J66">
        <f t="shared" ca="1" si="2"/>
        <v>0.15259616699030293</v>
      </c>
      <c r="K66">
        <f t="shared" ca="1" si="3"/>
        <v>17.826410821955253</v>
      </c>
      <c r="L66">
        <f t="shared" ca="1" si="4"/>
        <v>20.545281734822154</v>
      </c>
      <c r="M66">
        <f t="shared" ca="1" si="5"/>
        <v>0</v>
      </c>
      <c r="N66">
        <f t="shared" ca="1" si="6"/>
        <v>0</v>
      </c>
    </row>
    <row r="67" spans="6:14" x14ac:dyDescent="0.75">
      <c r="F67">
        <v>62</v>
      </c>
      <c r="G67">
        <f t="shared" ca="1" si="0"/>
        <v>0.14905203042529228</v>
      </c>
      <c r="H67">
        <f t="shared" ca="1" si="0"/>
        <v>-0.88110316492731899</v>
      </c>
      <c r="I67">
        <f t="shared" ca="1" si="1"/>
        <v>0.14905203042529228</v>
      </c>
      <c r="J67">
        <f t="shared" ca="1" si="2"/>
        <v>-0.47100594062843448</v>
      </c>
      <c r="K67">
        <f t="shared" ca="1" si="3"/>
        <v>18.474377378387054</v>
      </c>
      <c r="L67">
        <f t="shared" ca="1" si="4"/>
        <v>17.579453202642384</v>
      </c>
      <c r="M67">
        <f t="shared" ca="1" si="5"/>
        <v>0</v>
      </c>
      <c r="N67">
        <f t="shared" ca="1" si="6"/>
        <v>0</v>
      </c>
    </row>
    <row r="68" spans="6:14" x14ac:dyDescent="0.75">
      <c r="F68">
        <v>63</v>
      </c>
      <c r="G68">
        <f t="shared" ca="1" si="0"/>
        <v>-1.7085871478348642</v>
      </c>
      <c r="H68">
        <f t="shared" ca="1" si="0"/>
        <v>0.16760165922017106</v>
      </c>
      <c r="I68">
        <f t="shared" ca="1" si="1"/>
        <v>-1.7085871478348642</v>
      </c>
      <c r="J68">
        <f t="shared" ca="1" si="2"/>
        <v>-1.170582283471556</v>
      </c>
      <c r="K68">
        <f t="shared" ca="1" si="3"/>
        <v>11.611255982324861</v>
      </c>
      <c r="L68">
        <f t="shared" ca="1" si="4"/>
        <v>14.758758492879666</v>
      </c>
      <c r="M68">
        <f t="shared" ca="1" si="5"/>
        <v>0</v>
      </c>
      <c r="N68">
        <f t="shared" ca="1" si="6"/>
        <v>0</v>
      </c>
    </row>
    <row r="69" spans="6:14" x14ac:dyDescent="0.75">
      <c r="F69">
        <v>64</v>
      </c>
      <c r="G69">
        <f t="shared" ca="1" si="0"/>
        <v>0.30416272313609449</v>
      </c>
      <c r="H69">
        <f t="shared" ca="1" si="0"/>
        <v>-2.4091701685656082</v>
      </c>
      <c r="I69">
        <f t="shared" ca="1" si="1"/>
        <v>0.30416272313609449</v>
      </c>
      <c r="J69">
        <f t="shared" ca="1" si="2"/>
        <v>-1.3653942406629689</v>
      </c>
      <c r="K69">
        <f t="shared" ca="1" si="3"/>
        <v>19.204842075674275</v>
      </c>
      <c r="L69">
        <f t="shared" ca="1" si="4"/>
        <v>14.057185849368439</v>
      </c>
      <c r="M69">
        <f t="shared" ca="1" si="5"/>
        <v>0</v>
      </c>
      <c r="N69">
        <f t="shared" ca="1" si="6"/>
        <v>0</v>
      </c>
    </row>
    <row r="70" spans="6:14" x14ac:dyDescent="0.75">
      <c r="F70">
        <v>65</v>
      </c>
      <c r="G70">
        <f t="shared" ca="1" si="0"/>
        <v>0.53022748158403032</v>
      </c>
      <c r="H70">
        <f t="shared" ca="1" si="0"/>
        <v>5.3502505894153868E-2</v>
      </c>
      <c r="I70">
        <f t="shared" ca="1" si="1"/>
        <v>0.53022748158403032</v>
      </c>
      <c r="J70">
        <f t="shared" ca="1" si="2"/>
        <v>0.43305919246669738</v>
      </c>
      <c r="K70">
        <f t="shared" ca="1" si="3"/>
        <v>20.32148352757627</v>
      </c>
      <c r="L70">
        <f t="shared" ca="1" si="4"/>
        <v>22.037533584000478</v>
      </c>
      <c r="M70">
        <f t="shared" ca="1" si="5"/>
        <v>0</v>
      </c>
      <c r="N70">
        <f t="shared" ca="1" si="6"/>
        <v>0</v>
      </c>
    </row>
    <row r="71" spans="6:14" x14ac:dyDescent="0.75">
      <c r="F71">
        <v>66</v>
      </c>
      <c r="G71">
        <f t="shared" ref="G71:H134" ca="1" si="7">NORMSINV(RAND())</f>
        <v>-0.21003019562634709</v>
      </c>
      <c r="H71">
        <f t="shared" ca="1" si="7"/>
        <v>-0.279243295552836</v>
      </c>
      <c r="I71">
        <f t="shared" ref="I71:I134" ca="1" si="8">G71</f>
        <v>-0.21003019562634709</v>
      </c>
      <c r="J71">
        <f t="shared" ref="J71:J134" ca="1" si="9">G71*$C$8+SQRT(1-$C$8^2)*H71</f>
        <v>-0.34222472554848854</v>
      </c>
      <c r="K71">
        <f t="shared" ref="K71:K134" ca="1" si="10">C$3*EXP(($C$5-0.5*C$4^2)*$C$6+C$4*SQRT($C$6)*I71)</f>
        <v>16.888184053917765</v>
      </c>
      <c r="L71">
        <f t="shared" ref="L71:L134" ca="1" si="11">D$3*EXP(($C$5-0.5*D$4^2)*$C$6+D$4*SQRT($C$6)*J71)</f>
        <v>18.154638488541192</v>
      </c>
      <c r="M71">
        <f t="shared" ref="M71:M134" ca="1" si="12">MAX(SQRT(K71*L71)-$C$7,0)</f>
        <v>0</v>
      </c>
      <c r="N71">
        <f t="shared" ref="N71:N134" ca="1" si="13">MAX((K71+L71)*0.5-$C$7,0)</f>
        <v>0</v>
      </c>
    </row>
    <row r="72" spans="6:14" x14ac:dyDescent="0.75">
      <c r="F72">
        <v>67</v>
      </c>
      <c r="G72">
        <f t="shared" ca="1" si="7"/>
        <v>-1.2674858632034984</v>
      </c>
      <c r="H72">
        <f t="shared" ca="1" si="7"/>
        <v>0.73040975338631908</v>
      </c>
      <c r="I72">
        <f t="shared" ca="1" si="8"/>
        <v>-1.2674858632034984</v>
      </c>
      <c r="J72">
        <f t="shared" ca="1" si="9"/>
        <v>-0.46749375674356924</v>
      </c>
      <c r="K72">
        <f t="shared" ca="1" si="10"/>
        <v>12.96495945986533</v>
      </c>
      <c r="L72">
        <f t="shared" ca="1" si="11"/>
        <v>17.594895549256144</v>
      </c>
      <c r="M72">
        <f t="shared" ca="1" si="12"/>
        <v>0</v>
      </c>
      <c r="N72">
        <f t="shared" ca="1" si="13"/>
        <v>0</v>
      </c>
    </row>
    <row r="73" spans="6:14" x14ac:dyDescent="0.75">
      <c r="F73">
        <v>68</v>
      </c>
      <c r="G73">
        <f t="shared" ca="1" si="7"/>
        <v>0.18014883977484722</v>
      </c>
      <c r="H73">
        <f t="shared" ca="1" si="7"/>
        <v>-0.72758417455481816</v>
      </c>
      <c r="I73">
        <f t="shared" ca="1" si="8"/>
        <v>0.18014883977484722</v>
      </c>
      <c r="J73">
        <f t="shared" ca="1" si="9"/>
        <v>-0.34614006610342918</v>
      </c>
      <c r="K73">
        <f t="shared" ca="1" si="10"/>
        <v>18.618560654985878</v>
      </c>
      <c r="L73">
        <f t="shared" ca="1" si="11"/>
        <v>18.136876784765612</v>
      </c>
      <c r="M73">
        <f t="shared" ca="1" si="12"/>
        <v>0</v>
      </c>
      <c r="N73">
        <f t="shared" ca="1" si="13"/>
        <v>0</v>
      </c>
    </row>
    <row r="74" spans="6:14" x14ac:dyDescent="0.75">
      <c r="F74">
        <v>69</v>
      </c>
      <c r="G74">
        <f t="shared" ca="1" si="7"/>
        <v>0.73161905558616347</v>
      </c>
      <c r="H74">
        <f t="shared" ca="1" si="7"/>
        <v>-0.37642455980136874</v>
      </c>
      <c r="I74">
        <f t="shared" ca="1" si="8"/>
        <v>0.73161905558616347</v>
      </c>
      <c r="J74">
        <f t="shared" ca="1" si="9"/>
        <v>0.2997328485367769</v>
      </c>
      <c r="K74">
        <f t="shared" ca="1" si="10"/>
        <v>21.370821744904401</v>
      </c>
      <c r="L74">
        <f t="shared" ca="1" si="11"/>
        <v>21.315094542274281</v>
      </c>
      <c r="M74">
        <f t="shared" ca="1" si="12"/>
        <v>0</v>
      </c>
      <c r="N74">
        <f t="shared" ca="1" si="13"/>
        <v>0</v>
      </c>
    </row>
    <row r="75" spans="6:14" x14ac:dyDescent="0.75">
      <c r="F75">
        <v>70</v>
      </c>
      <c r="G75">
        <f t="shared" ca="1" si="7"/>
        <v>0.89045426229725588</v>
      </c>
      <c r="H75">
        <f t="shared" ca="1" si="7"/>
        <v>-1.5718407048813827</v>
      </c>
      <c r="I75">
        <f t="shared" ca="1" si="8"/>
        <v>0.89045426229725588</v>
      </c>
      <c r="J75">
        <f t="shared" ca="1" si="9"/>
        <v>-0.37183420470821027</v>
      </c>
      <c r="K75">
        <f t="shared" ca="1" si="10"/>
        <v>22.236505349511489</v>
      </c>
      <c r="L75">
        <f t="shared" ca="1" si="11"/>
        <v>18.020747308440782</v>
      </c>
      <c r="M75">
        <f t="shared" ca="1" si="12"/>
        <v>0</v>
      </c>
      <c r="N75">
        <f t="shared" ca="1" si="13"/>
        <v>0</v>
      </c>
    </row>
    <row r="76" spans="6:14" x14ac:dyDescent="0.75">
      <c r="F76">
        <v>71</v>
      </c>
      <c r="G76">
        <f t="shared" ca="1" si="7"/>
        <v>0.25185181692742631</v>
      </c>
      <c r="H76">
        <f t="shared" ca="1" si="7"/>
        <v>0.92738242760519363</v>
      </c>
      <c r="I76">
        <f t="shared" ca="1" si="8"/>
        <v>0.25185181692742631</v>
      </c>
      <c r="J76">
        <f t="shared" ca="1" si="9"/>
        <v>0.80229468111924573</v>
      </c>
      <c r="K76">
        <f t="shared" ca="1" si="10"/>
        <v>18.955321539419707</v>
      </c>
      <c r="L76">
        <f t="shared" ca="1" si="11"/>
        <v>24.168640454430165</v>
      </c>
      <c r="M76">
        <f t="shared" ca="1" si="12"/>
        <v>0</v>
      </c>
      <c r="N76">
        <f t="shared" ca="1" si="13"/>
        <v>0</v>
      </c>
    </row>
    <row r="77" spans="6:14" x14ac:dyDescent="0.75">
      <c r="F77">
        <v>72</v>
      </c>
      <c r="G77">
        <f t="shared" ca="1" si="7"/>
        <v>0.49539103378293287</v>
      </c>
      <c r="H77">
        <f t="shared" ca="1" si="7"/>
        <v>0.78824500302585587</v>
      </c>
      <c r="I77">
        <f t="shared" ca="1" si="8"/>
        <v>0.49539103378293287</v>
      </c>
      <c r="J77">
        <f t="shared" ca="1" si="9"/>
        <v>0.89291833788614228</v>
      </c>
      <c r="K77">
        <f t="shared" ca="1" si="10"/>
        <v>20.145269898446049</v>
      </c>
      <c r="L77">
        <f t="shared" ca="1" si="11"/>
        <v>24.722452974475541</v>
      </c>
      <c r="M77">
        <f t="shared" ca="1" si="12"/>
        <v>0</v>
      </c>
      <c r="N77">
        <f t="shared" ca="1" si="13"/>
        <v>0</v>
      </c>
    </row>
    <row r="78" spans="6:14" x14ac:dyDescent="0.75">
      <c r="F78">
        <v>73</v>
      </c>
      <c r="G78">
        <f t="shared" ca="1" si="7"/>
        <v>-1.5533573972883139</v>
      </c>
      <c r="H78">
        <f t="shared" ca="1" si="7"/>
        <v>0.70141286789515556</v>
      </c>
      <c r="I78">
        <f t="shared" ca="1" si="8"/>
        <v>-1.5533573972883139</v>
      </c>
      <c r="J78">
        <f t="shared" ca="1" si="9"/>
        <v>-0.70107704425843975</v>
      </c>
      <c r="K78">
        <f t="shared" ca="1" si="10"/>
        <v>12.070716658993332</v>
      </c>
      <c r="L78">
        <f t="shared" ca="1" si="11"/>
        <v>16.596851562918001</v>
      </c>
      <c r="M78">
        <f t="shared" ca="1" si="12"/>
        <v>0</v>
      </c>
      <c r="N78">
        <f t="shared" ca="1" si="13"/>
        <v>0</v>
      </c>
    </row>
    <row r="79" spans="6:14" x14ac:dyDescent="0.75">
      <c r="F79">
        <v>74</v>
      </c>
      <c r="G79">
        <f t="shared" ca="1" si="7"/>
        <v>1.5550266973282991</v>
      </c>
      <c r="H79">
        <f t="shared" ca="1" si="7"/>
        <v>0.45318772388651157</v>
      </c>
      <c r="I79">
        <f t="shared" ca="1" si="8"/>
        <v>1.5550266973282991</v>
      </c>
      <c r="J79">
        <f t="shared" ca="1" si="9"/>
        <v>1.4660255266540032</v>
      </c>
      <c r="K79">
        <f t="shared" ca="1" si="10"/>
        <v>26.255577226154308</v>
      </c>
      <c r="L79">
        <f t="shared" ca="1" si="11"/>
        <v>28.530926954532422</v>
      </c>
      <c r="M79">
        <f t="shared" ca="1" si="12"/>
        <v>0</v>
      </c>
      <c r="N79">
        <f t="shared" ca="1" si="13"/>
        <v>0</v>
      </c>
    </row>
    <row r="80" spans="6:14" x14ac:dyDescent="0.75">
      <c r="F80">
        <v>75</v>
      </c>
      <c r="G80">
        <f t="shared" ca="1" si="7"/>
        <v>6.8394555487701639E-2</v>
      </c>
      <c r="H80">
        <f t="shared" ca="1" si="7"/>
        <v>-5.164362492762304E-2</v>
      </c>
      <c r="I80">
        <f t="shared" ca="1" si="8"/>
        <v>6.8394555487701639E-2</v>
      </c>
      <c r="J80">
        <f t="shared" ca="1" si="9"/>
        <v>1.7136869525679575E-2</v>
      </c>
      <c r="K80">
        <f t="shared" ca="1" si="10"/>
        <v>18.105583959948881</v>
      </c>
      <c r="L80">
        <f t="shared" ca="1" si="11"/>
        <v>19.861168444213916</v>
      </c>
      <c r="M80">
        <f t="shared" ca="1" si="12"/>
        <v>0</v>
      </c>
      <c r="N80">
        <f t="shared" ca="1" si="13"/>
        <v>0</v>
      </c>
    </row>
    <row r="81" spans="6:14" x14ac:dyDescent="0.75">
      <c r="F81">
        <v>76</v>
      </c>
      <c r="G81">
        <f t="shared" ca="1" si="7"/>
        <v>0.41951399943972445</v>
      </c>
      <c r="H81">
        <f t="shared" ca="1" si="7"/>
        <v>-0.75085574051642612</v>
      </c>
      <c r="I81">
        <f t="shared" ca="1" si="8"/>
        <v>0.41951399943972445</v>
      </c>
      <c r="J81">
        <f t="shared" ca="1" si="9"/>
        <v>-0.18200889039313384</v>
      </c>
      <c r="K81">
        <f t="shared" ca="1" si="10"/>
        <v>19.766730719082837</v>
      </c>
      <c r="L81">
        <f t="shared" ca="1" si="11"/>
        <v>18.896562948582748</v>
      </c>
      <c r="M81">
        <f t="shared" ca="1" si="12"/>
        <v>0</v>
      </c>
      <c r="N81">
        <f t="shared" ca="1" si="13"/>
        <v>0</v>
      </c>
    </row>
    <row r="82" spans="6:14" x14ac:dyDescent="0.75">
      <c r="F82">
        <v>77</v>
      </c>
      <c r="G82">
        <f t="shared" ca="1" si="7"/>
        <v>-0.42566803764852706</v>
      </c>
      <c r="H82">
        <f t="shared" ca="1" si="7"/>
        <v>1.0489087906104309</v>
      </c>
      <c r="I82">
        <f t="shared" ca="1" si="8"/>
        <v>-0.42566803764852706</v>
      </c>
      <c r="J82">
        <f t="shared" ca="1" si="9"/>
        <v>0.37453692374978509</v>
      </c>
      <c r="K82">
        <f t="shared" ca="1" si="10"/>
        <v>16.001856527608908</v>
      </c>
      <c r="L82">
        <f t="shared" ca="1" si="11"/>
        <v>21.717459113359048</v>
      </c>
      <c r="M82">
        <f t="shared" ca="1" si="12"/>
        <v>0</v>
      </c>
      <c r="N82">
        <f t="shared" ca="1" si="13"/>
        <v>0</v>
      </c>
    </row>
    <row r="83" spans="6:14" x14ac:dyDescent="0.75">
      <c r="F83">
        <v>78</v>
      </c>
      <c r="G83">
        <f t="shared" ca="1" si="7"/>
        <v>-0.28624326863745264</v>
      </c>
      <c r="H83">
        <f t="shared" ca="1" si="7"/>
        <v>-1.9157610439940116</v>
      </c>
      <c r="I83">
        <f t="shared" ca="1" si="8"/>
        <v>-0.28624326863745264</v>
      </c>
      <c r="J83">
        <f t="shared" ca="1" si="9"/>
        <v>-1.4818392749364957</v>
      </c>
      <c r="K83">
        <f t="shared" ca="1" si="10"/>
        <v>16.569455010035927</v>
      </c>
      <c r="L83">
        <f t="shared" ca="1" si="11"/>
        <v>13.653862584429358</v>
      </c>
      <c r="M83">
        <f t="shared" ca="1" si="12"/>
        <v>0</v>
      </c>
      <c r="N83">
        <f t="shared" ca="1" si="13"/>
        <v>0</v>
      </c>
    </row>
    <row r="84" spans="6:14" x14ac:dyDescent="0.75">
      <c r="F84">
        <v>79</v>
      </c>
      <c r="G84">
        <f t="shared" ca="1" si="7"/>
        <v>0.33767205891812674</v>
      </c>
      <c r="H84">
        <f t="shared" ca="1" si="7"/>
        <v>-0.54109590667254837</v>
      </c>
      <c r="I84">
        <f t="shared" ca="1" si="8"/>
        <v>0.33767205891812674</v>
      </c>
      <c r="J84">
        <f t="shared" ca="1" si="9"/>
        <v>-0.10464725693404953</v>
      </c>
      <c r="K84">
        <f t="shared" ca="1" si="10"/>
        <v>19.36640323213441</v>
      </c>
      <c r="L84">
        <f t="shared" ca="1" si="11"/>
        <v>19.265587230083728</v>
      </c>
      <c r="M84">
        <f t="shared" ca="1" si="12"/>
        <v>0</v>
      </c>
      <c r="N84">
        <f t="shared" ca="1" si="13"/>
        <v>0</v>
      </c>
    </row>
    <row r="85" spans="6:14" x14ac:dyDescent="0.75">
      <c r="F85">
        <v>80</v>
      </c>
      <c r="G85">
        <f t="shared" ca="1" si="7"/>
        <v>-2.0159246113468812</v>
      </c>
      <c r="H85">
        <f t="shared" ca="1" si="7"/>
        <v>-0.64091921900443505</v>
      </c>
      <c r="I85">
        <f t="shared" ca="1" si="8"/>
        <v>-2.0159246113468812</v>
      </c>
      <c r="J85">
        <f t="shared" ca="1" si="9"/>
        <v>-1.9358716745020303</v>
      </c>
      <c r="K85">
        <f t="shared" ca="1" si="10"/>
        <v>10.752524939202051</v>
      </c>
      <c r="L85">
        <f t="shared" ca="1" si="11"/>
        <v>12.188761698296059</v>
      </c>
      <c r="M85">
        <f t="shared" ca="1" si="12"/>
        <v>0</v>
      </c>
      <c r="N85">
        <f t="shared" ca="1" si="13"/>
        <v>0</v>
      </c>
    </row>
    <row r="86" spans="6:14" x14ac:dyDescent="0.75">
      <c r="F86">
        <v>81</v>
      </c>
      <c r="G86">
        <f t="shared" ca="1" si="7"/>
        <v>-0.332277759943019</v>
      </c>
      <c r="H86">
        <f t="shared" ca="1" si="7"/>
        <v>-1.6159025483722957</v>
      </c>
      <c r="I86">
        <f t="shared" ca="1" si="8"/>
        <v>-0.332277759943019</v>
      </c>
      <c r="J86">
        <f t="shared" ca="1" si="9"/>
        <v>-1.318027391434418</v>
      </c>
      <c r="K86">
        <f t="shared" ca="1" si="10"/>
        <v>16.379856503400823</v>
      </c>
      <c r="L86">
        <f t="shared" ca="1" si="11"/>
        <v>14.224636494485148</v>
      </c>
      <c r="M86">
        <f t="shared" ca="1" si="12"/>
        <v>0</v>
      </c>
      <c r="N86">
        <f t="shared" ca="1" si="13"/>
        <v>0</v>
      </c>
    </row>
    <row r="87" spans="6:14" x14ac:dyDescent="0.75">
      <c r="F87">
        <v>82</v>
      </c>
      <c r="G87">
        <f t="shared" ca="1" si="7"/>
        <v>-7.684782136299749E-2</v>
      </c>
      <c r="H87">
        <f t="shared" ca="1" si="7"/>
        <v>0.71448518208478751</v>
      </c>
      <c r="I87">
        <f t="shared" ca="1" si="8"/>
        <v>-7.684782136299749E-2</v>
      </c>
      <c r="J87">
        <f t="shared" ca="1" si="9"/>
        <v>0.41495166078701423</v>
      </c>
      <c r="K87">
        <f t="shared" ca="1" si="10"/>
        <v>17.459952022499444</v>
      </c>
      <c r="L87">
        <f t="shared" ca="1" si="11"/>
        <v>21.937997713218145</v>
      </c>
      <c r="M87">
        <f t="shared" ca="1" si="12"/>
        <v>0</v>
      </c>
      <c r="N87">
        <f t="shared" ca="1" si="13"/>
        <v>0</v>
      </c>
    </row>
    <row r="88" spans="6:14" x14ac:dyDescent="0.75">
      <c r="F88">
        <v>83</v>
      </c>
      <c r="G88">
        <f t="shared" ca="1" si="7"/>
        <v>1.61308658507557</v>
      </c>
      <c r="H88">
        <f t="shared" ca="1" si="7"/>
        <v>1.02416613604119</v>
      </c>
      <c r="I88">
        <f t="shared" ca="1" si="8"/>
        <v>1.61308658507557</v>
      </c>
      <c r="J88">
        <f t="shared" ca="1" si="9"/>
        <v>1.8872371631014111</v>
      </c>
      <c r="K88">
        <f t="shared" ca="1" si="10"/>
        <v>26.63945544381582</v>
      </c>
      <c r="L88">
        <f t="shared" ca="1" si="11"/>
        <v>31.699203815240402</v>
      </c>
      <c r="M88">
        <f t="shared" ca="1" si="12"/>
        <v>0</v>
      </c>
      <c r="N88">
        <f t="shared" ca="1" si="13"/>
        <v>0</v>
      </c>
    </row>
    <row r="89" spans="6:14" x14ac:dyDescent="0.75">
      <c r="F89">
        <v>84</v>
      </c>
      <c r="G89">
        <f t="shared" ca="1" si="7"/>
        <v>-0.61801475305078901</v>
      </c>
      <c r="H89">
        <f t="shared" ca="1" si="7"/>
        <v>9.5387118521656364E-2</v>
      </c>
      <c r="I89">
        <f t="shared" ca="1" si="8"/>
        <v>-0.61801475305078901</v>
      </c>
      <c r="J89">
        <f t="shared" ca="1" si="9"/>
        <v>-0.4004184163162553</v>
      </c>
      <c r="K89">
        <f t="shared" ca="1" si="10"/>
        <v>15.250588151687142</v>
      </c>
      <c r="L89">
        <f t="shared" ca="1" si="11"/>
        <v>17.89242912516222</v>
      </c>
      <c r="M89">
        <f t="shared" ca="1" si="12"/>
        <v>0</v>
      </c>
      <c r="N89">
        <f t="shared" ca="1" si="13"/>
        <v>0</v>
      </c>
    </row>
    <row r="90" spans="6:14" x14ac:dyDescent="0.75">
      <c r="F90">
        <v>85</v>
      </c>
      <c r="G90">
        <f t="shared" ca="1" si="7"/>
        <v>2.6827359879994708E-2</v>
      </c>
      <c r="H90">
        <f t="shared" ca="1" si="7"/>
        <v>-1.6429042193045456E-2</v>
      </c>
      <c r="I90">
        <f t="shared" ca="1" si="8"/>
        <v>2.6827359879994708E-2</v>
      </c>
      <c r="J90">
        <f t="shared" ca="1" si="9"/>
        <v>9.2537299295496565E-3</v>
      </c>
      <c r="K90">
        <f t="shared" ca="1" si="10"/>
        <v>17.918408601190126</v>
      </c>
      <c r="L90">
        <f t="shared" ca="1" si="11"/>
        <v>19.822064898362243</v>
      </c>
      <c r="M90">
        <f t="shared" ca="1" si="12"/>
        <v>0</v>
      </c>
      <c r="N90">
        <f t="shared" ca="1" si="13"/>
        <v>0</v>
      </c>
    </row>
    <row r="91" spans="6:14" x14ac:dyDescent="0.75">
      <c r="F91">
        <v>86</v>
      </c>
      <c r="G91">
        <f t="shared" ca="1" si="7"/>
        <v>-0.87739746545050146</v>
      </c>
      <c r="H91">
        <f t="shared" ca="1" si="7"/>
        <v>0.30550993295035522</v>
      </c>
      <c r="I91">
        <f t="shared" ca="1" si="8"/>
        <v>-0.87739746545050146</v>
      </c>
      <c r="J91">
        <f t="shared" ca="1" si="9"/>
        <v>-0.45597227267621171</v>
      </c>
      <c r="K91">
        <f t="shared" ca="1" si="10"/>
        <v>14.293035512525694</v>
      </c>
      <c r="L91">
        <f t="shared" ca="1" si="11"/>
        <v>17.645648434921554</v>
      </c>
      <c r="M91">
        <f t="shared" ca="1" si="12"/>
        <v>0</v>
      </c>
      <c r="N91">
        <f t="shared" ca="1" si="13"/>
        <v>0</v>
      </c>
    </row>
    <row r="92" spans="6:14" x14ac:dyDescent="0.75">
      <c r="F92">
        <v>87</v>
      </c>
      <c r="G92">
        <f t="shared" ca="1" si="7"/>
        <v>-1.2102892851509042</v>
      </c>
      <c r="H92">
        <f t="shared" ca="1" si="7"/>
        <v>1.3295184172525818</v>
      </c>
      <c r="I92">
        <f t="shared" ca="1" si="8"/>
        <v>-1.2102892851509042</v>
      </c>
      <c r="J92">
        <f t="shared" ca="1" si="9"/>
        <v>-2.8323189980543617E-2</v>
      </c>
      <c r="K92">
        <f t="shared" ca="1" si="10"/>
        <v>13.151679072686374</v>
      </c>
      <c r="L92">
        <f t="shared" ca="1" si="11"/>
        <v>19.636723793610216</v>
      </c>
      <c r="M92">
        <f t="shared" ca="1" si="12"/>
        <v>0</v>
      </c>
      <c r="N92">
        <f t="shared" ca="1" si="13"/>
        <v>0</v>
      </c>
    </row>
    <row r="93" spans="6:14" x14ac:dyDescent="0.75">
      <c r="F93">
        <v>88</v>
      </c>
      <c r="G93">
        <f t="shared" ca="1" si="7"/>
        <v>0.50405611962608365</v>
      </c>
      <c r="H93">
        <f t="shared" ca="1" si="7"/>
        <v>-1.0215424678152716</v>
      </c>
      <c r="I93">
        <f t="shared" ca="1" si="8"/>
        <v>0.50405611962608365</v>
      </c>
      <c r="J93">
        <f t="shared" ca="1" si="9"/>
        <v>-0.29764474116304029</v>
      </c>
      <c r="K93">
        <f t="shared" ca="1" si="10"/>
        <v>20.188957324024084</v>
      </c>
      <c r="L93">
        <f t="shared" ca="1" si="11"/>
        <v>18.358103566331049</v>
      </c>
      <c r="M93">
        <f t="shared" ca="1" si="12"/>
        <v>0</v>
      </c>
      <c r="N93">
        <f t="shared" ca="1" si="13"/>
        <v>0</v>
      </c>
    </row>
    <row r="94" spans="6:14" x14ac:dyDescent="0.75">
      <c r="F94">
        <v>89</v>
      </c>
      <c r="G94">
        <f t="shared" ca="1" si="7"/>
        <v>0.18471800145109624</v>
      </c>
      <c r="H94">
        <f t="shared" ca="1" si="7"/>
        <v>0.90519049927877848</v>
      </c>
      <c r="I94">
        <f t="shared" ca="1" si="8"/>
        <v>0.18471800145109624</v>
      </c>
      <c r="J94">
        <f t="shared" ca="1" si="9"/>
        <v>0.73726573864583211</v>
      </c>
      <c r="K94">
        <f t="shared" ca="1" si="10"/>
        <v>18.639840610069314</v>
      </c>
      <c r="L94">
        <f t="shared" ca="1" si="11"/>
        <v>23.778901792497379</v>
      </c>
      <c r="M94">
        <f t="shared" ca="1" si="12"/>
        <v>0</v>
      </c>
      <c r="N94">
        <f t="shared" ca="1" si="13"/>
        <v>0</v>
      </c>
    </row>
    <row r="95" spans="6:14" x14ac:dyDescent="0.75">
      <c r="F95">
        <v>90</v>
      </c>
      <c r="G95">
        <f t="shared" ca="1" si="7"/>
        <v>-1.009997103206149</v>
      </c>
      <c r="H95">
        <f t="shared" ca="1" si="7"/>
        <v>-0.17619934438057808</v>
      </c>
      <c r="I95">
        <f t="shared" ca="1" si="8"/>
        <v>-1.009997103206149</v>
      </c>
      <c r="J95">
        <f t="shared" ca="1" si="9"/>
        <v>-0.87404273900552076</v>
      </c>
      <c r="K95">
        <f t="shared" ca="1" si="10"/>
        <v>13.826990040251591</v>
      </c>
      <c r="L95">
        <f t="shared" ca="1" si="11"/>
        <v>15.89447538527898</v>
      </c>
      <c r="M95">
        <f t="shared" ca="1" si="12"/>
        <v>0</v>
      </c>
      <c r="N95">
        <f t="shared" ca="1" si="13"/>
        <v>0</v>
      </c>
    </row>
    <row r="96" spans="6:14" x14ac:dyDescent="0.75">
      <c r="F96">
        <v>91</v>
      </c>
      <c r="G96">
        <f t="shared" ca="1" si="7"/>
        <v>0.94733772715076525</v>
      </c>
      <c r="H96">
        <f t="shared" ca="1" si="7"/>
        <v>-1.8032240216120494</v>
      </c>
      <c r="I96">
        <f t="shared" ca="1" si="8"/>
        <v>0.94733772715076525</v>
      </c>
      <c r="J96">
        <f t="shared" ca="1" si="9"/>
        <v>-0.48221728446773704</v>
      </c>
      <c r="K96">
        <f t="shared" ca="1" si="10"/>
        <v>22.554986891567776</v>
      </c>
      <c r="L96">
        <f t="shared" ca="1" si="11"/>
        <v>17.530249865704334</v>
      </c>
      <c r="M96">
        <f t="shared" ca="1" si="12"/>
        <v>0</v>
      </c>
      <c r="N96">
        <f t="shared" ca="1" si="13"/>
        <v>0</v>
      </c>
    </row>
    <row r="97" spans="6:14" x14ac:dyDescent="0.75">
      <c r="F97">
        <v>92</v>
      </c>
      <c r="G97">
        <f t="shared" ca="1" si="7"/>
        <v>-1.8154323184218668</v>
      </c>
      <c r="H97">
        <f t="shared" ca="1" si="7"/>
        <v>1.8628067376750435</v>
      </c>
      <c r="I97">
        <f t="shared" ca="1" si="8"/>
        <v>-1.8154323184218668</v>
      </c>
      <c r="J97">
        <f t="shared" ca="1" si="9"/>
        <v>-0.12944339670047511</v>
      </c>
      <c r="K97">
        <f t="shared" ca="1" si="10"/>
        <v>11.305209964749231</v>
      </c>
      <c r="L97">
        <f t="shared" ca="1" si="11"/>
        <v>19.146528587282837</v>
      </c>
      <c r="M97">
        <f t="shared" ca="1" si="12"/>
        <v>0</v>
      </c>
      <c r="N97">
        <f t="shared" ca="1" si="13"/>
        <v>0</v>
      </c>
    </row>
    <row r="98" spans="6:14" x14ac:dyDescent="0.75">
      <c r="F98">
        <v>93</v>
      </c>
      <c r="G98">
        <f t="shared" ca="1" si="7"/>
        <v>-1.5344055125795379</v>
      </c>
      <c r="H98">
        <f t="shared" ca="1" si="7"/>
        <v>0.2384258803668643</v>
      </c>
      <c r="I98">
        <f t="shared" ca="1" si="8"/>
        <v>-1.5344055125795379</v>
      </c>
      <c r="J98">
        <f t="shared" ca="1" si="9"/>
        <v>-0.99310023804156344</v>
      </c>
      <c r="K98">
        <f t="shared" ca="1" si="10"/>
        <v>12.128043064800591</v>
      </c>
      <c r="L98">
        <f t="shared" ca="1" si="11"/>
        <v>15.428357527949469</v>
      </c>
      <c r="M98">
        <f t="shared" ca="1" si="12"/>
        <v>0</v>
      </c>
      <c r="N98">
        <f t="shared" ca="1" si="13"/>
        <v>0</v>
      </c>
    </row>
    <row r="99" spans="6:14" x14ac:dyDescent="0.75">
      <c r="F99">
        <v>94</v>
      </c>
      <c r="G99">
        <f t="shared" ca="1" si="7"/>
        <v>0.77567871399413379</v>
      </c>
      <c r="H99">
        <f t="shared" ca="1" si="7"/>
        <v>-1.6275739573137358</v>
      </c>
      <c r="I99">
        <f t="shared" ca="1" si="8"/>
        <v>0.77567871399413379</v>
      </c>
      <c r="J99">
        <f t="shared" ca="1" si="9"/>
        <v>-0.49477994735874975</v>
      </c>
      <c r="K99">
        <f t="shared" ca="1" si="10"/>
        <v>21.607520737808983</v>
      </c>
      <c r="L99">
        <f t="shared" ca="1" si="11"/>
        <v>17.475279577674076</v>
      </c>
      <c r="M99">
        <f t="shared" ca="1" si="12"/>
        <v>0</v>
      </c>
      <c r="N99">
        <f t="shared" ca="1" si="13"/>
        <v>0</v>
      </c>
    </row>
    <row r="100" spans="6:14" x14ac:dyDescent="0.75">
      <c r="F100">
        <v>95</v>
      </c>
      <c r="G100">
        <f t="shared" ca="1" si="7"/>
        <v>-1.4068759911013848</v>
      </c>
      <c r="H100">
        <f t="shared" ca="1" si="7"/>
        <v>0.58056874053194618</v>
      </c>
      <c r="I100">
        <f t="shared" ca="1" si="8"/>
        <v>-1.4068759911013848</v>
      </c>
      <c r="J100">
        <f t="shared" ca="1" si="9"/>
        <v>-0.67114686671965984</v>
      </c>
      <c r="K100">
        <f t="shared" ca="1" si="10"/>
        <v>12.520943974084558</v>
      </c>
      <c r="L100">
        <f t="shared" ca="1" si="11"/>
        <v>16.721504018558576</v>
      </c>
      <c r="M100">
        <f t="shared" ca="1" si="12"/>
        <v>0</v>
      </c>
      <c r="N100">
        <f t="shared" ca="1" si="13"/>
        <v>0</v>
      </c>
    </row>
    <row r="101" spans="6:14" x14ac:dyDescent="0.75">
      <c r="F101">
        <v>96</v>
      </c>
      <c r="G101">
        <f t="shared" ca="1" si="7"/>
        <v>-0.84729981904993601</v>
      </c>
      <c r="H101">
        <f t="shared" ca="1" si="7"/>
        <v>-2.2487760564808559</v>
      </c>
      <c r="I101">
        <f t="shared" ca="1" si="8"/>
        <v>-0.84729981904993601</v>
      </c>
      <c r="J101">
        <f t="shared" ca="1" si="9"/>
        <v>-2.1229004142186731</v>
      </c>
      <c r="K101">
        <f t="shared" ca="1" si="10"/>
        <v>14.400987824225131</v>
      </c>
      <c r="L101">
        <f t="shared" ca="1" si="11"/>
        <v>11.631968002833318</v>
      </c>
      <c r="M101">
        <f t="shared" ca="1" si="12"/>
        <v>0</v>
      </c>
      <c r="N101">
        <f t="shared" ca="1" si="13"/>
        <v>0</v>
      </c>
    </row>
    <row r="102" spans="6:14" x14ac:dyDescent="0.75">
      <c r="F102">
        <v>97</v>
      </c>
      <c r="G102">
        <f t="shared" ca="1" si="7"/>
        <v>-1.1232302286898703</v>
      </c>
      <c r="H102">
        <f t="shared" ca="1" si="7"/>
        <v>-0.40805949205946696</v>
      </c>
      <c r="I102">
        <f t="shared" ca="1" si="8"/>
        <v>-1.1232302286898703</v>
      </c>
      <c r="J102">
        <f t="shared" ca="1" si="9"/>
        <v>-1.1123286555445742</v>
      </c>
      <c r="K102">
        <f t="shared" ca="1" si="10"/>
        <v>13.441059995847713</v>
      </c>
      <c r="L102">
        <f t="shared" ca="1" si="11"/>
        <v>14.975269038270076</v>
      </c>
      <c r="M102">
        <f t="shared" ca="1" si="12"/>
        <v>0</v>
      </c>
      <c r="N102">
        <f t="shared" ca="1" si="13"/>
        <v>0</v>
      </c>
    </row>
    <row r="103" spans="6:14" x14ac:dyDescent="0.75">
      <c r="F103">
        <v>98</v>
      </c>
      <c r="G103">
        <f t="shared" ca="1" si="7"/>
        <v>-0.44593540004119736</v>
      </c>
      <c r="H103">
        <f t="shared" ca="1" si="7"/>
        <v>-0.4045437243977576</v>
      </c>
      <c r="I103">
        <f t="shared" ca="1" si="8"/>
        <v>-0.44593540004119736</v>
      </c>
      <c r="J103">
        <f t="shared" ca="1" si="9"/>
        <v>-0.60203207233297795</v>
      </c>
      <c r="K103">
        <f t="shared" ca="1" si="10"/>
        <v>15.920982731646941</v>
      </c>
      <c r="L103">
        <f t="shared" ca="1" si="11"/>
        <v>17.012940416678038</v>
      </c>
      <c r="M103">
        <f t="shared" ca="1" si="12"/>
        <v>0</v>
      </c>
      <c r="N103">
        <f t="shared" ca="1" si="13"/>
        <v>0</v>
      </c>
    </row>
    <row r="104" spans="6:14" x14ac:dyDescent="0.75">
      <c r="F104">
        <v>99</v>
      </c>
      <c r="G104">
        <f t="shared" ca="1" si="7"/>
        <v>-1.1981711374973962</v>
      </c>
      <c r="H104">
        <f t="shared" ca="1" si="7"/>
        <v>0.1339727297811209</v>
      </c>
      <c r="I104">
        <f t="shared" ca="1" si="8"/>
        <v>-1.1981711374973962</v>
      </c>
      <c r="J104">
        <f t="shared" ca="1" si="9"/>
        <v>-0.81001372175672159</v>
      </c>
      <c r="K104">
        <f t="shared" ca="1" si="10"/>
        <v>13.191582984576845</v>
      </c>
      <c r="L104">
        <f t="shared" ca="1" si="11"/>
        <v>16.150949542068393</v>
      </c>
      <c r="M104">
        <f t="shared" ca="1" si="12"/>
        <v>0</v>
      </c>
      <c r="N104">
        <f t="shared" ca="1" si="13"/>
        <v>0</v>
      </c>
    </row>
    <row r="105" spans="6:14" x14ac:dyDescent="0.75">
      <c r="F105">
        <v>100</v>
      </c>
      <c r="G105">
        <f t="shared" ca="1" si="7"/>
        <v>0.80421082352850826</v>
      </c>
      <c r="H105">
        <f t="shared" ca="1" si="7"/>
        <v>-0.92637910379610222</v>
      </c>
      <c r="I105">
        <f t="shared" ca="1" si="8"/>
        <v>0.80421082352850826</v>
      </c>
      <c r="J105">
        <f t="shared" ca="1" si="9"/>
        <v>-9.5840644564633148E-3</v>
      </c>
      <c r="K105">
        <f t="shared" ca="1" si="10"/>
        <v>21.762198780444848</v>
      </c>
      <c r="L105">
        <f t="shared" ca="1" si="11"/>
        <v>19.728933373840128</v>
      </c>
      <c r="M105">
        <f t="shared" ca="1" si="12"/>
        <v>0</v>
      </c>
      <c r="N105">
        <f t="shared" ca="1" si="13"/>
        <v>0</v>
      </c>
    </row>
    <row r="106" spans="6:14" x14ac:dyDescent="0.75">
      <c r="F106">
        <v>101</v>
      </c>
      <c r="G106">
        <f t="shared" ca="1" si="7"/>
        <v>-0.54083817704177528</v>
      </c>
      <c r="H106">
        <f t="shared" ca="1" si="7"/>
        <v>-0.55282815572937705</v>
      </c>
      <c r="I106">
        <f t="shared" ca="1" si="8"/>
        <v>-0.54083817704177528</v>
      </c>
      <c r="J106">
        <f t="shared" ca="1" si="9"/>
        <v>-0.77129008723493619</v>
      </c>
      <c r="K106">
        <f t="shared" ca="1" si="10"/>
        <v>15.547692162687531</v>
      </c>
      <c r="L106">
        <f t="shared" ca="1" si="11"/>
        <v>16.308064690511088</v>
      </c>
      <c r="M106">
        <f t="shared" ca="1" si="12"/>
        <v>0</v>
      </c>
      <c r="N106">
        <f t="shared" ca="1" si="13"/>
        <v>0</v>
      </c>
    </row>
    <row r="107" spans="6:14" x14ac:dyDescent="0.75">
      <c r="F107">
        <v>102</v>
      </c>
      <c r="G107">
        <f t="shared" ca="1" si="7"/>
        <v>1.5160662950963757</v>
      </c>
      <c r="H107">
        <f t="shared" ca="1" si="7"/>
        <v>-0.13569555259927171</v>
      </c>
      <c r="I107">
        <f t="shared" ca="1" si="8"/>
        <v>1.5160662950963757</v>
      </c>
      <c r="J107">
        <f t="shared" ca="1" si="9"/>
        <v>1.0472955497734924</v>
      </c>
      <c r="K107">
        <f t="shared" ca="1" si="10"/>
        <v>26.001086657575726</v>
      </c>
      <c r="L107">
        <f t="shared" ca="1" si="11"/>
        <v>25.695250284732687</v>
      </c>
      <c r="M107">
        <f t="shared" ca="1" si="12"/>
        <v>0</v>
      </c>
      <c r="N107">
        <f t="shared" ca="1" si="13"/>
        <v>0</v>
      </c>
    </row>
    <row r="108" spans="6:14" x14ac:dyDescent="0.75">
      <c r="F108">
        <v>103</v>
      </c>
      <c r="G108">
        <f t="shared" ca="1" si="7"/>
        <v>-3.9463246284865278E-2</v>
      </c>
      <c r="H108">
        <f t="shared" ca="1" si="7"/>
        <v>1.167331175616813</v>
      </c>
      <c r="I108">
        <f t="shared" ca="1" si="8"/>
        <v>-3.9463246284865278E-2</v>
      </c>
      <c r="J108">
        <f t="shared" ca="1" si="9"/>
        <v>0.74251956237003924</v>
      </c>
      <c r="K108">
        <f t="shared" ca="1" si="10"/>
        <v>17.623900192484765</v>
      </c>
      <c r="L108">
        <f t="shared" ca="1" si="11"/>
        <v>23.810154852355989</v>
      </c>
      <c r="M108">
        <f t="shared" ca="1" si="12"/>
        <v>0</v>
      </c>
      <c r="N108">
        <f t="shared" ca="1" si="13"/>
        <v>0</v>
      </c>
    </row>
    <row r="109" spans="6:14" x14ac:dyDescent="0.75">
      <c r="F109">
        <v>104</v>
      </c>
      <c r="G109">
        <f t="shared" ca="1" si="7"/>
        <v>-0.50604796429963939</v>
      </c>
      <c r="H109">
        <f t="shared" ca="1" si="7"/>
        <v>0.93686172657392408</v>
      </c>
      <c r="I109">
        <f t="shared" ca="1" si="8"/>
        <v>-0.50604796429963939</v>
      </c>
      <c r="J109">
        <f t="shared" ca="1" si="9"/>
        <v>0.24013981211756941</v>
      </c>
      <c r="K109">
        <f t="shared" ca="1" si="10"/>
        <v>15.683508822314399</v>
      </c>
      <c r="L109">
        <f t="shared" ca="1" si="11"/>
        <v>20.999890566344305</v>
      </c>
      <c r="M109">
        <f t="shared" ca="1" si="12"/>
        <v>0</v>
      </c>
      <c r="N109">
        <f t="shared" ca="1" si="13"/>
        <v>0</v>
      </c>
    </row>
    <row r="110" spans="6:14" x14ac:dyDescent="0.75">
      <c r="F110">
        <v>105</v>
      </c>
      <c r="G110">
        <f t="shared" ca="1" si="7"/>
        <v>1.0439816613300643</v>
      </c>
      <c r="H110">
        <f t="shared" ca="1" si="7"/>
        <v>5.8777510408851548E-2</v>
      </c>
      <c r="I110">
        <f t="shared" ca="1" si="8"/>
        <v>1.0439816613300643</v>
      </c>
      <c r="J110">
        <f t="shared" ca="1" si="9"/>
        <v>0.82186391480388121</v>
      </c>
      <c r="K110">
        <f t="shared" ca="1" si="10"/>
        <v>23.106574172006255</v>
      </c>
      <c r="L110">
        <f t="shared" ca="1" si="11"/>
        <v>24.287170604263405</v>
      </c>
      <c r="M110">
        <f t="shared" ca="1" si="12"/>
        <v>0</v>
      </c>
      <c r="N110">
        <f t="shared" ca="1" si="13"/>
        <v>0</v>
      </c>
    </row>
    <row r="111" spans="6:14" x14ac:dyDescent="0.75">
      <c r="F111">
        <v>106</v>
      </c>
      <c r="G111">
        <f t="shared" ca="1" si="7"/>
        <v>0.17998643882210824</v>
      </c>
      <c r="H111">
        <f t="shared" ca="1" si="7"/>
        <v>7.1586822544399228E-2</v>
      </c>
      <c r="I111">
        <f t="shared" ca="1" si="8"/>
        <v>0.17998643882210824</v>
      </c>
      <c r="J111">
        <f t="shared" ca="1" si="9"/>
        <v>0.18234006151702931</v>
      </c>
      <c r="K111">
        <f t="shared" ca="1" si="10"/>
        <v>18.617804752333644</v>
      </c>
      <c r="L111">
        <f t="shared" ca="1" si="11"/>
        <v>20.698625330949159</v>
      </c>
      <c r="M111">
        <f t="shared" ca="1" si="12"/>
        <v>0</v>
      </c>
      <c r="N111">
        <f t="shared" ca="1" si="13"/>
        <v>0</v>
      </c>
    </row>
    <row r="112" spans="6:14" x14ac:dyDescent="0.75">
      <c r="F112">
        <v>107</v>
      </c>
      <c r="G112">
        <f t="shared" ca="1" si="7"/>
        <v>1.3868602396184209</v>
      </c>
      <c r="H112">
        <f t="shared" ca="1" si="7"/>
        <v>0.16393244465907184</v>
      </c>
      <c r="I112">
        <f t="shared" ca="1" si="8"/>
        <v>1.3868602396184209</v>
      </c>
      <c r="J112">
        <f t="shared" ca="1" si="9"/>
        <v>1.1485762998095064</v>
      </c>
      <c r="K112">
        <f t="shared" ca="1" si="10"/>
        <v>25.174631923953712</v>
      </c>
      <c r="L112">
        <f t="shared" ca="1" si="11"/>
        <v>26.354165566449751</v>
      </c>
      <c r="M112">
        <f t="shared" ca="1" si="12"/>
        <v>0</v>
      </c>
      <c r="N112">
        <f t="shared" ca="1" si="13"/>
        <v>0</v>
      </c>
    </row>
    <row r="113" spans="6:14" x14ac:dyDescent="0.75">
      <c r="F113">
        <v>108</v>
      </c>
      <c r="G113">
        <f t="shared" ca="1" si="7"/>
        <v>-0.59996626874632264</v>
      </c>
      <c r="H113">
        <f t="shared" ca="1" si="7"/>
        <v>0.79046301190894319</v>
      </c>
      <c r="I113">
        <f t="shared" ca="1" si="8"/>
        <v>-0.59996626874632264</v>
      </c>
      <c r="J113">
        <f t="shared" ca="1" si="9"/>
        <v>7.2867435966795902E-2</v>
      </c>
      <c r="K113">
        <f t="shared" ca="1" si="10"/>
        <v>15.319556130834442</v>
      </c>
      <c r="L113">
        <f t="shared" ca="1" si="11"/>
        <v>20.139823680213031</v>
      </c>
      <c r="M113">
        <f t="shared" ca="1" si="12"/>
        <v>0</v>
      </c>
      <c r="N113">
        <f t="shared" ca="1" si="13"/>
        <v>0</v>
      </c>
    </row>
    <row r="114" spans="6:14" x14ac:dyDescent="0.75">
      <c r="F114">
        <v>109</v>
      </c>
      <c r="G114">
        <f t="shared" ca="1" si="7"/>
        <v>1.6904834903380861</v>
      </c>
      <c r="H114">
        <f t="shared" ca="1" si="7"/>
        <v>1.8014756973312658</v>
      </c>
      <c r="I114">
        <f t="shared" ca="1" si="8"/>
        <v>1.6904834903380861</v>
      </c>
      <c r="J114">
        <f t="shared" ca="1" si="9"/>
        <v>2.4594267897698634</v>
      </c>
      <c r="K114">
        <f t="shared" ca="1" si="10"/>
        <v>27.159927422878553</v>
      </c>
      <c r="L114">
        <f t="shared" ca="1" si="11"/>
        <v>36.574049943440926</v>
      </c>
      <c r="M114">
        <f t="shared" ca="1" si="12"/>
        <v>0</v>
      </c>
      <c r="N114">
        <f t="shared" ca="1" si="13"/>
        <v>0</v>
      </c>
    </row>
    <row r="115" spans="6:14" x14ac:dyDescent="0.75">
      <c r="F115">
        <v>110</v>
      </c>
      <c r="G115">
        <f t="shared" ca="1" si="7"/>
        <v>-0.4639928359024213</v>
      </c>
      <c r="H115">
        <f t="shared" ca="1" si="7"/>
        <v>1.2115200253691587</v>
      </c>
      <c r="I115">
        <f t="shared" ca="1" si="8"/>
        <v>-0.4639928359024213</v>
      </c>
      <c r="J115">
        <f t="shared" ca="1" si="9"/>
        <v>0.45335054694854843</v>
      </c>
      <c r="K115">
        <f t="shared" ca="1" si="10"/>
        <v>15.849271687000357</v>
      </c>
      <c r="L115">
        <f t="shared" ca="1" si="11"/>
        <v>22.149610469094828</v>
      </c>
      <c r="M115">
        <f t="shared" ca="1" si="12"/>
        <v>0</v>
      </c>
      <c r="N115">
        <f t="shared" ca="1" si="13"/>
        <v>0</v>
      </c>
    </row>
    <row r="116" spans="6:14" x14ac:dyDescent="0.75">
      <c r="F116">
        <v>111</v>
      </c>
      <c r="G116">
        <f t="shared" ca="1" si="7"/>
        <v>0.5504804283639414</v>
      </c>
      <c r="H116">
        <f t="shared" ca="1" si="7"/>
        <v>-1.1883409473129745</v>
      </c>
      <c r="I116">
        <f t="shared" ca="1" si="8"/>
        <v>0.5504804283639414</v>
      </c>
      <c r="J116">
        <f t="shared" ca="1" si="9"/>
        <v>-0.37315333356330393</v>
      </c>
      <c r="K116">
        <f t="shared" ca="1" si="10"/>
        <v>20.424636933351032</v>
      </c>
      <c r="L116">
        <f t="shared" ca="1" si="11"/>
        <v>18.014805366326815</v>
      </c>
      <c r="M116">
        <f t="shared" ca="1" si="12"/>
        <v>0</v>
      </c>
      <c r="N116">
        <f t="shared" ca="1" si="13"/>
        <v>0</v>
      </c>
    </row>
    <row r="117" spans="6:14" x14ac:dyDescent="0.75">
      <c r="F117">
        <v>112</v>
      </c>
      <c r="G117">
        <f t="shared" ca="1" si="7"/>
        <v>-8.5640660060937554E-2</v>
      </c>
      <c r="H117">
        <f t="shared" ca="1" si="7"/>
        <v>-1.5312550907121116</v>
      </c>
      <c r="I117">
        <f t="shared" ca="1" si="8"/>
        <v>-8.5640660060937554E-2</v>
      </c>
      <c r="J117">
        <f t="shared" ca="1" si="9"/>
        <v>-1.0770605360021777</v>
      </c>
      <c r="K117">
        <f t="shared" ca="1" si="10"/>
        <v>17.421613540496594</v>
      </c>
      <c r="L117">
        <f t="shared" ca="1" si="11"/>
        <v>15.107890236295225</v>
      </c>
      <c r="M117">
        <f t="shared" ca="1" si="12"/>
        <v>0</v>
      </c>
      <c r="N117">
        <f t="shared" ca="1" si="13"/>
        <v>0</v>
      </c>
    </row>
    <row r="118" spans="6:14" x14ac:dyDescent="0.75">
      <c r="F118">
        <v>113</v>
      </c>
      <c r="G118">
        <f t="shared" ca="1" si="7"/>
        <v>6.1201170947183921E-2</v>
      </c>
      <c r="H118">
        <f t="shared" ca="1" si="7"/>
        <v>-1.0795628965320618</v>
      </c>
      <c r="I118">
        <f t="shared" ca="1" si="8"/>
        <v>6.1201170947183921E-2</v>
      </c>
      <c r="J118">
        <f t="shared" ca="1" si="9"/>
        <v>-0.66816285900870953</v>
      </c>
      <c r="K118">
        <f t="shared" ca="1" si="10"/>
        <v>18.073053112639208</v>
      </c>
      <c r="L118">
        <f t="shared" ca="1" si="11"/>
        <v>16.733982946864646</v>
      </c>
      <c r="M118">
        <f t="shared" ca="1" si="12"/>
        <v>0</v>
      </c>
      <c r="N118">
        <f t="shared" ca="1" si="13"/>
        <v>0</v>
      </c>
    </row>
    <row r="119" spans="6:14" x14ac:dyDescent="0.75">
      <c r="F119">
        <v>114</v>
      </c>
      <c r="G119">
        <f t="shared" ca="1" si="7"/>
        <v>0.86124419300645561</v>
      </c>
      <c r="H119">
        <f t="shared" ca="1" si="7"/>
        <v>-0.11524601888905255</v>
      </c>
      <c r="I119">
        <f t="shared" ca="1" si="8"/>
        <v>0.86124419300645561</v>
      </c>
      <c r="J119">
        <f t="shared" ca="1" si="9"/>
        <v>0.56970506836217039</v>
      </c>
      <c r="K119">
        <f t="shared" ca="1" si="10"/>
        <v>22.07471434379319</v>
      </c>
      <c r="L119">
        <f t="shared" ca="1" si="11"/>
        <v>22.803374756532087</v>
      </c>
      <c r="M119">
        <f t="shared" ca="1" si="12"/>
        <v>0</v>
      </c>
      <c r="N119">
        <f t="shared" ca="1" si="13"/>
        <v>0</v>
      </c>
    </row>
    <row r="120" spans="6:14" x14ac:dyDescent="0.75">
      <c r="F120">
        <v>115</v>
      </c>
      <c r="G120">
        <f t="shared" ca="1" si="7"/>
        <v>1.3756633694422744</v>
      </c>
      <c r="H120">
        <f t="shared" ca="1" si="7"/>
        <v>1.6548765144491711</v>
      </c>
      <c r="I120">
        <f t="shared" ca="1" si="8"/>
        <v>1.3756633694422744</v>
      </c>
      <c r="J120">
        <f t="shared" ca="1" si="9"/>
        <v>2.1263454540201794</v>
      </c>
      <c r="K120">
        <f t="shared" ca="1" si="10"/>
        <v>25.104261190053826</v>
      </c>
      <c r="L120">
        <f t="shared" ca="1" si="11"/>
        <v>33.651870351560753</v>
      </c>
      <c r="M120">
        <f t="shared" ca="1" si="12"/>
        <v>0</v>
      </c>
      <c r="N120">
        <f t="shared" ca="1" si="13"/>
        <v>0</v>
      </c>
    </row>
    <row r="121" spans="6:14" x14ac:dyDescent="0.75">
      <c r="F121">
        <v>116</v>
      </c>
      <c r="G121">
        <f t="shared" ca="1" si="7"/>
        <v>-1.8619243497568927</v>
      </c>
      <c r="H121">
        <f t="shared" ca="1" si="7"/>
        <v>1.2638500568495439</v>
      </c>
      <c r="I121">
        <f t="shared" ca="1" si="8"/>
        <v>-1.8619243497568927</v>
      </c>
      <c r="J121">
        <f t="shared" ca="1" si="9"/>
        <v>-0.56048502609298489</v>
      </c>
      <c r="K121">
        <f t="shared" ca="1" si="10"/>
        <v>11.17457010554201</v>
      </c>
      <c r="L121">
        <f t="shared" ca="1" si="11"/>
        <v>17.190570676835122</v>
      </c>
      <c r="M121">
        <f t="shared" ca="1" si="12"/>
        <v>0</v>
      </c>
      <c r="N121">
        <f t="shared" ca="1" si="13"/>
        <v>0</v>
      </c>
    </row>
    <row r="122" spans="6:14" x14ac:dyDescent="0.75">
      <c r="F122">
        <v>117</v>
      </c>
      <c r="G122">
        <f t="shared" ca="1" si="7"/>
        <v>0.18492550729437246</v>
      </c>
      <c r="H122">
        <f t="shared" ca="1" si="7"/>
        <v>-1.5842041871296548</v>
      </c>
      <c r="I122">
        <f t="shared" ca="1" si="8"/>
        <v>0.18492550729437246</v>
      </c>
      <c r="J122">
        <f t="shared" ca="1" si="9"/>
        <v>-0.90915844580229521</v>
      </c>
      <c r="K122">
        <f t="shared" ca="1" si="10"/>
        <v>18.640807604112293</v>
      </c>
      <c r="L122">
        <f t="shared" ca="1" si="11"/>
        <v>15.755549652605573</v>
      </c>
      <c r="M122">
        <f t="shared" ca="1" si="12"/>
        <v>0</v>
      </c>
      <c r="N122">
        <f t="shared" ca="1" si="13"/>
        <v>0</v>
      </c>
    </row>
    <row r="123" spans="6:14" x14ac:dyDescent="0.75">
      <c r="F123">
        <v>118</v>
      </c>
      <c r="G123">
        <f t="shared" ca="1" si="7"/>
        <v>-1.847126026959925</v>
      </c>
      <c r="H123">
        <f t="shared" ca="1" si="7"/>
        <v>-1.0125903629559581</v>
      </c>
      <c r="I123">
        <f t="shared" ca="1" si="8"/>
        <v>-1.847126026959925</v>
      </c>
      <c r="J123">
        <f t="shared" ca="1" si="9"/>
        <v>-2.0551100903104675</v>
      </c>
      <c r="K123">
        <f t="shared" ca="1" si="10"/>
        <v>11.215987896416586</v>
      </c>
      <c r="L123">
        <f t="shared" ca="1" si="11"/>
        <v>11.830781669248637</v>
      </c>
      <c r="M123">
        <f t="shared" ca="1" si="12"/>
        <v>0</v>
      </c>
      <c r="N123">
        <f t="shared" ca="1" si="13"/>
        <v>0</v>
      </c>
    </row>
    <row r="124" spans="6:14" x14ac:dyDescent="0.75">
      <c r="F124">
        <v>119</v>
      </c>
      <c r="G124">
        <f t="shared" ca="1" si="7"/>
        <v>6.1208942638529509E-2</v>
      </c>
      <c r="H124">
        <f t="shared" ca="1" si="7"/>
        <v>0.34211391674781377</v>
      </c>
      <c r="I124">
        <f t="shared" ca="1" si="8"/>
        <v>6.1208942638529509E-2</v>
      </c>
      <c r="J124">
        <f t="shared" ca="1" si="9"/>
        <v>0.27219379292113977</v>
      </c>
      <c r="K124">
        <f t="shared" ca="1" si="10"/>
        <v>18.073088227220936</v>
      </c>
      <c r="L124">
        <f t="shared" ca="1" si="11"/>
        <v>21.168849158898002</v>
      </c>
      <c r="M124">
        <f t="shared" ca="1" si="12"/>
        <v>0</v>
      </c>
      <c r="N124">
        <f t="shared" ca="1" si="13"/>
        <v>0</v>
      </c>
    </row>
    <row r="125" spans="6:14" x14ac:dyDescent="0.75">
      <c r="F125">
        <v>120</v>
      </c>
      <c r="G125">
        <f t="shared" ca="1" si="7"/>
        <v>-3.1581302531351181</v>
      </c>
      <c r="H125">
        <f t="shared" ca="1" si="7"/>
        <v>-0.61401955399498787</v>
      </c>
      <c r="I125">
        <f t="shared" ca="1" si="8"/>
        <v>-3.1581302531351181</v>
      </c>
      <c r="J125">
        <f t="shared" ca="1" si="9"/>
        <v>-2.774733449851722</v>
      </c>
      <c r="K125">
        <f t="shared" ca="1" si="10"/>
        <v>8.0815945197131995</v>
      </c>
      <c r="L125">
        <f t="shared" ca="1" si="11"/>
        <v>9.8828300306331833</v>
      </c>
      <c r="M125">
        <f t="shared" ca="1" si="12"/>
        <v>0</v>
      </c>
      <c r="N125">
        <f t="shared" ca="1" si="13"/>
        <v>0</v>
      </c>
    </row>
    <row r="126" spans="6:14" x14ac:dyDescent="0.75">
      <c r="F126">
        <v>121</v>
      </c>
      <c r="G126">
        <f t="shared" ca="1" si="7"/>
        <v>0.35408116524841698</v>
      </c>
      <c r="H126">
        <f t="shared" ca="1" si="7"/>
        <v>1.2187398821945479</v>
      </c>
      <c r="I126">
        <f t="shared" ca="1" si="8"/>
        <v>0.35408116524841698</v>
      </c>
      <c r="J126">
        <f t="shared" ca="1" si="9"/>
        <v>1.0716815342270452</v>
      </c>
      <c r="K126">
        <f t="shared" ca="1" si="10"/>
        <v>19.446012753095527</v>
      </c>
      <c r="L126">
        <f t="shared" ca="1" si="11"/>
        <v>25.852379761174873</v>
      </c>
      <c r="M126">
        <f t="shared" ca="1" si="12"/>
        <v>0</v>
      </c>
      <c r="N126">
        <f t="shared" ca="1" si="13"/>
        <v>0</v>
      </c>
    </row>
    <row r="127" spans="6:14" x14ac:dyDescent="0.75">
      <c r="F127">
        <v>122</v>
      </c>
      <c r="G127">
        <f t="shared" ca="1" si="7"/>
        <v>-0.18563573392017893</v>
      </c>
      <c r="H127">
        <f t="shared" ca="1" si="7"/>
        <v>-1.5399547760345131</v>
      </c>
      <c r="I127">
        <f t="shared" ca="1" si="8"/>
        <v>-0.18563573392017893</v>
      </c>
      <c r="J127">
        <f t="shared" ca="1" si="9"/>
        <v>-1.1578111423585071</v>
      </c>
      <c r="K127">
        <f t="shared" ca="1" si="10"/>
        <v>16.991493295182373</v>
      </c>
      <c r="L127">
        <f t="shared" ca="1" si="11"/>
        <v>14.805955344334176</v>
      </c>
      <c r="M127">
        <f t="shared" ca="1" si="12"/>
        <v>0</v>
      </c>
      <c r="N127">
        <f t="shared" ca="1" si="13"/>
        <v>0</v>
      </c>
    </row>
    <row r="128" spans="6:14" x14ac:dyDescent="0.75">
      <c r="F128">
        <v>123</v>
      </c>
      <c r="G128">
        <f t="shared" ca="1" si="7"/>
        <v>-0.75580660899059104</v>
      </c>
      <c r="H128">
        <f t="shared" ca="1" si="7"/>
        <v>0.20497588297746608</v>
      </c>
      <c r="I128">
        <f t="shared" ca="1" si="8"/>
        <v>-0.75580660899059104</v>
      </c>
      <c r="J128">
        <f t="shared" ca="1" si="9"/>
        <v>-0.43127615396188002</v>
      </c>
      <c r="K128">
        <f t="shared" ca="1" si="10"/>
        <v>14.734182074878229</v>
      </c>
      <c r="L128">
        <f t="shared" ca="1" si="11"/>
        <v>17.754930199345885</v>
      </c>
      <c r="M128">
        <f t="shared" ca="1" si="12"/>
        <v>0</v>
      </c>
      <c r="N128">
        <f t="shared" ca="1" si="13"/>
        <v>0</v>
      </c>
    </row>
    <row r="129" spans="6:14" x14ac:dyDescent="0.75">
      <c r="F129">
        <v>124</v>
      </c>
      <c r="G129">
        <f t="shared" ca="1" si="7"/>
        <v>-0.1500406333644492</v>
      </c>
      <c r="H129">
        <f t="shared" ca="1" si="7"/>
        <v>-0.95778020709214529</v>
      </c>
      <c r="I129">
        <f t="shared" ca="1" si="8"/>
        <v>-0.1500406333644492</v>
      </c>
      <c r="J129">
        <f t="shared" ca="1" si="9"/>
        <v>-0.74604253467977655</v>
      </c>
      <c r="K129">
        <f t="shared" ca="1" si="10"/>
        <v>17.143371536202842</v>
      </c>
      <c r="L129">
        <f t="shared" ca="1" si="11"/>
        <v>16.411324911255885</v>
      </c>
      <c r="M129">
        <f t="shared" ca="1" si="12"/>
        <v>0</v>
      </c>
      <c r="N129">
        <f t="shared" ca="1" si="13"/>
        <v>0</v>
      </c>
    </row>
    <row r="130" spans="6:14" x14ac:dyDescent="0.75">
      <c r="F130">
        <v>125</v>
      </c>
      <c r="G130">
        <f t="shared" ca="1" si="7"/>
        <v>1.1113549006191394</v>
      </c>
      <c r="H130">
        <f t="shared" ca="1" si="7"/>
        <v>1.5533904908344043</v>
      </c>
      <c r="I130">
        <f t="shared" ca="1" si="8"/>
        <v>1.1113549006191394</v>
      </c>
      <c r="J130">
        <f t="shared" ca="1" si="9"/>
        <v>1.8609874073944528</v>
      </c>
      <c r="K130">
        <f t="shared" ca="1" si="10"/>
        <v>23.499061473411263</v>
      </c>
      <c r="L130">
        <f t="shared" ca="1" si="11"/>
        <v>31.491860808199043</v>
      </c>
      <c r="M130">
        <f t="shared" ca="1" si="12"/>
        <v>0</v>
      </c>
      <c r="N130">
        <f t="shared" ca="1" si="13"/>
        <v>0</v>
      </c>
    </row>
    <row r="131" spans="6:14" x14ac:dyDescent="0.75">
      <c r="F131">
        <v>126</v>
      </c>
      <c r="G131">
        <f t="shared" ca="1" si="7"/>
        <v>-1.6164607137643623</v>
      </c>
      <c r="H131">
        <f t="shared" ca="1" si="7"/>
        <v>1.27364206136461</v>
      </c>
      <c r="I131">
        <f t="shared" ca="1" si="8"/>
        <v>-1.6164607137643623</v>
      </c>
      <c r="J131">
        <f t="shared" ca="1" si="9"/>
        <v>-0.36991049690266553</v>
      </c>
      <c r="K131">
        <f t="shared" ca="1" si="10"/>
        <v>11.881785288514727</v>
      </c>
      <c r="L131">
        <f t="shared" ca="1" si="11"/>
        <v>18.029416055855577</v>
      </c>
      <c r="M131">
        <f t="shared" ca="1" si="12"/>
        <v>0</v>
      </c>
      <c r="N131">
        <f t="shared" ca="1" si="13"/>
        <v>0</v>
      </c>
    </row>
    <row r="132" spans="6:14" x14ac:dyDescent="0.75">
      <c r="F132">
        <v>127</v>
      </c>
      <c r="G132">
        <f t="shared" ca="1" si="7"/>
        <v>-1.5540255713509077</v>
      </c>
      <c r="H132">
        <f t="shared" ca="1" si="7"/>
        <v>0.32523460342577604</v>
      </c>
      <c r="I132">
        <f t="shared" ca="1" si="8"/>
        <v>-1.5540255713509077</v>
      </c>
      <c r="J132">
        <f t="shared" ca="1" si="9"/>
        <v>-0.95039670890885108</v>
      </c>
      <c r="K132">
        <f t="shared" ca="1" si="10"/>
        <v>12.068700492444679</v>
      </c>
      <c r="L132">
        <f t="shared" ca="1" si="11"/>
        <v>15.593951213301851</v>
      </c>
      <c r="M132">
        <f t="shared" ca="1" si="12"/>
        <v>0</v>
      </c>
      <c r="N132">
        <f t="shared" ca="1" si="13"/>
        <v>0</v>
      </c>
    </row>
    <row r="133" spans="6:14" x14ac:dyDescent="0.75">
      <c r="F133">
        <v>128</v>
      </c>
      <c r="G133">
        <f t="shared" ca="1" si="7"/>
        <v>1.6665195541218198</v>
      </c>
      <c r="H133">
        <f t="shared" ca="1" si="7"/>
        <v>1.3166326900009664</v>
      </c>
      <c r="I133">
        <f t="shared" ca="1" si="8"/>
        <v>1.6665195541218198</v>
      </c>
      <c r="J133">
        <f t="shared" ca="1" si="9"/>
        <v>2.1207603320315038</v>
      </c>
      <c r="K133">
        <f t="shared" ca="1" si="10"/>
        <v>26.997699169441145</v>
      </c>
      <c r="L133">
        <f t="shared" ca="1" si="11"/>
        <v>33.604915689863368</v>
      </c>
      <c r="M133">
        <f t="shared" ca="1" si="12"/>
        <v>0</v>
      </c>
      <c r="N133">
        <f t="shared" ca="1" si="13"/>
        <v>0</v>
      </c>
    </row>
    <row r="134" spans="6:14" x14ac:dyDescent="0.75">
      <c r="F134">
        <v>129</v>
      </c>
      <c r="G134">
        <f t="shared" ca="1" si="7"/>
        <v>0.16817465550678945</v>
      </c>
      <c r="H134">
        <f t="shared" ca="1" si="7"/>
        <v>-1.3969269527807093</v>
      </c>
      <c r="I134">
        <f t="shared" ca="1" si="8"/>
        <v>0.16817465550678945</v>
      </c>
      <c r="J134">
        <f t="shared" ca="1" si="9"/>
        <v>-0.79784933756516419</v>
      </c>
      <c r="K134">
        <f t="shared" ca="1" si="10"/>
        <v>18.562908476203866</v>
      </c>
      <c r="L134">
        <f t="shared" ca="1" si="11"/>
        <v>16.200140890787313</v>
      </c>
      <c r="M134">
        <f t="shared" ca="1" si="12"/>
        <v>0</v>
      </c>
      <c r="N134">
        <f t="shared" ca="1" si="13"/>
        <v>0</v>
      </c>
    </row>
    <row r="135" spans="6:14" x14ac:dyDescent="0.75">
      <c r="F135">
        <v>130</v>
      </c>
      <c r="G135">
        <f t="shared" ref="G135:H198" ca="1" si="14">NORMSINV(RAND())</f>
        <v>2.9602396579187396</v>
      </c>
      <c r="H135">
        <f t="shared" ca="1" si="14"/>
        <v>-1.4201573602278101</v>
      </c>
      <c r="I135">
        <f t="shared" ref="I135:I198" ca="1" si="15">G135</f>
        <v>2.9602396579187396</v>
      </c>
      <c r="J135">
        <f t="shared" ref="J135:J198" ca="1" si="16">G135*$C$8+SQRT(1-$C$8^2)*H135</f>
        <v>1.2808339440038654</v>
      </c>
      <c r="K135">
        <f t="shared" ref="K135:K198" ca="1" si="17">C$3*EXP(($C$5-0.5*C$4^2)*$C$6+C$4*SQRT($C$6)*I135)</f>
        <v>37.30702595721651</v>
      </c>
      <c r="L135">
        <f t="shared" ref="L135:L198" ca="1" si="18">D$3*EXP(($C$5-0.5*D$4^2)*$C$6+D$4*SQRT($C$6)*J135)</f>
        <v>27.240116540423408</v>
      </c>
      <c r="M135">
        <f t="shared" ref="M135:M198" ca="1" si="19">MAX(SQRT(K135*L135)-$C$7,0)</f>
        <v>0</v>
      </c>
      <c r="N135">
        <f t="shared" ref="N135:N198" ca="1" si="20">MAX((K135+L135)*0.5-$C$7,0)</f>
        <v>0</v>
      </c>
    </row>
    <row r="136" spans="6:14" x14ac:dyDescent="0.75">
      <c r="F136">
        <v>131</v>
      </c>
      <c r="G136">
        <f t="shared" ca="1" si="14"/>
        <v>0.76579923906964509</v>
      </c>
      <c r="H136">
        <f t="shared" ca="1" si="14"/>
        <v>-1.1158646981335152</v>
      </c>
      <c r="I136">
        <f t="shared" ca="1" si="15"/>
        <v>0.76579923906964509</v>
      </c>
      <c r="J136">
        <f t="shared" ca="1" si="16"/>
        <v>-0.16372569271212667</v>
      </c>
      <c r="K136">
        <f t="shared" ca="1" si="17"/>
        <v>21.554218849411566</v>
      </c>
      <c r="L136">
        <f t="shared" ca="1" si="18"/>
        <v>18.983133044104111</v>
      </c>
      <c r="M136">
        <f t="shared" ca="1" si="19"/>
        <v>0</v>
      </c>
      <c r="N136">
        <f t="shared" ca="1" si="20"/>
        <v>0</v>
      </c>
    </row>
    <row r="137" spans="6:14" x14ac:dyDescent="0.75">
      <c r="F137">
        <v>132</v>
      </c>
      <c r="G137">
        <f t="shared" ca="1" si="14"/>
        <v>0.85310023516938627</v>
      </c>
      <c r="H137">
        <f t="shared" ca="1" si="14"/>
        <v>-1.2419421909021693</v>
      </c>
      <c r="I137">
        <f t="shared" ca="1" si="15"/>
        <v>0.85310023516938627</v>
      </c>
      <c r="J137">
        <f t="shared" ca="1" si="16"/>
        <v>-0.1816423685844214</v>
      </c>
      <c r="K137">
        <f t="shared" ca="1" si="17"/>
        <v>22.029816179676846</v>
      </c>
      <c r="L137">
        <f t="shared" ca="1" si="18"/>
        <v>18.898294528521852</v>
      </c>
      <c r="M137">
        <f t="shared" ca="1" si="19"/>
        <v>0</v>
      </c>
      <c r="N137">
        <f t="shared" ca="1" si="20"/>
        <v>0</v>
      </c>
    </row>
    <row r="138" spans="6:14" x14ac:dyDescent="0.75">
      <c r="F138">
        <v>133</v>
      </c>
      <c r="G138">
        <f t="shared" ca="1" si="14"/>
        <v>-0.3143981010805843</v>
      </c>
      <c r="H138">
        <f t="shared" ca="1" si="14"/>
        <v>-9.3262165646695788E-2</v>
      </c>
      <c r="I138">
        <f t="shared" ca="1" si="15"/>
        <v>-0.3143981010805843</v>
      </c>
      <c r="J138">
        <f t="shared" ca="1" si="16"/>
        <v>-0.29748570006855535</v>
      </c>
      <c r="K138">
        <f t="shared" ca="1" si="17"/>
        <v>16.453236945003578</v>
      </c>
      <c r="L138">
        <f t="shared" ca="1" si="18"/>
        <v>18.358833504063178</v>
      </c>
      <c r="M138">
        <f t="shared" ca="1" si="19"/>
        <v>0</v>
      </c>
      <c r="N138">
        <f t="shared" ca="1" si="20"/>
        <v>0</v>
      </c>
    </row>
    <row r="139" spans="6:14" x14ac:dyDescent="0.75">
      <c r="F139">
        <v>134</v>
      </c>
      <c r="G139">
        <f t="shared" ca="1" si="14"/>
        <v>-0.61434888970993051</v>
      </c>
      <c r="H139">
        <f t="shared" ca="1" si="14"/>
        <v>0.78897014974587509</v>
      </c>
      <c r="I139">
        <f t="shared" ca="1" si="15"/>
        <v>-0.61434888970993051</v>
      </c>
      <c r="J139">
        <f t="shared" ca="1" si="16"/>
        <v>6.1093034737795981E-2</v>
      </c>
      <c r="K139">
        <f t="shared" ca="1" si="17"/>
        <v>15.264571201209963</v>
      </c>
      <c r="L139">
        <f t="shared" ca="1" si="18"/>
        <v>20.08062725708832</v>
      </c>
      <c r="M139">
        <f t="shared" ca="1" si="19"/>
        <v>0</v>
      </c>
      <c r="N139">
        <f t="shared" ca="1" si="20"/>
        <v>0</v>
      </c>
    </row>
    <row r="140" spans="6:14" x14ac:dyDescent="0.75">
      <c r="F140">
        <v>135</v>
      </c>
      <c r="G140">
        <f t="shared" ca="1" si="14"/>
        <v>-0.58959492563848281</v>
      </c>
      <c r="H140">
        <f t="shared" ca="1" si="14"/>
        <v>-0.79671025706052989</v>
      </c>
      <c r="I140">
        <f t="shared" ca="1" si="15"/>
        <v>-0.58959492563848281</v>
      </c>
      <c r="J140">
        <f t="shared" ca="1" si="16"/>
        <v>-0.9691704960179881</v>
      </c>
      <c r="K140">
        <f t="shared" ca="1" si="17"/>
        <v>15.359328763728428</v>
      </c>
      <c r="L140">
        <f t="shared" ca="1" si="18"/>
        <v>15.520933320071642</v>
      </c>
      <c r="M140">
        <f t="shared" ca="1" si="19"/>
        <v>0</v>
      </c>
      <c r="N140">
        <f t="shared" ca="1" si="20"/>
        <v>0</v>
      </c>
    </row>
    <row r="141" spans="6:14" x14ac:dyDescent="0.75">
      <c r="F141">
        <v>136</v>
      </c>
      <c r="G141">
        <f t="shared" ca="1" si="14"/>
        <v>-0.40737133457330632</v>
      </c>
      <c r="H141">
        <f t="shared" ca="1" si="14"/>
        <v>-0.71256026725261734</v>
      </c>
      <c r="I141">
        <f t="shared" ca="1" si="15"/>
        <v>-0.40737133457330632</v>
      </c>
      <c r="J141">
        <f t="shared" ca="1" si="16"/>
        <v>-0.77684281625401663</v>
      </c>
      <c r="K141">
        <f t="shared" ca="1" si="17"/>
        <v>16.075219491624647</v>
      </c>
      <c r="L141">
        <f t="shared" ca="1" si="18"/>
        <v>16.285441830457465</v>
      </c>
      <c r="M141">
        <f t="shared" ca="1" si="19"/>
        <v>0</v>
      </c>
      <c r="N141">
        <f t="shared" ca="1" si="20"/>
        <v>0</v>
      </c>
    </row>
    <row r="142" spans="6:14" x14ac:dyDescent="0.75">
      <c r="F142">
        <v>137</v>
      </c>
      <c r="G142">
        <f t="shared" ca="1" si="14"/>
        <v>0.5255446178740425</v>
      </c>
      <c r="H142">
        <f t="shared" ca="1" si="14"/>
        <v>0.80822375621882114</v>
      </c>
      <c r="I142">
        <f t="shared" ca="1" si="15"/>
        <v>0.5255446178740425</v>
      </c>
      <c r="J142">
        <f t="shared" ca="1" si="16"/>
        <v>0.92874822906790544</v>
      </c>
      <c r="K142">
        <f t="shared" ca="1" si="17"/>
        <v>20.297706763773867</v>
      </c>
      <c r="L142">
        <f t="shared" ca="1" si="18"/>
        <v>24.944898461782884</v>
      </c>
      <c r="M142">
        <f t="shared" ca="1" si="19"/>
        <v>0</v>
      </c>
      <c r="N142">
        <f t="shared" ca="1" si="20"/>
        <v>0</v>
      </c>
    </row>
    <row r="143" spans="6:14" x14ac:dyDescent="0.75">
      <c r="F143">
        <v>138</v>
      </c>
      <c r="G143">
        <f t="shared" ca="1" si="14"/>
        <v>-0.69822298838705599</v>
      </c>
      <c r="H143">
        <f t="shared" ca="1" si="14"/>
        <v>0.52997983942244142</v>
      </c>
      <c r="I143">
        <f t="shared" ca="1" si="15"/>
        <v>-0.69822298838705599</v>
      </c>
      <c r="J143">
        <f t="shared" ca="1" si="16"/>
        <v>-0.17311852754286056</v>
      </c>
      <c r="K143">
        <f t="shared" ca="1" si="17"/>
        <v>14.947828086673862</v>
      </c>
      <c r="L143">
        <f t="shared" ca="1" si="18"/>
        <v>18.938608982144945</v>
      </c>
      <c r="M143">
        <f t="shared" ca="1" si="19"/>
        <v>0</v>
      </c>
      <c r="N143">
        <f t="shared" ca="1" si="20"/>
        <v>0</v>
      </c>
    </row>
    <row r="144" spans="6:14" x14ac:dyDescent="0.75">
      <c r="F144">
        <v>139</v>
      </c>
      <c r="G144">
        <f t="shared" ca="1" si="14"/>
        <v>0.36802642080541187</v>
      </c>
      <c r="H144">
        <f t="shared" ca="1" si="14"/>
        <v>-0.51173149506154392</v>
      </c>
      <c r="I144">
        <f t="shared" ca="1" si="15"/>
        <v>0.36802642080541187</v>
      </c>
      <c r="J144">
        <f t="shared" ca="1" si="16"/>
        <v>-6.2458752888971847E-2</v>
      </c>
      <c r="K144">
        <f t="shared" ca="1" si="17"/>
        <v>19.513925972059489</v>
      </c>
      <c r="L144">
        <f t="shared" ca="1" si="18"/>
        <v>19.469859153509994</v>
      </c>
      <c r="M144">
        <f t="shared" ca="1" si="19"/>
        <v>0</v>
      </c>
      <c r="N144">
        <f t="shared" ca="1" si="20"/>
        <v>0</v>
      </c>
    </row>
    <row r="145" spans="6:14" x14ac:dyDescent="0.75">
      <c r="F145">
        <v>140</v>
      </c>
      <c r="G145">
        <f t="shared" ca="1" si="14"/>
        <v>0.23638325551944181</v>
      </c>
      <c r="H145">
        <f t="shared" ca="1" si="14"/>
        <v>3.0310714563433763</v>
      </c>
      <c r="I145">
        <f t="shared" ca="1" si="15"/>
        <v>0.23638325551944181</v>
      </c>
      <c r="J145">
        <f t="shared" ca="1" si="16"/>
        <v>2.182152761527318</v>
      </c>
      <c r="K145">
        <f t="shared" ca="1" si="17"/>
        <v>18.882160204360975</v>
      </c>
      <c r="L145">
        <f t="shared" ca="1" si="18"/>
        <v>34.124665932582715</v>
      </c>
      <c r="M145">
        <f t="shared" ca="1" si="19"/>
        <v>0</v>
      </c>
      <c r="N145">
        <f t="shared" ca="1" si="20"/>
        <v>0</v>
      </c>
    </row>
    <row r="146" spans="6:14" x14ac:dyDescent="0.75">
      <c r="F146">
        <v>141</v>
      </c>
      <c r="G146">
        <f t="shared" ca="1" si="14"/>
        <v>0.86588872077055667</v>
      </c>
      <c r="H146">
        <f t="shared" ca="1" si="14"/>
        <v>1.301741928471444</v>
      </c>
      <c r="I146">
        <f t="shared" ca="1" si="15"/>
        <v>0.86588872077055667</v>
      </c>
      <c r="J146">
        <f t="shared" ca="1" si="16"/>
        <v>1.5104378940581853</v>
      </c>
      <c r="K146">
        <f t="shared" ca="1" si="17"/>
        <v>22.100360886335189</v>
      </c>
      <c r="L146">
        <f t="shared" ca="1" si="18"/>
        <v>28.8494736110035</v>
      </c>
      <c r="M146">
        <f t="shared" ca="1" si="19"/>
        <v>0</v>
      </c>
      <c r="N146">
        <f t="shared" ca="1" si="20"/>
        <v>0</v>
      </c>
    </row>
    <row r="147" spans="6:14" x14ac:dyDescent="0.75">
      <c r="F147">
        <v>142</v>
      </c>
      <c r="G147">
        <f t="shared" ca="1" si="14"/>
        <v>-0.59151615647488154</v>
      </c>
      <c r="H147">
        <f t="shared" ca="1" si="14"/>
        <v>-2.1874304894365237</v>
      </c>
      <c r="I147">
        <f t="shared" ca="1" si="15"/>
        <v>-0.59151615647488154</v>
      </c>
      <c r="J147">
        <f t="shared" ca="1" si="16"/>
        <v>-1.8904863886784966</v>
      </c>
      <c r="K147">
        <f t="shared" ca="1" si="17"/>
        <v>15.351953331096979</v>
      </c>
      <c r="L147">
        <f t="shared" ca="1" si="18"/>
        <v>12.327846867053937</v>
      </c>
      <c r="M147">
        <f t="shared" ca="1" si="19"/>
        <v>0</v>
      </c>
      <c r="N147">
        <f t="shared" ca="1" si="20"/>
        <v>0</v>
      </c>
    </row>
    <row r="148" spans="6:14" x14ac:dyDescent="0.75">
      <c r="F148">
        <v>143</v>
      </c>
      <c r="G148">
        <f t="shared" ca="1" si="14"/>
        <v>-5.0227826887845627E-2</v>
      </c>
      <c r="H148">
        <f t="shared" ca="1" si="14"/>
        <v>3.8402170210958986E-2</v>
      </c>
      <c r="I148">
        <f t="shared" ca="1" si="15"/>
        <v>-5.0227826887845627E-2</v>
      </c>
      <c r="J148">
        <f t="shared" ca="1" si="16"/>
        <v>-1.2270222120041641E-2</v>
      </c>
      <c r="K148">
        <f t="shared" ca="1" si="17"/>
        <v>17.576535480188085</v>
      </c>
      <c r="L148">
        <f t="shared" ca="1" si="18"/>
        <v>19.715689064981483</v>
      </c>
      <c r="M148">
        <f t="shared" ca="1" si="19"/>
        <v>0</v>
      </c>
      <c r="N148">
        <f t="shared" ca="1" si="20"/>
        <v>0</v>
      </c>
    </row>
    <row r="149" spans="6:14" x14ac:dyDescent="0.75">
      <c r="F149">
        <v>144</v>
      </c>
      <c r="G149">
        <f t="shared" ca="1" si="14"/>
        <v>-1.9910190792168234</v>
      </c>
      <c r="H149">
        <f t="shared" ca="1" si="14"/>
        <v>1.3043920907836821</v>
      </c>
      <c r="I149">
        <f t="shared" ca="1" si="15"/>
        <v>-1.9910190792168234</v>
      </c>
      <c r="J149">
        <f t="shared" ca="1" si="16"/>
        <v>-0.63049003832931527</v>
      </c>
      <c r="K149">
        <f t="shared" ca="1" si="17"/>
        <v>10.81968313740834</v>
      </c>
      <c r="L149">
        <f t="shared" ca="1" si="18"/>
        <v>16.892331540847756</v>
      </c>
      <c r="M149">
        <f t="shared" ca="1" si="19"/>
        <v>0</v>
      </c>
      <c r="N149">
        <f t="shared" ca="1" si="20"/>
        <v>0</v>
      </c>
    </row>
    <row r="150" spans="6:14" x14ac:dyDescent="0.75">
      <c r="F150">
        <v>145</v>
      </c>
      <c r="G150">
        <f t="shared" ca="1" si="14"/>
        <v>-0.11288439631945726</v>
      </c>
      <c r="H150">
        <f t="shared" ca="1" si="14"/>
        <v>2.6240003512208649</v>
      </c>
      <c r="I150">
        <f t="shared" ca="1" si="15"/>
        <v>-0.11288439631945726</v>
      </c>
      <c r="J150">
        <f t="shared" ca="1" si="16"/>
        <v>1.6509497951295447</v>
      </c>
      <c r="K150">
        <f t="shared" ca="1" si="17"/>
        <v>17.303359247608103</v>
      </c>
      <c r="L150">
        <f t="shared" ca="1" si="18"/>
        <v>29.880907232476869</v>
      </c>
      <c r="M150">
        <f t="shared" ca="1" si="19"/>
        <v>0</v>
      </c>
      <c r="N150">
        <f t="shared" ca="1" si="20"/>
        <v>0</v>
      </c>
    </row>
    <row r="151" spans="6:14" x14ac:dyDescent="0.75">
      <c r="F151">
        <v>146</v>
      </c>
      <c r="G151">
        <f t="shared" ca="1" si="14"/>
        <v>-0.11767441196352398</v>
      </c>
      <c r="H151">
        <f t="shared" ca="1" si="14"/>
        <v>-1.0560731231568057</v>
      </c>
      <c r="I151">
        <f t="shared" ca="1" si="15"/>
        <v>-0.11767441196352398</v>
      </c>
      <c r="J151">
        <f t="shared" ca="1" si="16"/>
        <v>-0.78678252151569184</v>
      </c>
      <c r="K151">
        <f t="shared" ca="1" si="17"/>
        <v>17.282650808928206</v>
      </c>
      <c r="L151">
        <f t="shared" ca="1" si="18"/>
        <v>16.245023946024951</v>
      </c>
      <c r="M151">
        <f t="shared" ca="1" si="19"/>
        <v>0</v>
      </c>
      <c r="N151">
        <f t="shared" ca="1" si="20"/>
        <v>0</v>
      </c>
    </row>
    <row r="152" spans="6:14" x14ac:dyDescent="0.75">
      <c r="F152">
        <v>147</v>
      </c>
      <c r="G152">
        <f t="shared" ca="1" si="14"/>
        <v>4.0318681595295808E-2</v>
      </c>
      <c r="H152">
        <f t="shared" ca="1" si="14"/>
        <v>1.1967124194997822</v>
      </c>
      <c r="I152">
        <f t="shared" ca="1" si="15"/>
        <v>4.0318681595295808E-2</v>
      </c>
      <c r="J152">
        <f t="shared" ca="1" si="16"/>
        <v>0.82178987441117868</v>
      </c>
      <c r="K152">
        <f t="shared" ca="1" si="17"/>
        <v>17.978946389413714</v>
      </c>
      <c r="L152">
        <f t="shared" ca="1" si="18"/>
        <v>24.286721050511769</v>
      </c>
      <c r="M152">
        <f t="shared" ca="1" si="19"/>
        <v>0</v>
      </c>
      <c r="N152">
        <f t="shared" ca="1" si="20"/>
        <v>0</v>
      </c>
    </row>
    <row r="153" spans="6:14" x14ac:dyDescent="0.75">
      <c r="F153">
        <v>148</v>
      </c>
      <c r="G153">
        <f t="shared" ca="1" si="14"/>
        <v>-0.82191728129090369</v>
      </c>
      <c r="H153">
        <f t="shared" ca="1" si="14"/>
        <v>1.4451004364741706</v>
      </c>
      <c r="I153">
        <f t="shared" ca="1" si="15"/>
        <v>-0.82191728129090369</v>
      </c>
      <c r="J153">
        <f t="shared" ca="1" si="16"/>
        <v>0.33940613263720953</v>
      </c>
      <c r="K153">
        <f t="shared" ca="1" si="17"/>
        <v>14.492661785632444</v>
      </c>
      <c r="L153">
        <f t="shared" ca="1" si="18"/>
        <v>21.527556383289649</v>
      </c>
      <c r="M153">
        <f t="shared" ca="1" si="19"/>
        <v>0</v>
      </c>
      <c r="N153">
        <f t="shared" ca="1" si="20"/>
        <v>0</v>
      </c>
    </row>
    <row r="154" spans="6:14" x14ac:dyDescent="0.75">
      <c r="F154">
        <v>149</v>
      </c>
      <c r="G154">
        <f t="shared" ca="1" si="14"/>
        <v>-0.66198351142975698</v>
      </c>
      <c r="H154">
        <f t="shared" ca="1" si="14"/>
        <v>-0.21034329983153555</v>
      </c>
      <c r="I154">
        <f t="shared" ca="1" si="15"/>
        <v>-0.66198351142975698</v>
      </c>
      <c r="J154">
        <f t="shared" ca="1" si="16"/>
        <v>-0.63561664889805214</v>
      </c>
      <c r="K154">
        <f t="shared" ca="1" si="17"/>
        <v>15.083868779463968</v>
      </c>
      <c r="L154">
        <f t="shared" ca="1" si="18"/>
        <v>16.870695307525281</v>
      </c>
      <c r="M154">
        <f t="shared" ca="1" si="19"/>
        <v>0</v>
      </c>
      <c r="N154">
        <f t="shared" ca="1" si="20"/>
        <v>0</v>
      </c>
    </row>
    <row r="155" spans="6:14" x14ac:dyDescent="0.75">
      <c r="F155">
        <v>150</v>
      </c>
      <c r="G155">
        <f t="shared" ca="1" si="14"/>
        <v>-1.5316878426312568</v>
      </c>
      <c r="H155">
        <f t="shared" ca="1" si="14"/>
        <v>0.11287143836258347</v>
      </c>
      <c r="I155">
        <f t="shared" ca="1" si="15"/>
        <v>-1.5316878426312568</v>
      </c>
      <c r="J155">
        <f t="shared" ca="1" si="16"/>
        <v>-1.0741084429660548</v>
      </c>
      <c r="K155">
        <f t="shared" ca="1" si="17"/>
        <v>12.136285869178399</v>
      </c>
      <c r="L155">
        <f t="shared" ca="1" si="18"/>
        <v>15.11904432616709</v>
      </c>
      <c r="M155">
        <f t="shared" ca="1" si="19"/>
        <v>0</v>
      </c>
      <c r="N155">
        <f t="shared" ca="1" si="20"/>
        <v>0</v>
      </c>
    </row>
    <row r="156" spans="6:14" x14ac:dyDescent="0.75">
      <c r="F156">
        <v>151</v>
      </c>
      <c r="G156">
        <f t="shared" ca="1" si="14"/>
        <v>-0.57572547754230063</v>
      </c>
      <c r="H156">
        <f t="shared" ca="1" si="14"/>
        <v>-0.28967758685569489</v>
      </c>
      <c r="I156">
        <f t="shared" ca="1" si="15"/>
        <v>-0.57572547754230063</v>
      </c>
      <c r="J156">
        <f t="shared" ca="1" si="16"/>
        <v>-0.62339782195909588</v>
      </c>
      <c r="K156">
        <f t="shared" ca="1" si="17"/>
        <v>15.412677553332912</v>
      </c>
      <c r="L156">
        <f t="shared" ca="1" si="18"/>
        <v>16.922309126506089</v>
      </c>
      <c r="M156">
        <f t="shared" ca="1" si="19"/>
        <v>0</v>
      </c>
      <c r="N156">
        <f t="shared" ca="1" si="20"/>
        <v>0</v>
      </c>
    </row>
    <row r="157" spans="6:14" x14ac:dyDescent="0.75">
      <c r="F157">
        <v>152</v>
      </c>
      <c r="G157">
        <f t="shared" ca="1" si="14"/>
        <v>-1.9254452814497478</v>
      </c>
      <c r="H157">
        <f t="shared" ca="1" si="14"/>
        <v>0.54596958501429516</v>
      </c>
      <c r="I157">
        <f t="shared" ca="1" si="15"/>
        <v>-1.9254452814497478</v>
      </c>
      <c r="J157">
        <f t="shared" ca="1" si="16"/>
        <v>-1.0829590247490704</v>
      </c>
      <c r="K157">
        <f t="shared" ca="1" si="17"/>
        <v>10.998516912077454</v>
      </c>
      <c r="L157">
        <f t="shared" ca="1" si="18"/>
        <v>15.08562822422075</v>
      </c>
      <c r="M157">
        <f t="shared" ca="1" si="19"/>
        <v>0</v>
      </c>
      <c r="N157">
        <f t="shared" ca="1" si="20"/>
        <v>0</v>
      </c>
    </row>
    <row r="158" spans="6:14" x14ac:dyDescent="0.75">
      <c r="F158">
        <v>153</v>
      </c>
      <c r="G158">
        <f t="shared" ca="1" si="14"/>
        <v>-1.5952824945420883</v>
      </c>
      <c r="H158">
        <f t="shared" ca="1" si="14"/>
        <v>-2.0510988585904264</v>
      </c>
      <c r="I158">
        <f t="shared" ca="1" si="15"/>
        <v>-1.5952824945420883</v>
      </c>
      <c r="J158">
        <f t="shared" ca="1" si="16"/>
        <v>-2.5531362444662427</v>
      </c>
      <c r="K158">
        <f t="shared" ca="1" si="17"/>
        <v>11.944860883162995</v>
      </c>
      <c r="L158">
        <f t="shared" ca="1" si="18"/>
        <v>10.445781497279318</v>
      </c>
      <c r="M158">
        <f t="shared" ca="1" si="19"/>
        <v>0</v>
      </c>
      <c r="N158">
        <f t="shared" ca="1" si="20"/>
        <v>0</v>
      </c>
    </row>
    <row r="159" spans="6:14" x14ac:dyDescent="0.75">
      <c r="F159">
        <v>154</v>
      </c>
      <c r="G159">
        <f t="shared" ca="1" si="14"/>
        <v>-0.72590101026630338</v>
      </c>
      <c r="H159">
        <f t="shared" ca="1" si="14"/>
        <v>0.2098990783622437</v>
      </c>
      <c r="I159">
        <f t="shared" ca="1" si="15"/>
        <v>-0.72590101026630338</v>
      </c>
      <c r="J159">
        <f t="shared" ca="1" si="16"/>
        <v>-0.40559056725768872</v>
      </c>
      <c r="K159">
        <f t="shared" ca="1" si="17"/>
        <v>14.844753532201381</v>
      </c>
      <c r="L159">
        <f t="shared" ca="1" si="18"/>
        <v>17.869308490274221</v>
      </c>
      <c r="M159">
        <f t="shared" ca="1" si="19"/>
        <v>0</v>
      </c>
      <c r="N159">
        <f t="shared" ca="1" si="20"/>
        <v>0</v>
      </c>
    </row>
    <row r="160" spans="6:14" x14ac:dyDescent="0.75">
      <c r="F160">
        <v>155</v>
      </c>
      <c r="G160">
        <f t="shared" ca="1" si="14"/>
        <v>0.97516690836152753</v>
      </c>
      <c r="H160">
        <f t="shared" ca="1" si="14"/>
        <v>-0.39456145869311177</v>
      </c>
      <c r="I160">
        <f t="shared" ca="1" si="15"/>
        <v>0.97516690836152753</v>
      </c>
      <c r="J160">
        <f t="shared" ca="1" si="16"/>
        <v>0.47039730711293121</v>
      </c>
      <c r="K160">
        <f t="shared" ca="1" si="17"/>
        <v>22.712455739382563</v>
      </c>
      <c r="L160">
        <f t="shared" ca="1" si="18"/>
        <v>22.244206670117709</v>
      </c>
      <c r="M160">
        <f t="shared" ca="1" si="19"/>
        <v>0</v>
      </c>
      <c r="N160">
        <f t="shared" ca="1" si="20"/>
        <v>0</v>
      </c>
    </row>
    <row r="161" spans="6:14" x14ac:dyDescent="0.75">
      <c r="F161">
        <v>156</v>
      </c>
      <c r="G161">
        <f t="shared" ca="1" si="14"/>
        <v>1.2220712280901804</v>
      </c>
      <c r="H161">
        <f t="shared" ca="1" si="14"/>
        <v>1.1379443828992417</v>
      </c>
      <c r="I161">
        <f t="shared" ca="1" si="15"/>
        <v>1.2220712280901804</v>
      </c>
      <c r="J161">
        <f t="shared" ca="1" si="16"/>
        <v>1.6692328818111992</v>
      </c>
      <c r="K161">
        <f t="shared" ca="1" si="17"/>
        <v>24.158579236923259</v>
      </c>
      <c r="L161">
        <f t="shared" ca="1" si="18"/>
        <v>30.017798648116248</v>
      </c>
      <c r="M161">
        <f t="shared" ca="1" si="19"/>
        <v>0</v>
      </c>
      <c r="N161">
        <f t="shared" ca="1" si="20"/>
        <v>0</v>
      </c>
    </row>
    <row r="162" spans="6:14" x14ac:dyDescent="0.75">
      <c r="F162">
        <v>157</v>
      </c>
      <c r="G162">
        <f t="shared" ca="1" si="14"/>
        <v>-1.6224050569734012</v>
      </c>
      <c r="H162">
        <f t="shared" ca="1" si="14"/>
        <v>-0.69904799591177624</v>
      </c>
      <c r="I162">
        <f t="shared" ca="1" si="15"/>
        <v>-1.6224050569734012</v>
      </c>
      <c r="J162">
        <f t="shared" ca="1" si="16"/>
        <v>-1.6791805806502151</v>
      </c>
      <c r="K162">
        <f t="shared" ca="1" si="17"/>
        <v>11.86414104976552</v>
      </c>
      <c r="L162">
        <f t="shared" ca="1" si="18"/>
        <v>12.996591469016195</v>
      </c>
      <c r="M162">
        <f t="shared" ca="1" si="19"/>
        <v>0</v>
      </c>
      <c r="N162">
        <f t="shared" ca="1" si="20"/>
        <v>0</v>
      </c>
    </row>
    <row r="163" spans="6:14" x14ac:dyDescent="0.75">
      <c r="F163">
        <v>158</v>
      </c>
      <c r="G163">
        <f t="shared" ca="1" si="14"/>
        <v>0.85054989024951932</v>
      </c>
      <c r="H163">
        <f t="shared" ca="1" si="14"/>
        <v>-0.28347242378247645</v>
      </c>
      <c r="I163">
        <f t="shared" ca="1" si="15"/>
        <v>0.85054989024951932</v>
      </c>
      <c r="J163">
        <f t="shared" ca="1" si="16"/>
        <v>0.45041303346885342</v>
      </c>
      <c r="K163">
        <f t="shared" ca="1" si="17"/>
        <v>22.01577474901908</v>
      </c>
      <c r="L163">
        <f t="shared" ca="1" si="18"/>
        <v>22.133350245573091</v>
      </c>
      <c r="M163">
        <f t="shared" ca="1" si="19"/>
        <v>0</v>
      </c>
      <c r="N163">
        <f t="shared" ca="1" si="20"/>
        <v>0</v>
      </c>
    </row>
    <row r="164" spans="6:14" x14ac:dyDescent="0.75">
      <c r="F164">
        <v>159</v>
      </c>
      <c r="G164">
        <f t="shared" ca="1" si="14"/>
        <v>1.7096855883882444E-2</v>
      </c>
      <c r="H164">
        <f t="shared" ca="1" si="14"/>
        <v>-0.62425411131504027</v>
      </c>
      <c r="I164">
        <f t="shared" ca="1" si="15"/>
        <v>1.7096855883882444E-2</v>
      </c>
      <c r="J164">
        <f t="shared" ca="1" si="16"/>
        <v>-0.40008264144939537</v>
      </c>
      <c r="K164">
        <f t="shared" ca="1" si="17"/>
        <v>17.874872789208929</v>
      </c>
      <c r="L164">
        <f t="shared" ca="1" si="18"/>
        <v>17.893931145205734</v>
      </c>
      <c r="M164">
        <f t="shared" ca="1" si="19"/>
        <v>0</v>
      </c>
      <c r="N164">
        <f t="shared" ca="1" si="20"/>
        <v>0</v>
      </c>
    </row>
    <row r="165" spans="6:14" x14ac:dyDescent="0.75">
      <c r="F165">
        <v>160</v>
      </c>
      <c r="G165">
        <f t="shared" ca="1" si="14"/>
        <v>-2.3639629725784337</v>
      </c>
      <c r="H165">
        <f t="shared" ca="1" si="14"/>
        <v>-0.54707098639805141</v>
      </c>
      <c r="I165">
        <f t="shared" ca="1" si="15"/>
        <v>-2.3639629725784337</v>
      </c>
      <c r="J165">
        <f t="shared" ca="1" si="16"/>
        <v>-2.1348256743108363</v>
      </c>
      <c r="K165">
        <f t="shared" ca="1" si="17"/>
        <v>9.8564988046792639</v>
      </c>
      <c r="L165">
        <f t="shared" ca="1" si="18"/>
        <v>11.597341084402689</v>
      </c>
      <c r="M165">
        <f t="shared" ca="1" si="19"/>
        <v>0</v>
      </c>
      <c r="N165">
        <f t="shared" ca="1" si="20"/>
        <v>0</v>
      </c>
    </row>
    <row r="166" spans="6:14" x14ac:dyDescent="0.75">
      <c r="F166">
        <v>161</v>
      </c>
      <c r="G166">
        <f t="shared" ca="1" si="14"/>
        <v>0.40983393960280023</v>
      </c>
      <c r="H166">
        <f t="shared" ca="1" si="14"/>
        <v>-0.22245070388967317</v>
      </c>
      <c r="I166">
        <f t="shared" ca="1" si="15"/>
        <v>0.40983393960280023</v>
      </c>
      <c r="J166">
        <f t="shared" ca="1" si="16"/>
        <v>0.16023814433626418</v>
      </c>
      <c r="K166">
        <f t="shared" ca="1" si="17"/>
        <v>19.718952770040783</v>
      </c>
      <c r="L166">
        <f t="shared" ca="1" si="18"/>
        <v>20.584570898129705</v>
      </c>
      <c r="M166">
        <f t="shared" ca="1" si="19"/>
        <v>0</v>
      </c>
      <c r="N166">
        <f t="shared" ca="1" si="20"/>
        <v>0</v>
      </c>
    </row>
    <row r="167" spans="6:14" x14ac:dyDescent="0.75">
      <c r="F167">
        <v>162</v>
      </c>
      <c r="G167">
        <f t="shared" ca="1" si="14"/>
        <v>-1.46170856328666</v>
      </c>
      <c r="H167">
        <f t="shared" ca="1" si="14"/>
        <v>-0.6318811206923256</v>
      </c>
      <c r="I167">
        <f t="shared" ca="1" si="15"/>
        <v>-1.46170856328666</v>
      </c>
      <c r="J167">
        <f t="shared" ca="1" si="16"/>
        <v>-1.5142314983421659</v>
      </c>
      <c r="K167">
        <f t="shared" ca="1" si="17"/>
        <v>12.350476151085047</v>
      </c>
      <c r="L167">
        <f t="shared" ca="1" si="18"/>
        <v>13.543739336548217</v>
      </c>
      <c r="M167">
        <f t="shared" ca="1" si="19"/>
        <v>0</v>
      </c>
      <c r="N167">
        <f t="shared" ca="1" si="20"/>
        <v>0</v>
      </c>
    </row>
    <row r="168" spans="6:14" x14ac:dyDescent="0.75">
      <c r="F168">
        <v>163</v>
      </c>
      <c r="G168">
        <f t="shared" ca="1" si="14"/>
        <v>0.3886785101108946</v>
      </c>
      <c r="H168">
        <f t="shared" ca="1" si="14"/>
        <v>0.58053967245134341</v>
      </c>
      <c r="I168">
        <f t="shared" ca="1" si="15"/>
        <v>0.3886785101108946</v>
      </c>
      <c r="J168">
        <f t="shared" ca="1" si="16"/>
        <v>0.67549978246145848</v>
      </c>
      <c r="K168">
        <f t="shared" ca="1" si="17"/>
        <v>19.614937345129</v>
      </c>
      <c r="L168">
        <f t="shared" ca="1" si="18"/>
        <v>23.414540521048409</v>
      </c>
      <c r="M168">
        <f t="shared" ca="1" si="19"/>
        <v>0</v>
      </c>
      <c r="N168">
        <f t="shared" ca="1" si="20"/>
        <v>0</v>
      </c>
    </row>
    <row r="169" spans="6:14" x14ac:dyDescent="0.75">
      <c r="F169">
        <v>164</v>
      </c>
      <c r="G169">
        <f t="shared" ca="1" si="14"/>
        <v>-1.5682893593457301</v>
      </c>
      <c r="H169">
        <f t="shared" ca="1" si="14"/>
        <v>0.67267405063712349</v>
      </c>
      <c r="I169">
        <f t="shared" ca="1" si="15"/>
        <v>-1.5682893593457301</v>
      </c>
      <c r="J169">
        <f t="shared" ca="1" si="16"/>
        <v>-0.73128495666122295</v>
      </c>
      <c r="K169">
        <f t="shared" ca="1" si="17"/>
        <v>12.025740787683379</v>
      </c>
      <c r="L169">
        <f t="shared" ca="1" si="18"/>
        <v>16.471984593139386</v>
      </c>
      <c r="M169">
        <f t="shared" ca="1" si="19"/>
        <v>0</v>
      </c>
      <c r="N169">
        <f t="shared" ca="1" si="20"/>
        <v>0</v>
      </c>
    </row>
    <row r="170" spans="6:14" x14ac:dyDescent="0.75">
      <c r="F170">
        <v>165</v>
      </c>
      <c r="G170">
        <f t="shared" ca="1" si="14"/>
        <v>-0.28021084690397485</v>
      </c>
      <c r="H170">
        <f t="shared" ca="1" si="14"/>
        <v>0.64875669398131453</v>
      </c>
      <c r="I170">
        <f t="shared" ca="1" si="15"/>
        <v>-0.28021084690397485</v>
      </c>
      <c r="J170">
        <f t="shared" ca="1" si="16"/>
        <v>0.21895408323776694</v>
      </c>
      <c r="K170">
        <f t="shared" ca="1" si="17"/>
        <v>16.594462347275432</v>
      </c>
      <c r="L170">
        <f t="shared" ca="1" si="18"/>
        <v>20.888960096510722</v>
      </c>
      <c r="M170">
        <f t="shared" ca="1" si="19"/>
        <v>0</v>
      </c>
      <c r="N170">
        <f t="shared" ca="1" si="20"/>
        <v>0</v>
      </c>
    </row>
    <row r="171" spans="6:14" x14ac:dyDescent="0.75">
      <c r="F171">
        <v>166</v>
      </c>
      <c r="G171">
        <f t="shared" ca="1" si="14"/>
        <v>0.82788120805442955</v>
      </c>
      <c r="H171">
        <f t="shared" ca="1" si="14"/>
        <v>0.5598188683348021</v>
      </c>
      <c r="I171">
        <f t="shared" ca="1" si="15"/>
        <v>0.82788120805442955</v>
      </c>
      <c r="J171">
        <f t="shared" ca="1" si="16"/>
        <v>0.99119628225469669</v>
      </c>
      <c r="K171">
        <f t="shared" ca="1" si="17"/>
        <v>21.891360470203828</v>
      </c>
      <c r="L171">
        <f t="shared" ca="1" si="18"/>
        <v>25.337394402123312</v>
      </c>
      <c r="M171">
        <f t="shared" ca="1" si="19"/>
        <v>0</v>
      </c>
      <c r="N171">
        <f t="shared" ca="1" si="20"/>
        <v>0</v>
      </c>
    </row>
    <row r="172" spans="6:14" x14ac:dyDescent="0.75">
      <c r="F172">
        <v>167</v>
      </c>
      <c r="G172">
        <f t="shared" ca="1" si="14"/>
        <v>1.3014070305889656</v>
      </c>
      <c r="H172">
        <f t="shared" ca="1" si="14"/>
        <v>2.2137246821885754</v>
      </c>
      <c r="I172">
        <f t="shared" ca="1" si="15"/>
        <v>1.3014070305889656</v>
      </c>
      <c r="J172">
        <f t="shared" ca="1" si="16"/>
        <v>2.4402965180008414</v>
      </c>
      <c r="K172">
        <f t="shared" ca="1" si="17"/>
        <v>24.642522695406701</v>
      </c>
      <c r="L172">
        <f t="shared" ca="1" si="18"/>
        <v>36.39954967696444</v>
      </c>
      <c r="M172">
        <f t="shared" ca="1" si="19"/>
        <v>0</v>
      </c>
      <c r="N172">
        <f t="shared" ca="1" si="20"/>
        <v>0</v>
      </c>
    </row>
    <row r="173" spans="6:14" x14ac:dyDescent="0.75">
      <c r="F173">
        <v>168</v>
      </c>
      <c r="G173">
        <f t="shared" ca="1" si="14"/>
        <v>0.76413076071913544</v>
      </c>
      <c r="H173">
        <f t="shared" ca="1" si="14"/>
        <v>1.11835123904958</v>
      </c>
      <c r="I173">
        <f t="shared" ca="1" si="15"/>
        <v>0.76413076071913544</v>
      </c>
      <c r="J173">
        <f t="shared" ca="1" si="16"/>
        <v>1.3128178847758856</v>
      </c>
      <c r="K173">
        <f t="shared" ca="1" si="17"/>
        <v>21.545230037368583</v>
      </c>
      <c r="L173">
        <f t="shared" ca="1" si="18"/>
        <v>27.458801243613852</v>
      </c>
      <c r="M173">
        <f t="shared" ca="1" si="19"/>
        <v>0</v>
      </c>
      <c r="N173">
        <f t="shared" ca="1" si="20"/>
        <v>0</v>
      </c>
    </row>
    <row r="174" spans="6:14" x14ac:dyDescent="0.75">
      <c r="F174">
        <v>169</v>
      </c>
      <c r="G174">
        <f t="shared" ca="1" si="14"/>
        <v>1.8612391212753698</v>
      </c>
      <c r="H174">
        <f t="shared" ca="1" si="14"/>
        <v>0.96177029974362471</v>
      </c>
      <c r="I174">
        <f t="shared" ca="1" si="15"/>
        <v>1.8612391212753698</v>
      </c>
      <c r="J174">
        <f t="shared" ca="1" si="16"/>
        <v>2.0320805988289474</v>
      </c>
      <c r="K174">
        <f t="shared" ca="1" si="17"/>
        <v>28.344458344661504</v>
      </c>
      <c r="L174">
        <f t="shared" ca="1" si="18"/>
        <v>32.868094764900682</v>
      </c>
      <c r="M174">
        <f t="shared" ca="1" si="19"/>
        <v>0</v>
      </c>
      <c r="N174">
        <f t="shared" ca="1" si="20"/>
        <v>0</v>
      </c>
    </row>
    <row r="175" spans="6:14" x14ac:dyDescent="0.75">
      <c r="F175">
        <v>170</v>
      </c>
      <c r="G175">
        <f t="shared" ca="1" si="14"/>
        <v>-0.16956218868884773</v>
      </c>
      <c r="H175">
        <f t="shared" ca="1" si="14"/>
        <v>-0.28342012665172711</v>
      </c>
      <c r="I175">
        <f t="shared" ca="1" si="15"/>
        <v>-0.16956218868884773</v>
      </c>
      <c r="J175">
        <f t="shared" ca="1" si="16"/>
        <v>-0.31463643443436062</v>
      </c>
      <c r="K175">
        <f t="shared" ca="1" si="17"/>
        <v>17.059909047589208</v>
      </c>
      <c r="L175">
        <f t="shared" ca="1" si="18"/>
        <v>18.28028515047059</v>
      </c>
      <c r="M175">
        <f t="shared" ca="1" si="19"/>
        <v>0</v>
      </c>
      <c r="N175">
        <f t="shared" ca="1" si="20"/>
        <v>0</v>
      </c>
    </row>
    <row r="176" spans="6:14" x14ac:dyDescent="0.75">
      <c r="F176">
        <v>171</v>
      </c>
      <c r="G176">
        <f t="shared" ca="1" si="14"/>
        <v>0.1801533645633964</v>
      </c>
      <c r="H176">
        <f t="shared" ca="1" si="14"/>
        <v>-0.42693144032393576</v>
      </c>
      <c r="I176">
        <f t="shared" ca="1" si="15"/>
        <v>0.1801533645633964</v>
      </c>
      <c r="J176">
        <f t="shared" ca="1" si="16"/>
        <v>-0.14727358107038949</v>
      </c>
      <c r="K176">
        <f t="shared" ca="1" si="17"/>
        <v>18.618581716260302</v>
      </c>
      <c r="L176">
        <f t="shared" ca="1" si="18"/>
        <v>19.061371989327377</v>
      </c>
      <c r="M176">
        <f t="shared" ca="1" si="19"/>
        <v>0</v>
      </c>
      <c r="N176">
        <f t="shared" ca="1" si="20"/>
        <v>0</v>
      </c>
    </row>
    <row r="177" spans="6:14" x14ac:dyDescent="0.75">
      <c r="F177">
        <v>172</v>
      </c>
      <c r="G177">
        <f t="shared" ca="1" si="14"/>
        <v>1.4245438795336371</v>
      </c>
      <c r="H177">
        <f t="shared" ca="1" si="14"/>
        <v>-0.94886238229373165</v>
      </c>
      <c r="I177">
        <f t="shared" ca="1" si="15"/>
        <v>1.4245438795336371</v>
      </c>
      <c r="J177">
        <f t="shared" ca="1" si="16"/>
        <v>0.44079443665685003</v>
      </c>
      <c r="K177">
        <f t="shared" ca="1" si="17"/>
        <v>25.41292055049788</v>
      </c>
      <c r="L177">
        <f t="shared" ca="1" si="18"/>
        <v>22.080191242537744</v>
      </c>
      <c r="M177">
        <f t="shared" ca="1" si="19"/>
        <v>0</v>
      </c>
      <c r="N177">
        <f t="shared" ca="1" si="20"/>
        <v>0</v>
      </c>
    </row>
    <row r="178" spans="6:14" x14ac:dyDescent="0.75">
      <c r="F178">
        <v>173</v>
      </c>
      <c r="G178">
        <f t="shared" ca="1" si="14"/>
        <v>-1.3345803109730663</v>
      </c>
      <c r="H178">
        <f t="shared" ca="1" si="14"/>
        <v>0.47049758107097539</v>
      </c>
      <c r="I178">
        <f t="shared" ca="1" si="15"/>
        <v>-1.3345803109730663</v>
      </c>
      <c r="J178">
        <f t="shared" ca="1" si="16"/>
        <v>-0.68973033523698668</v>
      </c>
      <c r="K178">
        <f t="shared" ca="1" si="17"/>
        <v>12.749303977991502</v>
      </c>
      <c r="L178">
        <f t="shared" ca="1" si="18"/>
        <v>16.643998312698763</v>
      </c>
      <c r="M178">
        <f t="shared" ca="1" si="19"/>
        <v>0</v>
      </c>
      <c r="N178">
        <f t="shared" ca="1" si="20"/>
        <v>0</v>
      </c>
    </row>
    <row r="179" spans="6:14" x14ac:dyDescent="0.75">
      <c r="F179">
        <v>174</v>
      </c>
      <c r="G179">
        <f t="shared" ca="1" si="14"/>
        <v>-2.3130762486852654</v>
      </c>
      <c r="H179">
        <f t="shared" ca="1" si="14"/>
        <v>-0.47461804635201388</v>
      </c>
      <c r="I179">
        <f t="shared" ca="1" si="15"/>
        <v>-2.3130762486852654</v>
      </c>
      <c r="J179">
        <f t="shared" ca="1" si="16"/>
        <v>-2.0487375161116379</v>
      </c>
      <c r="K179">
        <f t="shared" ca="1" si="17"/>
        <v>9.9826910246478171</v>
      </c>
      <c r="L179">
        <f t="shared" ca="1" si="18"/>
        <v>11.849644824620427</v>
      </c>
      <c r="M179">
        <f t="shared" ca="1" si="19"/>
        <v>0</v>
      </c>
      <c r="N179">
        <f t="shared" ca="1" si="20"/>
        <v>0</v>
      </c>
    </row>
    <row r="180" spans="6:14" x14ac:dyDescent="0.75">
      <c r="F180">
        <v>175</v>
      </c>
      <c r="G180">
        <f t="shared" ca="1" si="14"/>
        <v>1.6648678435565007</v>
      </c>
      <c r="H180">
        <f t="shared" ca="1" si="14"/>
        <v>0.50339051694623338</v>
      </c>
      <c r="I180">
        <f t="shared" ca="1" si="15"/>
        <v>1.6648678435565007</v>
      </c>
      <c r="J180">
        <f t="shared" ca="1" si="16"/>
        <v>1.5816124127143705</v>
      </c>
      <c r="K180">
        <f t="shared" ca="1" si="17"/>
        <v>26.986553374563542</v>
      </c>
      <c r="L180">
        <f t="shared" ca="1" si="18"/>
        <v>29.367404732474363</v>
      </c>
      <c r="M180">
        <f t="shared" ca="1" si="19"/>
        <v>0</v>
      </c>
      <c r="N180">
        <f t="shared" ca="1" si="20"/>
        <v>0</v>
      </c>
    </row>
    <row r="181" spans="6:14" x14ac:dyDescent="0.75">
      <c r="F181">
        <v>176</v>
      </c>
      <c r="G181">
        <f t="shared" ca="1" si="14"/>
        <v>-0.5269346150823675</v>
      </c>
      <c r="H181">
        <f t="shared" ca="1" si="14"/>
        <v>1.1069134964760723</v>
      </c>
      <c r="I181">
        <f t="shared" ca="1" si="15"/>
        <v>-0.5269346150823675</v>
      </c>
      <c r="J181">
        <f t="shared" ca="1" si="16"/>
        <v>0.336953497322389</v>
      </c>
      <c r="K181">
        <f t="shared" ca="1" si="17"/>
        <v>15.601828269098487</v>
      </c>
      <c r="L181">
        <f t="shared" ca="1" si="18"/>
        <v>21.514360617996211</v>
      </c>
      <c r="M181">
        <f t="shared" ca="1" si="19"/>
        <v>0</v>
      </c>
      <c r="N181">
        <f t="shared" ca="1" si="20"/>
        <v>0</v>
      </c>
    </row>
    <row r="182" spans="6:14" x14ac:dyDescent="0.75">
      <c r="F182">
        <v>177</v>
      </c>
      <c r="G182">
        <f t="shared" ca="1" si="14"/>
        <v>-0.59358177766654852</v>
      </c>
      <c r="H182">
        <f t="shared" ca="1" si="14"/>
        <v>-0.86672320213584664</v>
      </c>
      <c r="I182">
        <f t="shared" ca="1" si="15"/>
        <v>-0.59358177766654852</v>
      </c>
      <c r="J182">
        <f t="shared" ca="1" si="16"/>
        <v>-1.0184698453451655</v>
      </c>
      <c r="K182">
        <f t="shared" ca="1" si="17"/>
        <v>15.344027547697831</v>
      </c>
      <c r="L182">
        <f t="shared" ca="1" si="18"/>
        <v>15.3308143410183</v>
      </c>
      <c r="M182">
        <f t="shared" ca="1" si="19"/>
        <v>0</v>
      </c>
      <c r="N182">
        <f t="shared" ca="1" si="20"/>
        <v>0</v>
      </c>
    </row>
    <row r="183" spans="6:14" x14ac:dyDescent="0.75">
      <c r="F183">
        <v>178</v>
      </c>
      <c r="G183">
        <f t="shared" ca="1" si="14"/>
        <v>1.6940719596966114</v>
      </c>
      <c r="H183">
        <f t="shared" ca="1" si="14"/>
        <v>-9.9590166900047072E-2</v>
      </c>
      <c r="I183">
        <f t="shared" ca="1" si="15"/>
        <v>1.6940719596966114</v>
      </c>
      <c r="J183">
        <f t="shared" ca="1" si="16"/>
        <v>1.2046812661112234</v>
      </c>
      <c r="K183">
        <f t="shared" ca="1" si="17"/>
        <v>27.184303997401695</v>
      </c>
      <c r="L183">
        <f t="shared" ca="1" si="18"/>
        <v>26.72642002171143</v>
      </c>
      <c r="M183">
        <f t="shared" ca="1" si="19"/>
        <v>0</v>
      </c>
      <c r="N183">
        <f t="shared" ca="1" si="20"/>
        <v>0</v>
      </c>
    </row>
    <row r="184" spans="6:14" x14ac:dyDescent="0.75">
      <c r="F184">
        <v>179</v>
      </c>
      <c r="G184">
        <f t="shared" ca="1" si="14"/>
        <v>0.33730506344535377</v>
      </c>
      <c r="H184">
        <f t="shared" ca="1" si="14"/>
        <v>0.81902360919705397</v>
      </c>
      <c r="I184">
        <f t="shared" ca="1" si="15"/>
        <v>0.33730506344535377</v>
      </c>
      <c r="J184">
        <f t="shared" ca="1" si="16"/>
        <v>0.7947119945405049</v>
      </c>
      <c r="K184">
        <f t="shared" ca="1" si="17"/>
        <v>19.364626468066181</v>
      </c>
      <c r="L184">
        <f t="shared" ca="1" si="18"/>
        <v>24.122868046465253</v>
      </c>
      <c r="M184">
        <f t="shared" ca="1" si="19"/>
        <v>0</v>
      </c>
      <c r="N184">
        <f t="shared" ca="1" si="20"/>
        <v>0</v>
      </c>
    </row>
    <row r="185" spans="6:14" x14ac:dyDescent="0.75">
      <c r="F185">
        <v>180</v>
      </c>
      <c r="G185">
        <f t="shared" ca="1" si="14"/>
        <v>0.3605748110135597</v>
      </c>
      <c r="H185">
        <f t="shared" ca="1" si="14"/>
        <v>-0.37985758296538913</v>
      </c>
      <c r="I185">
        <f t="shared" ca="1" si="15"/>
        <v>0.3605748110135597</v>
      </c>
      <c r="J185">
        <f t="shared" ca="1" si="16"/>
        <v>1.9178933723043579E-2</v>
      </c>
      <c r="K185">
        <f t="shared" ca="1" si="17"/>
        <v>19.477607271198522</v>
      </c>
      <c r="L185">
        <f t="shared" ca="1" si="18"/>
        <v>19.871310478078609</v>
      </c>
      <c r="M185">
        <f t="shared" ca="1" si="19"/>
        <v>0</v>
      </c>
      <c r="N185">
        <f t="shared" ca="1" si="20"/>
        <v>0</v>
      </c>
    </row>
    <row r="186" spans="6:14" x14ac:dyDescent="0.75">
      <c r="F186">
        <v>181</v>
      </c>
      <c r="G186">
        <f t="shared" ca="1" si="14"/>
        <v>9.0506396875411399E-2</v>
      </c>
      <c r="H186">
        <f t="shared" ca="1" si="14"/>
        <v>0.54854360694095139</v>
      </c>
      <c r="I186">
        <f t="shared" ca="1" si="15"/>
        <v>9.0506396875411399E-2</v>
      </c>
      <c r="J186">
        <f t="shared" ca="1" si="16"/>
        <v>0.43070728946658898</v>
      </c>
      <c r="K186">
        <f t="shared" ca="1" si="17"/>
        <v>18.205948058937235</v>
      </c>
      <c r="L186">
        <f t="shared" ca="1" si="18"/>
        <v>22.02457985727446</v>
      </c>
      <c r="M186">
        <f t="shared" ca="1" si="19"/>
        <v>0</v>
      </c>
      <c r="N186">
        <f t="shared" ca="1" si="20"/>
        <v>0</v>
      </c>
    </row>
    <row r="187" spans="6:14" x14ac:dyDescent="0.75">
      <c r="F187">
        <v>182</v>
      </c>
      <c r="G187">
        <f t="shared" ca="1" si="14"/>
        <v>-1.0631670772314878</v>
      </c>
      <c r="H187">
        <f t="shared" ca="1" si="14"/>
        <v>0.44629464464697166</v>
      </c>
      <c r="I187">
        <f t="shared" ca="1" si="15"/>
        <v>-1.0631670772314878</v>
      </c>
      <c r="J187">
        <f t="shared" ca="1" si="16"/>
        <v>-0.50217914762465821</v>
      </c>
      <c r="K187">
        <f t="shared" ca="1" si="17"/>
        <v>13.64441101848189</v>
      </c>
      <c r="L187">
        <f t="shared" ca="1" si="18"/>
        <v>17.442983684031759</v>
      </c>
      <c r="M187">
        <f t="shared" ca="1" si="19"/>
        <v>0</v>
      </c>
      <c r="N187">
        <f t="shared" ca="1" si="20"/>
        <v>0</v>
      </c>
    </row>
    <row r="188" spans="6:14" x14ac:dyDescent="0.75">
      <c r="F188">
        <v>183</v>
      </c>
      <c r="G188">
        <f t="shared" ca="1" si="14"/>
        <v>-0.50763775701577141</v>
      </c>
      <c r="H188">
        <f t="shared" ca="1" si="14"/>
        <v>1.1209905858676381</v>
      </c>
      <c r="I188">
        <f t="shared" ca="1" si="15"/>
        <v>-0.50763775701577141</v>
      </c>
      <c r="J188">
        <f t="shared" ca="1" si="16"/>
        <v>0.36073726030076325</v>
      </c>
      <c r="K188">
        <f t="shared" ca="1" si="17"/>
        <v>15.677276678851197</v>
      </c>
      <c r="L188">
        <f t="shared" ca="1" si="18"/>
        <v>21.642664797906612</v>
      </c>
      <c r="M188">
        <f t="shared" ca="1" si="19"/>
        <v>0</v>
      </c>
      <c r="N188">
        <f t="shared" ca="1" si="20"/>
        <v>0</v>
      </c>
    </row>
    <row r="189" spans="6:14" x14ac:dyDescent="0.75">
      <c r="F189">
        <v>184</v>
      </c>
      <c r="G189">
        <f t="shared" ca="1" si="14"/>
        <v>2.6645312078375092</v>
      </c>
      <c r="H189">
        <f t="shared" ca="1" si="14"/>
        <v>-0.54468066037313667</v>
      </c>
      <c r="I189">
        <f t="shared" ca="1" si="15"/>
        <v>2.6645312078375092</v>
      </c>
      <c r="J189">
        <f t="shared" ca="1" si="16"/>
        <v>1.6381260130546935</v>
      </c>
      <c r="K189">
        <f t="shared" ca="1" si="17"/>
        <v>34.648504337991113</v>
      </c>
      <c r="L189">
        <f t="shared" ca="1" si="18"/>
        <v>29.785264067147526</v>
      </c>
      <c r="M189">
        <f t="shared" ca="1" si="19"/>
        <v>0</v>
      </c>
      <c r="N189">
        <f t="shared" ca="1" si="20"/>
        <v>0</v>
      </c>
    </row>
    <row r="190" spans="6:14" x14ac:dyDescent="0.75">
      <c r="F190">
        <v>185</v>
      </c>
      <c r="G190">
        <f t="shared" ca="1" si="14"/>
        <v>1.9559941705545907</v>
      </c>
      <c r="H190">
        <f t="shared" ca="1" si="14"/>
        <v>1.4047766437542382</v>
      </c>
      <c r="I190">
        <f t="shared" ca="1" si="15"/>
        <v>1.9559941705545907</v>
      </c>
      <c r="J190">
        <f t="shared" ca="1" si="16"/>
        <v>2.3961680396573657</v>
      </c>
      <c r="K190">
        <f t="shared" ca="1" si="17"/>
        <v>29.023919505010575</v>
      </c>
      <c r="L190">
        <f t="shared" ca="1" si="18"/>
        <v>36.000192420954249</v>
      </c>
      <c r="M190">
        <f t="shared" ca="1" si="19"/>
        <v>0</v>
      </c>
      <c r="N190">
        <f t="shared" ca="1" si="20"/>
        <v>0</v>
      </c>
    </row>
    <row r="191" spans="6:14" x14ac:dyDescent="0.75">
      <c r="F191">
        <v>186</v>
      </c>
      <c r="G191">
        <f t="shared" ca="1" si="14"/>
        <v>1.5111670840828573</v>
      </c>
      <c r="H191">
        <f t="shared" ca="1" si="14"/>
        <v>-1.5298667914628923</v>
      </c>
      <c r="I191">
        <f t="shared" ca="1" si="15"/>
        <v>1.5111670840828573</v>
      </c>
      <c r="J191">
        <f t="shared" ca="1" si="16"/>
        <v>0.12146354574536145</v>
      </c>
      <c r="K191">
        <f t="shared" ca="1" si="17"/>
        <v>25.969259949745069</v>
      </c>
      <c r="L191">
        <f t="shared" ca="1" si="18"/>
        <v>20.385995295810979</v>
      </c>
      <c r="M191">
        <f t="shared" ca="1" si="19"/>
        <v>0</v>
      </c>
      <c r="N191">
        <f t="shared" ca="1" si="20"/>
        <v>0</v>
      </c>
    </row>
    <row r="192" spans="6:14" x14ac:dyDescent="0.75">
      <c r="F192">
        <v>187</v>
      </c>
      <c r="G192">
        <f t="shared" ca="1" si="14"/>
        <v>1.2987114888863811</v>
      </c>
      <c r="H192">
        <f t="shared" ca="1" si="14"/>
        <v>0.43570981587077473</v>
      </c>
      <c r="I192">
        <f t="shared" ca="1" si="15"/>
        <v>1.2987114888863811</v>
      </c>
      <c r="J192">
        <f t="shared" ca="1" si="16"/>
        <v>1.2622285708107392</v>
      </c>
      <c r="K192">
        <f t="shared" ca="1" si="17"/>
        <v>24.62592205260496</v>
      </c>
      <c r="L192">
        <f t="shared" ca="1" si="18"/>
        <v>27.113707620454676</v>
      </c>
      <c r="M192">
        <f t="shared" ca="1" si="19"/>
        <v>0</v>
      </c>
      <c r="N192">
        <f t="shared" ca="1" si="20"/>
        <v>0</v>
      </c>
    </row>
    <row r="193" spans="6:14" x14ac:dyDescent="0.75">
      <c r="F193">
        <v>188</v>
      </c>
      <c r="G193">
        <f t="shared" ca="1" si="14"/>
        <v>-0.68064732136529038</v>
      </c>
      <c r="H193">
        <f t="shared" ca="1" si="14"/>
        <v>-1.1298735250912524</v>
      </c>
      <c r="I193">
        <f t="shared" ca="1" si="15"/>
        <v>-0.68064732136529038</v>
      </c>
      <c r="J193">
        <f t="shared" ca="1" si="16"/>
        <v>-1.2578265811108058</v>
      </c>
      <c r="K193">
        <f t="shared" ca="1" si="17"/>
        <v>15.013652105688777</v>
      </c>
      <c r="L193">
        <f t="shared" ca="1" si="18"/>
        <v>14.440339269065154</v>
      </c>
      <c r="M193">
        <f t="shared" ca="1" si="19"/>
        <v>0</v>
      </c>
      <c r="N193">
        <f t="shared" ca="1" si="20"/>
        <v>0</v>
      </c>
    </row>
    <row r="194" spans="6:14" x14ac:dyDescent="0.75">
      <c r="F194">
        <v>189</v>
      </c>
      <c r="G194">
        <f t="shared" ca="1" si="14"/>
        <v>-1.0719371919055509</v>
      </c>
      <c r="H194">
        <f t="shared" ca="1" si="14"/>
        <v>0.32876381287350487</v>
      </c>
      <c r="I194">
        <f t="shared" ca="1" si="15"/>
        <v>-1.0719371919055509</v>
      </c>
      <c r="J194">
        <f t="shared" ca="1" si="16"/>
        <v>-0.58649607169399576</v>
      </c>
      <c r="K194">
        <f t="shared" ca="1" si="17"/>
        <v>13.614528027786836</v>
      </c>
      <c r="L194">
        <f t="shared" ca="1" si="18"/>
        <v>17.079147170265003</v>
      </c>
      <c r="M194">
        <f t="shared" ca="1" si="19"/>
        <v>0</v>
      </c>
      <c r="N194">
        <f t="shared" ca="1" si="20"/>
        <v>0</v>
      </c>
    </row>
    <row r="195" spans="6:14" x14ac:dyDescent="0.75">
      <c r="F195">
        <v>190</v>
      </c>
      <c r="G195">
        <f t="shared" ca="1" si="14"/>
        <v>-1.9007830040162574</v>
      </c>
      <c r="H195">
        <f t="shared" ca="1" si="14"/>
        <v>-0.50348175289161101</v>
      </c>
      <c r="I195">
        <f t="shared" ca="1" si="15"/>
        <v>-1.9007830040162574</v>
      </c>
      <c r="J195">
        <f t="shared" ca="1" si="16"/>
        <v>-1.7586091299647126</v>
      </c>
      <c r="K195">
        <f t="shared" ca="1" si="17"/>
        <v>11.066538511399999</v>
      </c>
      <c r="L195">
        <f t="shared" ca="1" si="18"/>
        <v>12.741061807550849</v>
      </c>
      <c r="M195">
        <f t="shared" ca="1" si="19"/>
        <v>0</v>
      </c>
      <c r="N195">
        <f t="shared" ca="1" si="20"/>
        <v>0</v>
      </c>
    </row>
    <row r="196" spans="6:14" x14ac:dyDescent="0.75">
      <c r="F196">
        <v>191</v>
      </c>
      <c r="G196">
        <f t="shared" ca="1" si="14"/>
        <v>0.98198723637934326</v>
      </c>
      <c r="H196">
        <f t="shared" ca="1" si="14"/>
        <v>-9.523336843338201E-2</v>
      </c>
      <c r="I196">
        <f t="shared" ca="1" si="15"/>
        <v>0.98198723637934326</v>
      </c>
      <c r="J196">
        <f t="shared" ca="1" si="16"/>
        <v>0.67349947493707796</v>
      </c>
      <c r="K196">
        <f t="shared" ca="1" si="17"/>
        <v>22.751215373727746</v>
      </c>
      <c r="L196">
        <f t="shared" ca="1" si="18"/>
        <v>23.402834377882105</v>
      </c>
      <c r="M196">
        <f t="shared" ca="1" si="19"/>
        <v>0</v>
      </c>
      <c r="N196">
        <f t="shared" ca="1" si="20"/>
        <v>0</v>
      </c>
    </row>
    <row r="197" spans="6:14" x14ac:dyDescent="0.75">
      <c r="F197">
        <v>192</v>
      </c>
      <c r="G197">
        <f t="shared" ca="1" si="14"/>
        <v>0.21751212562231687</v>
      </c>
      <c r="H197">
        <f t="shared" ca="1" si="14"/>
        <v>1.0195206879687349</v>
      </c>
      <c r="I197">
        <f t="shared" ca="1" si="15"/>
        <v>0.21751212562231687</v>
      </c>
      <c r="J197">
        <f t="shared" ca="1" si="16"/>
        <v>0.83748364342942605</v>
      </c>
      <c r="K197">
        <f t="shared" ca="1" si="17"/>
        <v>18.793288084376325</v>
      </c>
      <c r="L197">
        <f t="shared" ca="1" si="18"/>
        <v>24.382195770407904</v>
      </c>
      <c r="M197">
        <f t="shared" ca="1" si="19"/>
        <v>0</v>
      </c>
      <c r="N197">
        <f t="shared" ca="1" si="20"/>
        <v>0</v>
      </c>
    </row>
    <row r="198" spans="6:14" x14ac:dyDescent="0.75">
      <c r="F198">
        <v>193</v>
      </c>
      <c r="G198">
        <f t="shared" ca="1" si="14"/>
        <v>0.71456605926968397</v>
      </c>
      <c r="H198">
        <f t="shared" ca="1" si="14"/>
        <v>-1.3007283399210352</v>
      </c>
      <c r="I198">
        <f t="shared" ca="1" si="15"/>
        <v>0.71456605926968397</v>
      </c>
      <c r="J198">
        <f t="shared" ca="1" si="16"/>
        <v>-0.32442638321897388</v>
      </c>
      <c r="K198">
        <f t="shared" ca="1" si="17"/>
        <v>21.279906543555441</v>
      </c>
      <c r="L198">
        <f t="shared" ca="1" si="18"/>
        <v>18.235599093205789</v>
      </c>
      <c r="M198">
        <f t="shared" ca="1" si="19"/>
        <v>0</v>
      </c>
      <c r="N198">
        <f t="shared" ca="1" si="20"/>
        <v>0</v>
      </c>
    </row>
    <row r="199" spans="6:14" x14ac:dyDescent="0.75">
      <c r="F199">
        <v>194</v>
      </c>
      <c r="G199">
        <f t="shared" ref="G199:H262" ca="1" si="21">NORMSINV(RAND())</f>
        <v>-0.33647295317463688</v>
      </c>
      <c r="H199">
        <f t="shared" ca="1" si="21"/>
        <v>1.1198870754650498</v>
      </c>
      <c r="I199">
        <f t="shared" ref="I199:I262" ca="1" si="22">G199</f>
        <v>-0.33647295317463688</v>
      </c>
      <c r="J199">
        <f t="shared" ref="J199:J262" ca="1" si="23">G199*$C$8+SQRT(1-$C$8^2)*H199</f>
        <v>0.48838095965800882</v>
      </c>
      <c r="K199">
        <f t="shared" ref="K199:K262" ca="1" si="24">C$3*EXP(($C$5-0.5*C$4^2)*$C$6+C$4*SQRT($C$6)*I199)</f>
        <v>16.362686343207717</v>
      </c>
      <c r="L199">
        <f t="shared" ref="L199:L262" ca="1" si="25">D$3*EXP(($C$5-0.5*D$4^2)*$C$6+D$4*SQRT($C$6)*J199)</f>
        <v>22.344439842072692</v>
      </c>
      <c r="M199">
        <f t="shared" ref="M199:M262" ca="1" si="26">MAX(SQRT(K199*L199)-$C$7,0)</f>
        <v>0</v>
      </c>
      <c r="N199">
        <f t="shared" ref="N199:N262" ca="1" si="27">MAX((K199+L199)*0.5-$C$7,0)</f>
        <v>0</v>
      </c>
    </row>
    <row r="200" spans="6:14" x14ac:dyDescent="0.75">
      <c r="F200">
        <v>195</v>
      </c>
      <c r="G200">
        <f t="shared" ca="1" si="21"/>
        <v>-1.4297108692290583</v>
      </c>
      <c r="H200">
        <f t="shared" ca="1" si="21"/>
        <v>-5.1391197249871859E-3</v>
      </c>
      <c r="I200">
        <f t="shared" ca="1" si="22"/>
        <v>-1.4297108692290583</v>
      </c>
      <c r="J200">
        <f t="shared" ca="1" si="23"/>
        <v>-1.0756823601093193</v>
      </c>
      <c r="K200">
        <f t="shared" ca="1" si="24"/>
        <v>12.449669054492054</v>
      </c>
      <c r="L200">
        <f t="shared" ca="1" si="25"/>
        <v>15.113096465660101</v>
      </c>
      <c r="M200">
        <f t="shared" ca="1" si="26"/>
        <v>0</v>
      </c>
      <c r="N200">
        <f t="shared" ca="1" si="27"/>
        <v>0</v>
      </c>
    </row>
    <row r="201" spans="6:14" x14ac:dyDescent="0.75">
      <c r="F201">
        <v>196</v>
      </c>
      <c r="G201">
        <f t="shared" ca="1" si="21"/>
        <v>-0.78966124114952274</v>
      </c>
      <c r="H201">
        <f t="shared" ca="1" si="21"/>
        <v>-1.060613801474251</v>
      </c>
      <c r="I201">
        <f t="shared" ca="1" si="22"/>
        <v>-0.78966124114952274</v>
      </c>
      <c r="J201">
        <f t="shared" ca="1" si="23"/>
        <v>-1.2937760198080668</v>
      </c>
      <c r="K201">
        <f t="shared" ca="1" si="24"/>
        <v>14.61000324117299</v>
      </c>
      <c r="L201">
        <f t="shared" ca="1" si="25"/>
        <v>14.311140195152968</v>
      </c>
      <c r="M201">
        <f t="shared" ca="1" si="26"/>
        <v>0</v>
      </c>
      <c r="N201">
        <f t="shared" ca="1" si="27"/>
        <v>0</v>
      </c>
    </row>
    <row r="202" spans="6:14" x14ac:dyDescent="0.75">
      <c r="F202">
        <v>197</v>
      </c>
      <c r="G202">
        <f t="shared" ca="1" si="21"/>
        <v>3.7490453842680825E-3</v>
      </c>
      <c r="H202">
        <f t="shared" ca="1" si="21"/>
        <v>-9.1907822119549031E-3</v>
      </c>
      <c r="I202">
        <f t="shared" ca="1" si="22"/>
        <v>3.7490453842680825E-3</v>
      </c>
      <c r="J202">
        <f t="shared" ca="1" si="23"/>
        <v>-3.267346983546139E-3</v>
      </c>
      <c r="K202">
        <f t="shared" ca="1" si="24"/>
        <v>17.815324595542748</v>
      </c>
      <c r="L202">
        <f t="shared" ca="1" si="25"/>
        <v>19.760113511416474</v>
      </c>
      <c r="M202">
        <f t="shared" ca="1" si="26"/>
        <v>0</v>
      </c>
      <c r="N202">
        <f t="shared" ca="1" si="27"/>
        <v>0</v>
      </c>
    </row>
    <row r="203" spans="6:14" x14ac:dyDescent="0.75">
      <c r="F203">
        <v>198</v>
      </c>
      <c r="G203">
        <f t="shared" ca="1" si="21"/>
        <v>-2.4487187921029174</v>
      </c>
      <c r="H203">
        <f t="shared" ca="1" si="21"/>
        <v>-1.273806150646813</v>
      </c>
      <c r="I203">
        <f t="shared" ca="1" si="22"/>
        <v>-2.4487187921029174</v>
      </c>
      <c r="J203">
        <f t="shared" ca="1" si="23"/>
        <v>-2.6790826673561741</v>
      </c>
      <c r="K203">
        <f t="shared" ca="1" si="24"/>
        <v>9.6498469958265485</v>
      </c>
      <c r="L203">
        <f t="shared" ca="1" si="25"/>
        <v>10.12200337996979</v>
      </c>
      <c r="M203">
        <f t="shared" ca="1" si="26"/>
        <v>0</v>
      </c>
      <c r="N203">
        <f t="shared" ca="1" si="27"/>
        <v>0</v>
      </c>
    </row>
    <row r="204" spans="6:14" x14ac:dyDescent="0.75">
      <c r="F204">
        <v>199</v>
      </c>
      <c r="G204">
        <f t="shared" ca="1" si="21"/>
        <v>-0.93886134898499862</v>
      </c>
      <c r="H204">
        <f t="shared" ca="1" si="21"/>
        <v>-0.27521929769909675</v>
      </c>
      <c r="I204">
        <f t="shared" ca="1" si="22"/>
        <v>-0.93886134898499862</v>
      </c>
      <c r="J204">
        <f t="shared" ca="1" si="23"/>
        <v>-0.88618646616816432</v>
      </c>
      <c r="K204">
        <f t="shared" ca="1" si="24"/>
        <v>14.07508792150967</v>
      </c>
      <c r="L204">
        <f t="shared" ca="1" si="25"/>
        <v>15.84629401684184</v>
      </c>
      <c r="M204">
        <f t="shared" ca="1" si="26"/>
        <v>0</v>
      </c>
      <c r="N204">
        <f t="shared" ca="1" si="27"/>
        <v>0</v>
      </c>
    </row>
    <row r="205" spans="6:14" x14ac:dyDescent="0.75">
      <c r="F205">
        <v>200</v>
      </c>
      <c r="G205">
        <f t="shared" ca="1" si="21"/>
        <v>-0.87331946587865772</v>
      </c>
      <c r="H205">
        <f t="shared" ca="1" si="21"/>
        <v>0.48758067416965079</v>
      </c>
      <c r="I205">
        <f t="shared" ca="1" si="22"/>
        <v>-0.87331946587865772</v>
      </c>
      <c r="J205">
        <f t="shared" ca="1" si="23"/>
        <v>-0.33248529742546562</v>
      </c>
      <c r="K205">
        <f t="shared" ca="1" si="24"/>
        <v>14.307614691173562</v>
      </c>
      <c r="L205">
        <f t="shared" ca="1" si="25"/>
        <v>18.198896296558047</v>
      </c>
      <c r="M205">
        <f t="shared" ca="1" si="26"/>
        <v>0</v>
      </c>
      <c r="N205">
        <f t="shared" ca="1" si="27"/>
        <v>0</v>
      </c>
    </row>
    <row r="206" spans="6:14" x14ac:dyDescent="0.75">
      <c r="F206">
        <v>201</v>
      </c>
      <c r="G206">
        <f t="shared" ca="1" si="21"/>
        <v>0.54158372436594893</v>
      </c>
      <c r="H206">
        <f t="shared" ca="1" si="21"/>
        <v>-1.678686064509517</v>
      </c>
      <c r="I206">
        <f t="shared" ca="1" si="22"/>
        <v>0.54158372436594893</v>
      </c>
      <c r="J206">
        <f t="shared" ca="1" si="23"/>
        <v>-0.70415867073601635</v>
      </c>
      <c r="K206">
        <f t="shared" ca="1" si="24"/>
        <v>20.379259428570656</v>
      </c>
      <c r="L206">
        <f t="shared" ca="1" si="25"/>
        <v>16.584070162682675</v>
      </c>
      <c r="M206">
        <f t="shared" ca="1" si="26"/>
        <v>0</v>
      </c>
      <c r="N206">
        <f t="shared" ca="1" si="27"/>
        <v>0</v>
      </c>
    </row>
    <row r="207" spans="6:14" x14ac:dyDescent="0.75">
      <c r="F207">
        <v>202</v>
      </c>
      <c r="G207">
        <f t="shared" ca="1" si="21"/>
        <v>1.5956072964494878</v>
      </c>
      <c r="H207">
        <f t="shared" ca="1" si="21"/>
        <v>-1.378488662373516</v>
      </c>
      <c r="I207">
        <f t="shared" ca="1" si="22"/>
        <v>1.5956072964494878</v>
      </c>
      <c r="J207">
        <f t="shared" ca="1" si="23"/>
        <v>0.28492092589651485</v>
      </c>
      <c r="K207">
        <f t="shared" ca="1" si="24"/>
        <v>26.523299735908857</v>
      </c>
      <c r="L207">
        <f t="shared" ca="1" si="25"/>
        <v>21.236311116191935</v>
      </c>
      <c r="M207">
        <f t="shared" ca="1" si="26"/>
        <v>0</v>
      </c>
      <c r="N207">
        <f t="shared" ca="1" si="27"/>
        <v>0</v>
      </c>
    </row>
    <row r="208" spans="6:14" x14ac:dyDescent="0.75">
      <c r="F208">
        <v>203</v>
      </c>
      <c r="G208">
        <f t="shared" ca="1" si="21"/>
        <v>0.65469349016355038</v>
      </c>
      <c r="H208">
        <f t="shared" ca="1" si="21"/>
        <v>1.4398515814973314</v>
      </c>
      <c r="I208">
        <f t="shared" ca="1" si="22"/>
        <v>0.65469349016355038</v>
      </c>
      <c r="J208">
        <f t="shared" ca="1" si="23"/>
        <v>1.4433924199939101</v>
      </c>
      <c r="K208">
        <f t="shared" ca="1" si="24"/>
        <v>20.963757856656326</v>
      </c>
      <c r="L208">
        <f t="shared" ca="1" si="25"/>
        <v>28.369946940538192</v>
      </c>
      <c r="M208">
        <f t="shared" ca="1" si="26"/>
        <v>0</v>
      </c>
      <c r="N208">
        <f t="shared" ca="1" si="27"/>
        <v>0</v>
      </c>
    </row>
    <row r="209" spans="6:14" x14ac:dyDescent="0.75">
      <c r="F209">
        <v>204</v>
      </c>
      <c r="G209">
        <f t="shared" ca="1" si="21"/>
        <v>1.2626296940020589</v>
      </c>
      <c r="H209">
        <f t="shared" ca="1" si="21"/>
        <v>0.5627242516344183</v>
      </c>
      <c r="I209">
        <f t="shared" ca="1" si="22"/>
        <v>1.2626296940020589</v>
      </c>
      <c r="J209">
        <f t="shared" ca="1" si="23"/>
        <v>1.3191793771339448</v>
      </c>
      <c r="K209">
        <f t="shared" ca="1" si="24"/>
        <v>24.404784066920246</v>
      </c>
      <c r="L209">
        <f t="shared" ca="1" si="25"/>
        <v>27.502505726186758</v>
      </c>
      <c r="M209">
        <f t="shared" ca="1" si="26"/>
        <v>0</v>
      </c>
      <c r="N209">
        <f t="shared" ca="1" si="27"/>
        <v>0</v>
      </c>
    </row>
    <row r="210" spans="6:14" x14ac:dyDescent="0.75">
      <c r="F210">
        <v>205</v>
      </c>
      <c r="G210">
        <f t="shared" ca="1" si="21"/>
        <v>0.11744616403794088</v>
      </c>
      <c r="H210">
        <f t="shared" ca="1" si="21"/>
        <v>0.19166924340649147</v>
      </c>
      <c r="I210">
        <f t="shared" ca="1" si="22"/>
        <v>0.11744616403794088</v>
      </c>
      <c r="J210">
        <f t="shared" ca="1" si="23"/>
        <v>0.21486191103682639</v>
      </c>
      <c r="K210">
        <f t="shared" ca="1" si="24"/>
        <v>18.328977893698578</v>
      </c>
      <c r="L210">
        <f t="shared" ca="1" si="25"/>
        <v>20.86760071870178</v>
      </c>
      <c r="M210">
        <f t="shared" ca="1" si="26"/>
        <v>0</v>
      </c>
      <c r="N210">
        <f t="shared" ca="1" si="27"/>
        <v>0</v>
      </c>
    </row>
    <row r="211" spans="6:14" x14ac:dyDescent="0.75">
      <c r="F211">
        <v>206</v>
      </c>
      <c r="G211">
        <f t="shared" ca="1" si="21"/>
        <v>0.81906197219293841</v>
      </c>
      <c r="H211">
        <f t="shared" ca="1" si="21"/>
        <v>-0.87400939011836487</v>
      </c>
      <c r="I211">
        <f t="shared" ca="1" si="22"/>
        <v>0.81906197219293841</v>
      </c>
      <c r="J211">
        <f t="shared" ca="1" si="23"/>
        <v>3.619360669759708E-2</v>
      </c>
      <c r="K211">
        <f t="shared" ca="1" si="24"/>
        <v>21.84314737224129</v>
      </c>
      <c r="L211">
        <f t="shared" ca="1" si="25"/>
        <v>19.956016468288681</v>
      </c>
      <c r="M211">
        <f t="shared" ca="1" si="26"/>
        <v>0</v>
      </c>
      <c r="N211">
        <f t="shared" ca="1" si="27"/>
        <v>0</v>
      </c>
    </row>
    <row r="212" spans="6:14" x14ac:dyDescent="0.75">
      <c r="F212">
        <v>207</v>
      </c>
      <c r="G212">
        <f t="shared" ca="1" si="21"/>
        <v>9.5690539399049632E-2</v>
      </c>
      <c r="H212">
        <f t="shared" ca="1" si="21"/>
        <v>-0.36546268207728916</v>
      </c>
      <c r="I212">
        <f t="shared" ca="1" si="22"/>
        <v>9.5690539399049632E-2</v>
      </c>
      <c r="J212">
        <f t="shared" ca="1" si="23"/>
        <v>-0.16996293801350515</v>
      </c>
      <c r="K212">
        <f t="shared" ca="1" si="24"/>
        <v>18.229558913265407</v>
      </c>
      <c r="L212">
        <f t="shared" ca="1" si="25"/>
        <v>18.953555496053774</v>
      </c>
      <c r="M212">
        <f t="shared" ca="1" si="26"/>
        <v>0</v>
      </c>
      <c r="N212">
        <f t="shared" ca="1" si="27"/>
        <v>0</v>
      </c>
    </row>
    <row r="213" spans="6:14" x14ac:dyDescent="0.75">
      <c r="F213">
        <v>208</v>
      </c>
      <c r="G213">
        <f t="shared" ca="1" si="21"/>
        <v>0.30188830752515461</v>
      </c>
      <c r="H213">
        <f t="shared" ca="1" si="21"/>
        <v>-0.1011286154776669</v>
      </c>
      <c r="I213">
        <f t="shared" ca="1" si="22"/>
        <v>0.30188830752515461</v>
      </c>
      <c r="J213">
        <f t="shared" ca="1" si="23"/>
        <v>0.15952593889731995</v>
      </c>
      <c r="K213">
        <f t="shared" ca="1" si="24"/>
        <v>19.193925231492869</v>
      </c>
      <c r="L213">
        <f t="shared" ca="1" si="25"/>
        <v>20.580906113561333</v>
      </c>
      <c r="M213">
        <f t="shared" ca="1" si="26"/>
        <v>0</v>
      </c>
      <c r="N213">
        <f t="shared" ca="1" si="27"/>
        <v>0</v>
      </c>
    </row>
    <row r="214" spans="6:14" x14ac:dyDescent="0.75">
      <c r="F214">
        <v>209</v>
      </c>
      <c r="G214">
        <f t="shared" ca="1" si="21"/>
        <v>1.117153214287705</v>
      </c>
      <c r="H214">
        <f t="shared" ca="1" si="21"/>
        <v>-0.2332415554868274</v>
      </c>
      <c r="I214">
        <f t="shared" ca="1" si="22"/>
        <v>1.117153214287705</v>
      </c>
      <c r="J214">
        <f t="shared" ca="1" si="23"/>
        <v>0.68359012290977428</v>
      </c>
      <c r="K214">
        <f t="shared" ca="1" si="24"/>
        <v>23.533149906705681</v>
      </c>
      <c r="L214">
        <f t="shared" ca="1" si="25"/>
        <v>23.461946347110615</v>
      </c>
      <c r="M214">
        <f t="shared" ca="1" si="26"/>
        <v>0</v>
      </c>
      <c r="N214">
        <f t="shared" ca="1" si="27"/>
        <v>0</v>
      </c>
    </row>
    <row r="215" spans="6:14" x14ac:dyDescent="0.75">
      <c r="F215">
        <v>210</v>
      </c>
      <c r="G215">
        <f t="shared" ca="1" si="21"/>
        <v>-0.46432828753146027</v>
      </c>
      <c r="H215">
        <f t="shared" ca="1" si="21"/>
        <v>0.16682247438748984</v>
      </c>
      <c r="I215">
        <f t="shared" ca="1" si="22"/>
        <v>-0.46432828753146027</v>
      </c>
      <c r="J215">
        <f t="shared" ca="1" si="23"/>
        <v>-0.23790352056716013</v>
      </c>
      <c r="K215">
        <f t="shared" ca="1" si="24"/>
        <v>15.84794257673104</v>
      </c>
      <c r="L215">
        <f t="shared" ca="1" si="25"/>
        <v>18.63434518656803</v>
      </c>
      <c r="M215">
        <f t="shared" ca="1" si="26"/>
        <v>0</v>
      </c>
      <c r="N215">
        <f t="shared" ca="1" si="27"/>
        <v>0</v>
      </c>
    </row>
    <row r="216" spans="6:14" x14ac:dyDescent="0.75">
      <c r="F216">
        <v>211</v>
      </c>
      <c r="G216">
        <f t="shared" ca="1" si="21"/>
        <v>1.9301157703252064E-2</v>
      </c>
      <c r="H216">
        <f t="shared" ca="1" si="21"/>
        <v>0.23896212022537783</v>
      </c>
      <c r="I216">
        <f t="shared" ca="1" si="22"/>
        <v>1.9301157703252064E-2</v>
      </c>
      <c r="J216">
        <f t="shared" ca="1" si="23"/>
        <v>0.17253445399770598</v>
      </c>
      <c r="K216">
        <f t="shared" ca="1" si="24"/>
        <v>17.884725907517968</v>
      </c>
      <c r="L216">
        <f t="shared" ca="1" si="25"/>
        <v>20.64794682397541</v>
      </c>
      <c r="M216">
        <f t="shared" ca="1" si="26"/>
        <v>0</v>
      </c>
      <c r="N216">
        <f t="shared" ca="1" si="27"/>
        <v>0</v>
      </c>
    </row>
    <row r="217" spans="6:14" x14ac:dyDescent="0.75">
      <c r="F217">
        <v>212</v>
      </c>
      <c r="G217">
        <f t="shared" ca="1" si="21"/>
        <v>-0.78428990510339402</v>
      </c>
      <c r="H217">
        <f t="shared" ca="1" si="21"/>
        <v>1.2489981951775475</v>
      </c>
      <c r="I217">
        <f t="shared" ca="1" si="22"/>
        <v>-0.78428990510339402</v>
      </c>
      <c r="J217">
        <f t="shared" ca="1" si="23"/>
        <v>0.23791722427453055</v>
      </c>
      <c r="K217">
        <f t="shared" ca="1" si="24"/>
        <v>14.629635228734099</v>
      </c>
      <c r="L217">
        <f t="shared" ca="1" si="25"/>
        <v>20.988225282164809</v>
      </c>
      <c r="M217">
        <f t="shared" ca="1" si="26"/>
        <v>0</v>
      </c>
      <c r="N217">
        <f t="shared" ca="1" si="27"/>
        <v>0</v>
      </c>
    </row>
    <row r="218" spans="6:14" x14ac:dyDescent="0.75">
      <c r="F218">
        <v>213</v>
      </c>
      <c r="G218">
        <f t="shared" ca="1" si="21"/>
        <v>-1.2402553487439849</v>
      </c>
      <c r="H218">
        <f t="shared" ca="1" si="21"/>
        <v>1.5349693070506552</v>
      </c>
      <c r="I218">
        <f t="shared" ca="1" si="22"/>
        <v>-1.2402553487439849</v>
      </c>
      <c r="J218">
        <f t="shared" ca="1" si="23"/>
        <v>8.5095252585305703E-2</v>
      </c>
      <c r="K218">
        <f t="shared" ca="1" si="24"/>
        <v>13.053521194550928</v>
      </c>
      <c r="L218">
        <f t="shared" ca="1" si="25"/>
        <v>20.201484396859573</v>
      </c>
      <c r="M218">
        <f t="shared" ca="1" si="26"/>
        <v>0</v>
      </c>
      <c r="N218">
        <f t="shared" ca="1" si="27"/>
        <v>0</v>
      </c>
    </row>
    <row r="219" spans="6:14" x14ac:dyDescent="0.75">
      <c r="F219">
        <v>214</v>
      </c>
      <c r="G219">
        <f t="shared" ca="1" si="21"/>
        <v>-0.93458608205575811</v>
      </c>
      <c r="H219">
        <f t="shared" ca="1" si="21"/>
        <v>0.12074692440455985</v>
      </c>
      <c r="I219">
        <f t="shared" ca="1" si="22"/>
        <v>-0.93458608205575811</v>
      </c>
      <c r="J219">
        <f t="shared" ca="1" si="23"/>
        <v>-0.62107297815422324</v>
      </c>
      <c r="K219">
        <f t="shared" ca="1" si="24"/>
        <v>14.090139653327439</v>
      </c>
      <c r="L219">
        <f t="shared" ca="1" si="25"/>
        <v>16.932147416674354</v>
      </c>
      <c r="M219">
        <f t="shared" ca="1" si="26"/>
        <v>0</v>
      </c>
      <c r="N219">
        <f t="shared" ca="1" si="27"/>
        <v>0</v>
      </c>
    </row>
    <row r="220" spans="6:14" x14ac:dyDescent="0.75">
      <c r="F220">
        <v>215</v>
      </c>
      <c r="G220">
        <f t="shared" ca="1" si="21"/>
        <v>0.35355958517199726</v>
      </c>
      <c r="H220">
        <f t="shared" ca="1" si="21"/>
        <v>-0.16828132479960248</v>
      </c>
      <c r="I220">
        <f t="shared" ca="1" si="22"/>
        <v>0.35355958517199726</v>
      </c>
      <c r="J220">
        <f t="shared" ca="1" si="23"/>
        <v>0.15386205494993932</v>
      </c>
      <c r="K220">
        <f t="shared" ca="1" si="24"/>
        <v>19.443477255202815</v>
      </c>
      <c r="L220">
        <f t="shared" ca="1" si="25"/>
        <v>20.551784769975981</v>
      </c>
      <c r="M220">
        <f t="shared" ca="1" si="26"/>
        <v>0</v>
      </c>
      <c r="N220">
        <f t="shared" ca="1" si="27"/>
        <v>0</v>
      </c>
    </row>
    <row r="221" spans="6:14" x14ac:dyDescent="0.75">
      <c r="F221">
        <v>216</v>
      </c>
      <c r="G221">
        <f t="shared" ca="1" si="21"/>
        <v>-0.5310617749370834</v>
      </c>
      <c r="H221">
        <f t="shared" ca="1" si="21"/>
        <v>-0.71014327631273222</v>
      </c>
      <c r="I221">
        <f t="shared" ca="1" si="22"/>
        <v>-0.5310617749370834</v>
      </c>
      <c r="J221">
        <f t="shared" ca="1" si="23"/>
        <v>-0.86801195728984126</v>
      </c>
      <c r="K221">
        <f t="shared" ca="1" si="24"/>
        <v>15.585738761199169</v>
      </c>
      <c r="L221">
        <f t="shared" ca="1" si="25"/>
        <v>15.918457487472473</v>
      </c>
      <c r="M221">
        <f t="shared" ca="1" si="26"/>
        <v>0</v>
      </c>
      <c r="N221">
        <f t="shared" ca="1" si="27"/>
        <v>0</v>
      </c>
    </row>
    <row r="222" spans="6:14" x14ac:dyDescent="0.75">
      <c r="F222">
        <v>217</v>
      </c>
      <c r="G222">
        <f t="shared" ca="1" si="21"/>
        <v>0.32981256111625518</v>
      </c>
      <c r="H222">
        <f t="shared" ca="1" si="21"/>
        <v>-0.595559563185174</v>
      </c>
      <c r="I222">
        <f t="shared" ca="1" si="22"/>
        <v>0.32981256111625518</v>
      </c>
      <c r="J222">
        <f t="shared" ca="1" si="23"/>
        <v>-0.14656620294136591</v>
      </c>
      <c r="K222">
        <f t="shared" ca="1" si="24"/>
        <v>19.328388040995566</v>
      </c>
      <c r="L222">
        <f t="shared" ca="1" si="25"/>
        <v>19.064743186821122</v>
      </c>
      <c r="M222">
        <f t="shared" ca="1" si="26"/>
        <v>0</v>
      </c>
      <c r="N222">
        <f t="shared" ca="1" si="27"/>
        <v>0</v>
      </c>
    </row>
    <row r="223" spans="6:14" x14ac:dyDescent="0.75">
      <c r="F223">
        <v>218</v>
      </c>
      <c r="G223">
        <f t="shared" ca="1" si="21"/>
        <v>-0.97748682688728838</v>
      </c>
      <c r="H223">
        <f t="shared" ca="1" si="21"/>
        <v>-1.0452398878766995</v>
      </c>
      <c r="I223">
        <f t="shared" ca="1" si="22"/>
        <v>-0.97748682688728838</v>
      </c>
      <c r="J223">
        <f t="shared" ca="1" si="23"/>
        <v>-1.424476321097162</v>
      </c>
      <c r="K223">
        <f t="shared" ca="1" si="24"/>
        <v>13.939827784100782</v>
      </c>
      <c r="L223">
        <f t="shared" ca="1" si="25"/>
        <v>13.851079797042281</v>
      </c>
      <c r="M223">
        <f t="shared" ca="1" si="26"/>
        <v>0</v>
      </c>
      <c r="N223">
        <f t="shared" ca="1" si="27"/>
        <v>0</v>
      </c>
    </row>
    <row r="224" spans="6:14" x14ac:dyDescent="0.75">
      <c r="F224">
        <v>219</v>
      </c>
      <c r="G224">
        <f t="shared" ca="1" si="21"/>
        <v>7.8799984519820288E-2</v>
      </c>
      <c r="H224">
        <f t="shared" ca="1" si="21"/>
        <v>0.42994298109576862</v>
      </c>
      <c r="I224">
        <f t="shared" ca="1" si="22"/>
        <v>7.8799984519820288E-2</v>
      </c>
      <c r="J224">
        <f t="shared" ca="1" si="23"/>
        <v>0.34348053986915228</v>
      </c>
      <c r="K224">
        <f t="shared" ca="1" si="24"/>
        <v>18.152744366131646</v>
      </c>
      <c r="L224">
        <f t="shared" ca="1" si="25"/>
        <v>21.549495562890264</v>
      </c>
      <c r="M224">
        <f t="shared" ca="1" si="26"/>
        <v>0</v>
      </c>
      <c r="N224">
        <f t="shared" ca="1" si="27"/>
        <v>0</v>
      </c>
    </row>
    <row r="225" spans="6:14" x14ac:dyDescent="0.75">
      <c r="F225">
        <v>220</v>
      </c>
      <c r="G225">
        <f t="shared" ca="1" si="21"/>
        <v>-1.1381782665697999</v>
      </c>
      <c r="H225">
        <f t="shared" ca="1" si="21"/>
        <v>1.2438960248834867</v>
      </c>
      <c r="I225">
        <f t="shared" ca="1" si="22"/>
        <v>-1.1381782665697999</v>
      </c>
      <c r="J225">
        <f t="shared" ca="1" si="23"/>
        <v>-3.0873815261470483E-2</v>
      </c>
      <c r="K225">
        <f t="shared" ca="1" si="24"/>
        <v>13.39092436436777</v>
      </c>
      <c r="L225">
        <f t="shared" ca="1" si="25"/>
        <v>19.624206303926922</v>
      </c>
      <c r="M225">
        <f t="shared" ca="1" si="26"/>
        <v>0</v>
      </c>
      <c r="N225">
        <f t="shared" ca="1" si="27"/>
        <v>0</v>
      </c>
    </row>
    <row r="226" spans="6:14" x14ac:dyDescent="0.75">
      <c r="F226">
        <v>221</v>
      </c>
      <c r="G226">
        <f t="shared" ca="1" si="21"/>
        <v>-0.57577411421678382</v>
      </c>
      <c r="H226">
        <f t="shared" ca="1" si="21"/>
        <v>1.0380290322710422</v>
      </c>
      <c r="I226">
        <f t="shared" ca="1" si="22"/>
        <v>-0.57577411421678382</v>
      </c>
      <c r="J226">
        <f t="shared" ca="1" si="23"/>
        <v>0.25476108260096669</v>
      </c>
      <c r="K226">
        <f t="shared" ca="1" si="24"/>
        <v>15.412490149126986</v>
      </c>
      <c r="L226">
        <f t="shared" ca="1" si="25"/>
        <v>21.076792300874146</v>
      </c>
      <c r="M226">
        <f t="shared" ca="1" si="26"/>
        <v>0</v>
      </c>
      <c r="N226">
        <f t="shared" ca="1" si="27"/>
        <v>0</v>
      </c>
    </row>
    <row r="227" spans="6:14" x14ac:dyDescent="0.75">
      <c r="F227">
        <v>222</v>
      </c>
      <c r="G227">
        <f t="shared" ca="1" si="21"/>
        <v>-0.50410445083961064</v>
      </c>
      <c r="H227">
        <f t="shared" ca="1" si="21"/>
        <v>1.6756198462520528</v>
      </c>
      <c r="I227">
        <f t="shared" ca="1" si="22"/>
        <v>-0.50410445083961064</v>
      </c>
      <c r="J227">
        <f t="shared" ca="1" si="23"/>
        <v>0.7302400131370963</v>
      </c>
      <c r="K227">
        <f t="shared" ca="1" si="24"/>
        <v>15.691130951502444</v>
      </c>
      <c r="L227">
        <f t="shared" ca="1" si="25"/>
        <v>23.737172441372991</v>
      </c>
      <c r="M227">
        <f t="shared" ca="1" si="26"/>
        <v>0</v>
      </c>
      <c r="N227">
        <f t="shared" ca="1" si="27"/>
        <v>0</v>
      </c>
    </row>
    <row r="228" spans="6:14" x14ac:dyDescent="0.75">
      <c r="F228">
        <v>223</v>
      </c>
      <c r="G228">
        <f t="shared" ca="1" si="21"/>
        <v>-0.21556028648181325</v>
      </c>
      <c r="H228">
        <f t="shared" ca="1" si="21"/>
        <v>-2.1437503927919792</v>
      </c>
      <c r="I228">
        <f t="shared" ca="1" si="22"/>
        <v>-0.21556028648181325</v>
      </c>
      <c r="J228">
        <f t="shared" ca="1" si="23"/>
        <v>-1.5796278179425125</v>
      </c>
      <c r="K228">
        <f t="shared" ca="1" si="24"/>
        <v>16.864851888208158</v>
      </c>
      <c r="L228">
        <f t="shared" ca="1" si="25"/>
        <v>13.32411190524078</v>
      </c>
      <c r="M228">
        <f t="shared" ca="1" si="26"/>
        <v>0</v>
      </c>
      <c r="N228">
        <f t="shared" ca="1" si="27"/>
        <v>0</v>
      </c>
    </row>
    <row r="229" spans="6:14" x14ac:dyDescent="0.75">
      <c r="F229">
        <v>224</v>
      </c>
      <c r="G229">
        <f t="shared" ca="1" si="21"/>
        <v>-1.1966216556956926</v>
      </c>
      <c r="H229">
        <f t="shared" ca="1" si="21"/>
        <v>-0.68635298384892518</v>
      </c>
      <c r="I229">
        <f t="shared" ca="1" si="22"/>
        <v>-1.1966216556956926</v>
      </c>
      <c r="J229">
        <f t="shared" ca="1" si="23"/>
        <v>-1.3514460684896163</v>
      </c>
      <c r="K229">
        <f t="shared" ca="1" si="24"/>
        <v>13.196694003884426</v>
      </c>
      <c r="L229">
        <f t="shared" ca="1" si="25"/>
        <v>14.106289424877973</v>
      </c>
      <c r="M229">
        <f t="shared" ca="1" si="26"/>
        <v>0</v>
      </c>
      <c r="N229">
        <f t="shared" ca="1" si="27"/>
        <v>0</v>
      </c>
    </row>
    <row r="230" spans="6:14" x14ac:dyDescent="0.75">
      <c r="F230">
        <v>225</v>
      </c>
      <c r="G230">
        <f t="shared" ca="1" si="21"/>
        <v>0.72993276106351612</v>
      </c>
      <c r="H230">
        <f t="shared" ca="1" si="21"/>
        <v>0.68572440319669847</v>
      </c>
      <c r="I230">
        <f t="shared" ca="1" si="22"/>
        <v>0.72993276106351612</v>
      </c>
      <c r="J230">
        <f t="shared" ca="1" si="23"/>
        <v>1.0010136304942994</v>
      </c>
      <c r="K230">
        <f t="shared" ca="1" si="24"/>
        <v>21.361814268781785</v>
      </c>
      <c r="L230">
        <f t="shared" ca="1" si="25"/>
        <v>25.399657284000217</v>
      </c>
      <c r="M230">
        <f t="shared" ca="1" si="26"/>
        <v>0</v>
      </c>
      <c r="N230">
        <f t="shared" ca="1" si="27"/>
        <v>0</v>
      </c>
    </row>
    <row r="231" spans="6:14" x14ac:dyDescent="0.75">
      <c r="F231">
        <v>226</v>
      </c>
      <c r="G231">
        <f t="shared" ca="1" si="21"/>
        <v>2.287678319589054</v>
      </c>
      <c r="H231">
        <f t="shared" ca="1" si="21"/>
        <v>-0.51472005671272558</v>
      </c>
      <c r="I231">
        <f t="shared" ca="1" si="22"/>
        <v>2.287678319589054</v>
      </c>
      <c r="J231">
        <f t="shared" ca="1" si="23"/>
        <v>1.3753034234720571</v>
      </c>
      <c r="K231">
        <f t="shared" ca="1" si="24"/>
        <v>31.533211942963828</v>
      </c>
      <c r="L231">
        <f t="shared" ca="1" si="25"/>
        <v>27.89111360808873</v>
      </c>
      <c r="M231">
        <f t="shared" ca="1" si="26"/>
        <v>0</v>
      </c>
      <c r="N231">
        <f t="shared" ca="1" si="27"/>
        <v>0</v>
      </c>
    </row>
    <row r="232" spans="6:14" x14ac:dyDescent="0.75">
      <c r="F232">
        <v>227</v>
      </c>
      <c r="G232">
        <f t="shared" ca="1" si="21"/>
        <v>-0.75019447380558568</v>
      </c>
      <c r="H232">
        <f t="shared" ca="1" si="21"/>
        <v>0.47669752091730444</v>
      </c>
      <c r="I232">
        <f t="shared" ca="1" si="22"/>
        <v>-0.75019447380558568</v>
      </c>
      <c r="J232">
        <f t="shared" ca="1" si="23"/>
        <v>-0.24734008261713974</v>
      </c>
      <c r="K232">
        <f t="shared" ca="1" si="24"/>
        <v>14.754869139221066</v>
      </c>
      <c r="L232">
        <f t="shared" ca="1" si="25"/>
        <v>18.590435962294404</v>
      </c>
      <c r="M232">
        <f t="shared" ca="1" si="26"/>
        <v>0</v>
      </c>
      <c r="N232">
        <f t="shared" ca="1" si="27"/>
        <v>0</v>
      </c>
    </row>
    <row r="233" spans="6:14" x14ac:dyDescent="0.75">
      <c r="F233">
        <v>228</v>
      </c>
      <c r="G233">
        <f t="shared" ca="1" si="21"/>
        <v>1.6071804440600672</v>
      </c>
      <c r="H233">
        <f t="shared" ca="1" si="21"/>
        <v>0.47192452909265942</v>
      </c>
      <c r="I233">
        <f t="shared" ca="1" si="22"/>
        <v>1.6071804440600672</v>
      </c>
      <c r="J233">
        <f t="shared" ca="1" si="23"/>
        <v>1.5175340684376613</v>
      </c>
      <c r="K233">
        <f t="shared" ca="1" si="24"/>
        <v>26.600150373510889</v>
      </c>
      <c r="L233">
        <f t="shared" ca="1" si="25"/>
        <v>28.900699259710521</v>
      </c>
      <c r="M233">
        <f t="shared" ca="1" si="26"/>
        <v>0</v>
      </c>
      <c r="N233">
        <f t="shared" ca="1" si="27"/>
        <v>0</v>
      </c>
    </row>
    <row r="234" spans="6:14" x14ac:dyDescent="0.75">
      <c r="F234">
        <v>229</v>
      </c>
      <c r="G234">
        <f t="shared" ca="1" si="21"/>
        <v>-1.4499757300910834</v>
      </c>
      <c r="H234">
        <f t="shared" ca="1" si="21"/>
        <v>0.56156140866255011</v>
      </c>
      <c r="I234">
        <f t="shared" ca="1" si="22"/>
        <v>-1.4499757300910834</v>
      </c>
      <c r="J234">
        <f t="shared" ca="1" si="23"/>
        <v>-0.7160438392652575</v>
      </c>
      <c r="K234">
        <f t="shared" ca="1" si="24"/>
        <v>12.386755852175195</v>
      </c>
      <c r="L234">
        <f t="shared" ca="1" si="25"/>
        <v>16.534867179903777</v>
      </c>
      <c r="M234">
        <f t="shared" ca="1" si="26"/>
        <v>0</v>
      </c>
      <c r="N234">
        <f t="shared" ca="1" si="27"/>
        <v>0</v>
      </c>
    </row>
    <row r="235" spans="6:14" x14ac:dyDescent="0.75">
      <c r="F235">
        <v>230</v>
      </c>
      <c r="G235">
        <f t="shared" ca="1" si="21"/>
        <v>-0.59038896540618035</v>
      </c>
      <c r="H235">
        <f t="shared" ca="1" si="21"/>
        <v>2.0018400452504275</v>
      </c>
      <c r="I235">
        <f t="shared" ca="1" si="22"/>
        <v>-0.59038896540618035</v>
      </c>
      <c r="J235">
        <f t="shared" ca="1" si="23"/>
        <v>0.88130100701109426</v>
      </c>
      <c r="K235">
        <f t="shared" ca="1" si="24"/>
        <v>15.356280086873888</v>
      </c>
      <c r="L235">
        <f t="shared" ca="1" si="25"/>
        <v>24.650754913324796</v>
      </c>
      <c r="M235">
        <f t="shared" ca="1" si="26"/>
        <v>0</v>
      </c>
      <c r="N235">
        <f t="shared" ca="1" si="27"/>
        <v>0</v>
      </c>
    </row>
    <row r="236" spans="6:14" x14ac:dyDescent="0.75">
      <c r="F236">
        <v>231</v>
      </c>
      <c r="G236">
        <f t="shared" ca="1" si="21"/>
        <v>-0.17263969536092194</v>
      </c>
      <c r="H236">
        <f t="shared" ca="1" si="21"/>
        <v>0.62133526616642865</v>
      </c>
      <c r="I236">
        <f t="shared" ca="1" si="22"/>
        <v>-0.17263969536092194</v>
      </c>
      <c r="J236">
        <f t="shared" ca="1" si="23"/>
        <v>0.28149487724693228</v>
      </c>
      <c r="K236">
        <f t="shared" ca="1" si="24"/>
        <v>17.046788599539987</v>
      </c>
      <c r="L236">
        <f t="shared" ca="1" si="25"/>
        <v>21.218129744830854</v>
      </c>
      <c r="M236">
        <f t="shared" ca="1" si="26"/>
        <v>0</v>
      </c>
      <c r="N236">
        <f t="shared" ca="1" si="27"/>
        <v>0</v>
      </c>
    </row>
    <row r="237" spans="6:14" x14ac:dyDescent="0.75">
      <c r="F237">
        <v>232</v>
      </c>
      <c r="G237">
        <f t="shared" ca="1" si="21"/>
        <v>2.6299908472939517</v>
      </c>
      <c r="H237">
        <f t="shared" ca="1" si="21"/>
        <v>-0.87426837628194642</v>
      </c>
      <c r="I237">
        <f t="shared" ca="1" si="22"/>
        <v>2.6299908472939517</v>
      </c>
      <c r="J237">
        <f t="shared" ca="1" si="23"/>
        <v>1.3942189597778962</v>
      </c>
      <c r="K237">
        <f t="shared" ca="1" si="24"/>
        <v>34.350599448842452</v>
      </c>
      <c r="L237">
        <f t="shared" ca="1" si="25"/>
        <v>28.023319798609393</v>
      </c>
      <c r="M237">
        <f t="shared" ca="1" si="26"/>
        <v>0</v>
      </c>
      <c r="N237">
        <f t="shared" ca="1" si="27"/>
        <v>0</v>
      </c>
    </row>
    <row r="238" spans="6:14" x14ac:dyDescent="0.75">
      <c r="F238">
        <v>233</v>
      </c>
      <c r="G238">
        <f t="shared" ca="1" si="21"/>
        <v>2.625143821219448</v>
      </c>
      <c r="H238">
        <f t="shared" ca="1" si="21"/>
        <v>-0.3575473671201595</v>
      </c>
      <c r="I238">
        <f t="shared" ca="1" si="22"/>
        <v>2.625143821219448</v>
      </c>
      <c r="J238">
        <f t="shared" ca="1" si="23"/>
        <v>1.7323625120831225</v>
      </c>
      <c r="K238">
        <f t="shared" ca="1" si="24"/>
        <v>34.309000095275749</v>
      </c>
      <c r="L238">
        <f t="shared" ca="1" si="25"/>
        <v>30.495310008450346</v>
      </c>
      <c r="M238">
        <f t="shared" ca="1" si="26"/>
        <v>0</v>
      </c>
      <c r="N238">
        <f t="shared" ca="1" si="27"/>
        <v>0</v>
      </c>
    </row>
    <row r="239" spans="6:14" x14ac:dyDescent="0.75">
      <c r="F239">
        <v>234</v>
      </c>
      <c r="G239">
        <f t="shared" ca="1" si="21"/>
        <v>-8.7099295560158843E-2</v>
      </c>
      <c r="H239">
        <f t="shared" ca="1" si="21"/>
        <v>-1.6403375397216522</v>
      </c>
      <c r="I239">
        <f t="shared" ca="1" si="22"/>
        <v>-8.7099295560158843E-2</v>
      </c>
      <c r="J239">
        <f t="shared" ca="1" si="23"/>
        <v>-1.1503057707468758</v>
      </c>
      <c r="K239">
        <f t="shared" ca="1" si="24"/>
        <v>17.415261752693905</v>
      </c>
      <c r="L239">
        <f t="shared" ca="1" si="25"/>
        <v>14.833762473261501</v>
      </c>
      <c r="M239">
        <f t="shared" ca="1" si="26"/>
        <v>0</v>
      </c>
      <c r="N239">
        <f t="shared" ca="1" si="27"/>
        <v>0</v>
      </c>
    </row>
    <row r="240" spans="6:14" x14ac:dyDescent="0.75">
      <c r="F240">
        <v>235</v>
      </c>
      <c r="G240">
        <f t="shared" ca="1" si="21"/>
        <v>-0.5803082936718541</v>
      </c>
      <c r="H240">
        <f t="shared" ca="1" si="21"/>
        <v>-1.5781715910277418</v>
      </c>
      <c r="I240">
        <f t="shared" ca="1" si="22"/>
        <v>-0.5803082936718541</v>
      </c>
      <c r="J240">
        <f t="shared" ca="1" si="23"/>
        <v>-1.4790936092655254</v>
      </c>
      <c r="K240">
        <f t="shared" ca="1" si="24"/>
        <v>15.395029298279127</v>
      </c>
      <c r="L240">
        <f t="shared" ca="1" si="25"/>
        <v>13.663238037237162</v>
      </c>
      <c r="M240">
        <f t="shared" ca="1" si="26"/>
        <v>0</v>
      </c>
      <c r="N240">
        <f t="shared" ca="1" si="27"/>
        <v>0</v>
      </c>
    </row>
    <row r="241" spans="6:14" x14ac:dyDescent="0.75">
      <c r="F241">
        <v>236</v>
      </c>
      <c r="G241">
        <f t="shared" ca="1" si="21"/>
        <v>-1.0976161683504349</v>
      </c>
      <c r="H241">
        <f t="shared" ca="1" si="21"/>
        <v>9.5901865372242628E-2</v>
      </c>
      <c r="I241">
        <f t="shared" ca="1" si="22"/>
        <v>-1.0976161683504349</v>
      </c>
      <c r="J241">
        <f t="shared" ca="1" si="23"/>
        <v>-0.75977900475228843</v>
      </c>
      <c r="K241">
        <f t="shared" ca="1" si="24"/>
        <v>13.527406190816636</v>
      </c>
      <c r="L241">
        <f t="shared" ca="1" si="25"/>
        <v>16.355063152919403</v>
      </c>
      <c r="M241">
        <f t="shared" ca="1" si="26"/>
        <v>0</v>
      </c>
      <c r="N241">
        <f t="shared" ca="1" si="27"/>
        <v>0</v>
      </c>
    </row>
    <row r="242" spans="6:14" x14ac:dyDescent="0.75">
      <c r="F242">
        <v>237</v>
      </c>
      <c r="G242">
        <f t="shared" ca="1" si="21"/>
        <v>-0.13283802225779134</v>
      </c>
      <c r="H242">
        <f t="shared" ca="1" si="21"/>
        <v>-0.63343498941675869</v>
      </c>
      <c r="I242">
        <f t="shared" ca="1" si="22"/>
        <v>-0.13283802225779134</v>
      </c>
      <c r="J242">
        <f t="shared" ca="1" si="23"/>
        <v>-0.5186063801242371</v>
      </c>
      <c r="K242">
        <f t="shared" ca="1" si="24"/>
        <v>17.21725799071303</v>
      </c>
      <c r="L242">
        <f t="shared" ca="1" si="25"/>
        <v>17.371495591331467</v>
      </c>
      <c r="M242">
        <f t="shared" ca="1" si="26"/>
        <v>0</v>
      </c>
      <c r="N242">
        <f t="shared" ca="1" si="27"/>
        <v>0</v>
      </c>
    </row>
    <row r="243" spans="6:14" x14ac:dyDescent="0.75">
      <c r="F243">
        <v>238</v>
      </c>
      <c r="G243">
        <f t="shared" ca="1" si="21"/>
        <v>0.81445069311776197</v>
      </c>
      <c r="H243">
        <f t="shared" ca="1" si="21"/>
        <v>-1.4535986547193285</v>
      </c>
      <c r="I243">
        <f t="shared" ca="1" si="22"/>
        <v>0.81445069311776197</v>
      </c>
      <c r="J243">
        <f t="shared" ca="1" si="23"/>
        <v>-0.35062711678302572</v>
      </c>
      <c r="K243">
        <f t="shared" ca="1" si="24"/>
        <v>21.817980669261438</v>
      </c>
      <c r="L243">
        <f t="shared" ca="1" si="25"/>
        <v>18.116542920457125</v>
      </c>
      <c r="M243">
        <f t="shared" ca="1" si="26"/>
        <v>0</v>
      </c>
      <c r="N243">
        <f t="shared" ca="1" si="27"/>
        <v>0</v>
      </c>
    </row>
    <row r="244" spans="6:14" x14ac:dyDescent="0.75">
      <c r="F244">
        <v>239</v>
      </c>
      <c r="G244">
        <f t="shared" ca="1" si="21"/>
        <v>0.53962837756446713</v>
      </c>
      <c r="H244">
        <f t="shared" ca="1" si="21"/>
        <v>0.51510345898653742</v>
      </c>
      <c r="I244">
        <f t="shared" ca="1" si="22"/>
        <v>0.53962837756446713</v>
      </c>
      <c r="J244">
        <f t="shared" ca="1" si="23"/>
        <v>0.74543019616023454</v>
      </c>
      <c r="K244">
        <f t="shared" ca="1" si="24"/>
        <v>20.369299733166248</v>
      </c>
      <c r="L244">
        <f t="shared" ca="1" si="25"/>
        <v>23.827486817782525</v>
      </c>
      <c r="M244">
        <f t="shared" ca="1" si="26"/>
        <v>0</v>
      </c>
      <c r="N244">
        <f t="shared" ca="1" si="27"/>
        <v>0</v>
      </c>
    </row>
    <row r="245" spans="6:14" x14ac:dyDescent="0.75">
      <c r="F245">
        <v>240</v>
      </c>
      <c r="G245">
        <f t="shared" ca="1" si="21"/>
        <v>-0.93768930680696605</v>
      </c>
      <c r="H245">
        <f t="shared" ca="1" si="21"/>
        <v>-3.0135555667216651E-2</v>
      </c>
      <c r="I245">
        <f t="shared" ca="1" si="22"/>
        <v>-0.93768930680696605</v>
      </c>
      <c r="J245">
        <f t="shared" ca="1" si="23"/>
        <v>-0.72319977658427403</v>
      </c>
      <c r="K245">
        <f t="shared" ca="1" si="24"/>
        <v>14.079212674954167</v>
      </c>
      <c r="L245">
        <f t="shared" ca="1" si="25"/>
        <v>16.50531300548408</v>
      </c>
      <c r="M245">
        <f t="shared" ca="1" si="26"/>
        <v>0</v>
      </c>
      <c r="N245">
        <f t="shared" ca="1" si="27"/>
        <v>0</v>
      </c>
    </row>
    <row r="246" spans="6:14" x14ac:dyDescent="0.75">
      <c r="F246">
        <v>241</v>
      </c>
      <c r="G246">
        <f t="shared" ca="1" si="21"/>
        <v>-6.9348352480429726E-2</v>
      </c>
      <c r="H246">
        <f t="shared" ca="1" si="21"/>
        <v>1.19383730200185</v>
      </c>
      <c r="I246">
        <f t="shared" ca="1" si="22"/>
        <v>-6.9348352480429726E-2</v>
      </c>
      <c r="J246">
        <f t="shared" ca="1" si="23"/>
        <v>0.73763788738197977</v>
      </c>
      <c r="K246">
        <f t="shared" ca="1" si="24"/>
        <v>17.492717820382619</v>
      </c>
      <c r="L246">
        <f t="shared" ca="1" si="25"/>
        <v>23.78111421747694</v>
      </c>
      <c r="M246">
        <f t="shared" ca="1" si="26"/>
        <v>0</v>
      </c>
      <c r="N246">
        <f t="shared" ca="1" si="27"/>
        <v>0</v>
      </c>
    </row>
    <row r="247" spans="6:14" x14ac:dyDescent="0.75">
      <c r="F247">
        <v>242</v>
      </c>
      <c r="G247">
        <f t="shared" ca="1" si="21"/>
        <v>0.74388301983109006</v>
      </c>
      <c r="H247">
        <f t="shared" ca="1" si="21"/>
        <v>-0.81078289605349507</v>
      </c>
      <c r="I247">
        <f t="shared" ca="1" si="22"/>
        <v>0.74388301983109006</v>
      </c>
      <c r="J247">
        <f t="shared" ca="1" si="23"/>
        <v>2.1629787317747451E-2</v>
      </c>
      <c r="K247">
        <f t="shared" ca="1" si="24"/>
        <v>21.436445042160297</v>
      </c>
      <c r="L247">
        <f t="shared" ca="1" si="25"/>
        <v>19.883489627040632</v>
      </c>
      <c r="M247">
        <f t="shared" ca="1" si="26"/>
        <v>0</v>
      </c>
      <c r="N247">
        <f t="shared" ca="1" si="27"/>
        <v>0</v>
      </c>
    </row>
    <row r="248" spans="6:14" x14ac:dyDescent="0.75">
      <c r="F248">
        <v>243</v>
      </c>
      <c r="G248">
        <f t="shared" ca="1" si="21"/>
        <v>-0.19417989751240694</v>
      </c>
      <c r="H248">
        <f t="shared" ca="1" si="21"/>
        <v>0.54869771426237801</v>
      </c>
      <c r="I248">
        <f t="shared" ca="1" si="22"/>
        <v>-0.19417989751240694</v>
      </c>
      <c r="J248">
        <f t="shared" ca="1" si="23"/>
        <v>0.21729450108765247</v>
      </c>
      <c r="K248">
        <f t="shared" ca="1" si="24"/>
        <v>16.955237506294001</v>
      </c>
      <c r="L248">
        <f t="shared" ca="1" si="25"/>
        <v>20.880295157829558</v>
      </c>
      <c r="M248">
        <f t="shared" ca="1" si="26"/>
        <v>0</v>
      </c>
      <c r="N248">
        <f t="shared" ca="1" si="27"/>
        <v>0</v>
      </c>
    </row>
    <row r="249" spans="6:14" x14ac:dyDescent="0.75">
      <c r="F249">
        <v>244</v>
      </c>
      <c r="G249">
        <f t="shared" ca="1" si="21"/>
        <v>-1.5771976274796895</v>
      </c>
      <c r="H249">
        <f t="shared" ca="1" si="21"/>
        <v>2.3062808147235199</v>
      </c>
      <c r="I249">
        <f t="shared" ca="1" si="22"/>
        <v>-1.5771976274796895</v>
      </c>
      <c r="J249">
        <f t="shared" ca="1" si="23"/>
        <v>0.3425631516996992</v>
      </c>
      <c r="K249">
        <f t="shared" ca="1" si="24"/>
        <v>11.998988457495393</v>
      </c>
      <c r="L249">
        <f t="shared" ca="1" si="25"/>
        <v>21.544553816527614</v>
      </c>
      <c r="M249">
        <f t="shared" ca="1" si="26"/>
        <v>0</v>
      </c>
      <c r="N249">
        <f t="shared" ca="1" si="27"/>
        <v>0</v>
      </c>
    </row>
    <row r="250" spans="6:14" x14ac:dyDescent="0.75">
      <c r="F250">
        <v>245</v>
      </c>
      <c r="G250">
        <f t="shared" ca="1" si="21"/>
        <v>1.4789922030018583</v>
      </c>
      <c r="H250">
        <f t="shared" ca="1" si="21"/>
        <v>0.7259338274811018</v>
      </c>
      <c r="I250">
        <f t="shared" ca="1" si="22"/>
        <v>1.4789922030018583</v>
      </c>
      <c r="J250">
        <f t="shared" ca="1" si="23"/>
        <v>1.5894042462024589</v>
      </c>
      <c r="K250">
        <f t="shared" ca="1" si="24"/>
        <v>25.761208363234246</v>
      </c>
      <c r="L250">
        <f t="shared" ca="1" si="25"/>
        <v>29.424666968506592</v>
      </c>
      <c r="M250">
        <f t="shared" ca="1" si="26"/>
        <v>0</v>
      </c>
      <c r="N250">
        <f t="shared" ca="1" si="27"/>
        <v>0</v>
      </c>
    </row>
    <row r="251" spans="6:14" x14ac:dyDescent="0.75">
      <c r="F251">
        <v>246</v>
      </c>
      <c r="G251">
        <f t="shared" ca="1" si="21"/>
        <v>5.6264411670773291E-2</v>
      </c>
      <c r="H251">
        <f t="shared" ca="1" si="21"/>
        <v>-0.83820549137399503</v>
      </c>
      <c r="I251">
        <f t="shared" ca="1" si="22"/>
        <v>5.6264411670773291E-2</v>
      </c>
      <c r="J251">
        <f t="shared" ca="1" si="23"/>
        <v>-0.51222251068299174</v>
      </c>
      <c r="K251">
        <f t="shared" ca="1" si="24"/>
        <v>18.05076129348523</v>
      </c>
      <c r="L251">
        <f t="shared" ca="1" si="25"/>
        <v>17.399242066640056</v>
      </c>
      <c r="M251">
        <f t="shared" ca="1" si="26"/>
        <v>0</v>
      </c>
      <c r="N251">
        <f t="shared" ca="1" si="27"/>
        <v>0</v>
      </c>
    </row>
    <row r="252" spans="6:14" x14ac:dyDescent="0.75">
      <c r="F252">
        <v>247</v>
      </c>
      <c r="G252">
        <f t="shared" ca="1" si="21"/>
        <v>0.16619791470698927</v>
      </c>
      <c r="H252">
        <f t="shared" ca="1" si="21"/>
        <v>-0.7544286361878032</v>
      </c>
      <c r="I252">
        <f t="shared" ca="1" si="22"/>
        <v>0.16619791470698927</v>
      </c>
      <c r="J252">
        <f t="shared" ca="1" si="23"/>
        <v>-0.3743592022943959</v>
      </c>
      <c r="K252">
        <f t="shared" ca="1" si="24"/>
        <v>18.553737227901138</v>
      </c>
      <c r="L252">
        <f t="shared" ca="1" si="25"/>
        <v>18.009375312237502</v>
      </c>
      <c r="M252">
        <f t="shared" ca="1" si="26"/>
        <v>0</v>
      </c>
      <c r="N252">
        <f t="shared" ca="1" si="27"/>
        <v>0</v>
      </c>
    </row>
    <row r="253" spans="6:14" x14ac:dyDescent="0.75">
      <c r="F253">
        <v>248</v>
      </c>
      <c r="G253">
        <f t="shared" ca="1" si="21"/>
        <v>-1.8046397100236808</v>
      </c>
      <c r="H253">
        <f t="shared" ca="1" si="21"/>
        <v>-1.4448095307570865</v>
      </c>
      <c r="I253">
        <f t="shared" ca="1" si="22"/>
        <v>-1.8046397100236808</v>
      </c>
      <c r="J253">
        <f t="shared" ca="1" si="23"/>
        <v>-2.309131460077555</v>
      </c>
      <c r="K253">
        <f t="shared" ca="1" si="24"/>
        <v>11.335754328891246</v>
      </c>
      <c r="L253">
        <f t="shared" ca="1" si="25"/>
        <v>11.102823091342239</v>
      </c>
      <c r="M253">
        <f t="shared" ca="1" si="26"/>
        <v>0</v>
      </c>
      <c r="N253">
        <f t="shared" ca="1" si="27"/>
        <v>0</v>
      </c>
    </row>
    <row r="254" spans="6:14" x14ac:dyDescent="0.75">
      <c r="F254">
        <v>249</v>
      </c>
      <c r="G254">
        <f t="shared" ca="1" si="21"/>
        <v>-1.0054833178239129</v>
      </c>
      <c r="H254">
        <f t="shared" ca="1" si="21"/>
        <v>1.4377694388765252</v>
      </c>
      <c r="I254">
        <f t="shared" ca="1" si="22"/>
        <v>-1.0054833178239129</v>
      </c>
      <c r="J254">
        <f t="shared" ca="1" si="23"/>
        <v>0.19688260611110719</v>
      </c>
      <c r="K254">
        <f t="shared" ca="1" si="24"/>
        <v>13.842601863528392</v>
      </c>
      <c r="L254">
        <f t="shared" ca="1" si="25"/>
        <v>20.77401496302209</v>
      </c>
      <c r="M254">
        <f t="shared" ca="1" si="26"/>
        <v>0</v>
      </c>
      <c r="N254">
        <f t="shared" ca="1" si="27"/>
        <v>0</v>
      </c>
    </row>
    <row r="255" spans="6:14" x14ac:dyDescent="0.75">
      <c r="F255">
        <v>250</v>
      </c>
      <c r="G255">
        <f t="shared" ca="1" si="21"/>
        <v>-1.9457233293960745</v>
      </c>
      <c r="H255">
        <f t="shared" ca="1" si="21"/>
        <v>0.25920669475531477</v>
      </c>
      <c r="I255">
        <f t="shared" ca="1" si="22"/>
        <v>-1.9457233293960745</v>
      </c>
      <c r="J255">
        <f t="shared" ca="1" si="23"/>
        <v>-1.2878433839256578</v>
      </c>
      <c r="K255">
        <f t="shared" ca="1" si="24"/>
        <v>10.942900890910733</v>
      </c>
      <c r="L255">
        <f t="shared" ca="1" si="25"/>
        <v>14.332381639438434</v>
      </c>
      <c r="M255">
        <f t="shared" ca="1" si="26"/>
        <v>0</v>
      </c>
      <c r="N255">
        <f t="shared" ca="1" si="27"/>
        <v>0</v>
      </c>
    </row>
    <row r="256" spans="6:14" x14ac:dyDescent="0.75">
      <c r="F256">
        <v>251</v>
      </c>
      <c r="G256">
        <f t="shared" ca="1" si="21"/>
        <v>2.6840274922720542</v>
      </c>
      <c r="H256">
        <f t="shared" ca="1" si="21"/>
        <v>-1.5204035427509053</v>
      </c>
      <c r="I256">
        <f t="shared" ca="1" si="22"/>
        <v>2.6840274922720542</v>
      </c>
      <c r="J256">
        <f t="shared" ca="1" si="23"/>
        <v>1.0073682025589266</v>
      </c>
      <c r="K256">
        <f t="shared" ca="1" si="24"/>
        <v>34.817795846218317</v>
      </c>
      <c r="L256">
        <f t="shared" ca="1" si="25"/>
        <v>25.440040340794607</v>
      </c>
      <c r="M256">
        <f t="shared" ca="1" si="26"/>
        <v>0</v>
      </c>
      <c r="N256">
        <f t="shared" ca="1" si="27"/>
        <v>0</v>
      </c>
    </row>
    <row r="257" spans="6:14" x14ac:dyDescent="0.75">
      <c r="F257">
        <v>252</v>
      </c>
      <c r="G257">
        <f t="shared" ca="1" si="21"/>
        <v>1.1719775640970307</v>
      </c>
      <c r="H257">
        <f t="shared" ca="1" si="21"/>
        <v>1.332270044562621</v>
      </c>
      <c r="I257">
        <f t="shared" ca="1" si="22"/>
        <v>1.1719775640970307</v>
      </c>
      <c r="J257">
        <f t="shared" ca="1" si="23"/>
        <v>1.7601969773461819</v>
      </c>
      <c r="K257">
        <f t="shared" ca="1" si="24"/>
        <v>23.857917882352744</v>
      </c>
      <c r="L257">
        <f t="shared" ca="1" si="25"/>
        <v>30.708255212941875</v>
      </c>
      <c r="M257">
        <f t="shared" ca="1" si="26"/>
        <v>0</v>
      </c>
      <c r="N257">
        <f t="shared" ca="1" si="27"/>
        <v>0</v>
      </c>
    </row>
    <row r="258" spans="6:14" x14ac:dyDescent="0.75">
      <c r="F258">
        <v>253</v>
      </c>
      <c r="G258">
        <f t="shared" ca="1" si="21"/>
        <v>0.47822132707010695</v>
      </c>
      <c r="H258">
        <f t="shared" ca="1" si="21"/>
        <v>-0.45460040551264036</v>
      </c>
      <c r="I258">
        <f t="shared" ca="1" si="22"/>
        <v>0.47822132707010695</v>
      </c>
      <c r="J258">
        <f t="shared" ca="1" si="23"/>
        <v>5.7976090578689465E-2</v>
      </c>
      <c r="K258">
        <f t="shared" ca="1" si="24"/>
        <v>20.058983126800161</v>
      </c>
      <c r="L258">
        <f t="shared" ca="1" si="25"/>
        <v>20.064985803611872</v>
      </c>
      <c r="M258">
        <f t="shared" ca="1" si="26"/>
        <v>0</v>
      </c>
      <c r="N258">
        <f t="shared" ca="1" si="27"/>
        <v>0</v>
      </c>
    </row>
    <row r="259" spans="6:14" x14ac:dyDescent="0.75">
      <c r="F259">
        <v>254</v>
      </c>
      <c r="G259">
        <f t="shared" ca="1" si="21"/>
        <v>-1.466477054037</v>
      </c>
      <c r="H259">
        <f t="shared" ca="1" si="21"/>
        <v>-1.0871693657716495</v>
      </c>
      <c r="I259">
        <f t="shared" ca="1" si="22"/>
        <v>-1.466477054037</v>
      </c>
      <c r="J259">
        <f t="shared" ca="1" si="23"/>
        <v>-1.8189527342376501</v>
      </c>
      <c r="K259">
        <f t="shared" ca="1" si="24"/>
        <v>12.335761640756296</v>
      </c>
      <c r="L259">
        <f t="shared" ca="1" si="25"/>
        <v>12.5502939798738</v>
      </c>
      <c r="M259">
        <f t="shared" ca="1" si="26"/>
        <v>0</v>
      </c>
      <c r="N259">
        <f t="shared" ca="1" si="27"/>
        <v>0</v>
      </c>
    </row>
    <row r="260" spans="6:14" x14ac:dyDescent="0.75">
      <c r="F260">
        <v>255</v>
      </c>
      <c r="G260">
        <f t="shared" ca="1" si="21"/>
        <v>1.4000785445827271</v>
      </c>
      <c r="H260">
        <f t="shared" ca="1" si="21"/>
        <v>2.8754161314687936E-2</v>
      </c>
      <c r="I260">
        <f t="shared" ca="1" si="22"/>
        <v>1.4000785445827271</v>
      </c>
      <c r="J260">
        <f t="shared" ca="1" si="23"/>
        <v>1.0690779984362699</v>
      </c>
      <c r="K260">
        <f t="shared" ca="1" si="24"/>
        <v>25.257961022335785</v>
      </c>
      <c r="L260">
        <f t="shared" ca="1" si="25"/>
        <v>25.835558337169935</v>
      </c>
      <c r="M260">
        <f t="shared" ca="1" si="26"/>
        <v>0</v>
      </c>
      <c r="N260">
        <f t="shared" ca="1" si="27"/>
        <v>0</v>
      </c>
    </row>
    <row r="261" spans="6:14" x14ac:dyDescent="0.75">
      <c r="F261">
        <v>256</v>
      </c>
      <c r="G261">
        <f t="shared" ca="1" si="21"/>
        <v>1.1263703079070131</v>
      </c>
      <c r="H261">
        <f t="shared" ca="1" si="21"/>
        <v>-0.6961165515849056</v>
      </c>
      <c r="I261">
        <f t="shared" ca="1" si="22"/>
        <v>1.1263703079070131</v>
      </c>
      <c r="J261">
        <f t="shared" ca="1" si="23"/>
        <v>0.3843399111778783</v>
      </c>
      <c r="K261">
        <f t="shared" ca="1" si="24"/>
        <v>23.587439242882709</v>
      </c>
      <c r="L261">
        <f t="shared" ca="1" si="25"/>
        <v>21.77074838060377</v>
      </c>
      <c r="M261">
        <f t="shared" ca="1" si="26"/>
        <v>0</v>
      </c>
      <c r="N261">
        <f t="shared" ca="1" si="27"/>
        <v>0</v>
      </c>
    </row>
    <row r="262" spans="6:14" x14ac:dyDescent="0.75">
      <c r="F262">
        <v>257</v>
      </c>
      <c r="G262">
        <f t="shared" ca="1" si="21"/>
        <v>-0.33993181059008093</v>
      </c>
      <c r="H262">
        <f t="shared" ca="1" si="21"/>
        <v>0.69231141343915781</v>
      </c>
      <c r="I262">
        <f t="shared" ca="1" si="22"/>
        <v>-0.33993181059008093</v>
      </c>
      <c r="J262">
        <f t="shared" ca="1" si="23"/>
        <v>0.20297209950034717</v>
      </c>
      <c r="K262">
        <f t="shared" ca="1" si="24"/>
        <v>16.348543409139324</v>
      </c>
      <c r="L262">
        <f t="shared" ca="1" si="25"/>
        <v>20.805664855081769</v>
      </c>
      <c r="M262">
        <f t="shared" ca="1" si="26"/>
        <v>0</v>
      </c>
      <c r="N262">
        <f t="shared" ca="1" si="27"/>
        <v>0</v>
      </c>
    </row>
    <row r="263" spans="6:14" x14ac:dyDescent="0.75">
      <c r="F263">
        <v>258</v>
      </c>
      <c r="G263">
        <f t="shared" ref="G263:H326" ca="1" si="28">NORMSINV(RAND())</f>
        <v>-2.2202731519830414</v>
      </c>
      <c r="H263">
        <f t="shared" ca="1" si="28"/>
        <v>-1.697416204955686</v>
      </c>
      <c r="I263">
        <f t="shared" ref="I263:I326" ca="1" si="29">G263</f>
        <v>-2.2202731519830414</v>
      </c>
      <c r="J263">
        <f t="shared" ref="J263:J326" ca="1" si="30">G263*$C$8+SQRT(1-$C$8^2)*H263</f>
        <v>-2.787940151408228</v>
      </c>
      <c r="K263">
        <f t="shared" ref="K263:K326" ca="1" si="31">C$3*EXP(($C$5-0.5*C$4^2)*$C$6+C$4*SQRT($C$6)*I263)</f>
        <v>10.21700480496548</v>
      </c>
      <c r="L263">
        <f t="shared" ref="L263:L326" ca="1" si="32">D$3*EXP(($C$5-0.5*D$4^2)*$C$6+D$4*SQRT($C$6)*J263)</f>
        <v>9.8502539413750299</v>
      </c>
      <c r="M263">
        <f t="shared" ref="M263:M326" ca="1" si="33">MAX(SQRT(K263*L263)-$C$7,0)</f>
        <v>0</v>
      </c>
      <c r="N263">
        <f t="shared" ref="N263:N326" ca="1" si="34">MAX((K263+L263)*0.5-$C$7,0)</f>
        <v>0</v>
      </c>
    </row>
    <row r="264" spans="6:14" x14ac:dyDescent="0.75">
      <c r="F264">
        <v>259</v>
      </c>
      <c r="G264">
        <f t="shared" ca="1" si="28"/>
        <v>1.2123326730330031</v>
      </c>
      <c r="H264">
        <f t="shared" ca="1" si="28"/>
        <v>0.31807617243144248</v>
      </c>
      <c r="I264">
        <f t="shared" ca="1" si="29"/>
        <v>1.2123326730330031</v>
      </c>
      <c r="J264">
        <f t="shared" ca="1" si="30"/>
        <v>1.1196371173319761</v>
      </c>
      <c r="K264">
        <f t="shared" ca="1" si="31"/>
        <v>24.099833364929218</v>
      </c>
      <c r="L264">
        <f t="shared" ca="1" si="32"/>
        <v>26.16418662293129</v>
      </c>
      <c r="M264">
        <f t="shared" ca="1" si="33"/>
        <v>0</v>
      </c>
      <c r="N264">
        <f t="shared" ca="1" si="34"/>
        <v>0</v>
      </c>
    </row>
    <row r="265" spans="6:14" x14ac:dyDescent="0.75">
      <c r="F265">
        <v>260</v>
      </c>
      <c r="G265">
        <f t="shared" ca="1" si="28"/>
        <v>-2.3630428250263482</v>
      </c>
      <c r="H265">
        <f t="shared" ca="1" si="28"/>
        <v>-1.2827165428641745</v>
      </c>
      <c r="I265">
        <f t="shared" ca="1" si="29"/>
        <v>-2.3630428250263482</v>
      </c>
      <c r="J265">
        <f t="shared" ca="1" si="30"/>
        <v>-2.6207193625215437</v>
      </c>
      <c r="K265">
        <f t="shared" ca="1" si="31"/>
        <v>9.8587664237991017</v>
      </c>
      <c r="L265">
        <f t="shared" ca="1" si="32"/>
        <v>10.270774479457817</v>
      </c>
      <c r="M265">
        <f t="shared" ca="1" si="33"/>
        <v>0</v>
      </c>
      <c r="N265">
        <f t="shared" ca="1" si="34"/>
        <v>0</v>
      </c>
    </row>
    <row r="266" spans="6:14" x14ac:dyDescent="0.75">
      <c r="F266">
        <v>261</v>
      </c>
      <c r="G266">
        <f t="shared" ca="1" si="28"/>
        <v>7.5514703477915571E-2</v>
      </c>
      <c r="H266">
        <f t="shared" ca="1" si="28"/>
        <v>1.3065298965999326</v>
      </c>
      <c r="I266">
        <f t="shared" ca="1" si="29"/>
        <v>7.5514703477915571E-2</v>
      </c>
      <c r="J266">
        <f t="shared" ca="1" si="30"/>
        <v>0.92082432432702566</v>
      </c>
      <c r="K266">
        <f t="shared" ca="1" si="31"/>
        <v>18.137841270345518</v>
      </c>
      <c r="L266">
        <f t="shared" ca="1" si="32"/>
        <v>24.895532124900107</v>
      </c>
      <c r="M266">
        <f t="shared" ca="1" si="33"/>
        <v>0</v>
      </c>
      <c r="N266">
        <f t="shared" ca="1" si="34"/>
        <v>0</v>
      </c>
    </row>
    <row r="267" spans="6:14" x14ac:dyDescent="0.75">
      <c r="F267">
        <v>262</v>
      </c>
      <c r="G267">
        <f t="shared" ca="1" si="28"/>
        <v>8.992212899529016E-2</v>
      </c>
      <c r="H267">
        <f t="shared" ca="1" si="28"/>
        <v>-2.5608153673564386E-2</v>
      </c>
      <c r="I267">
        <f t="shared" ca="1" si="29"/>
        <v>8.992212899529016E-2</v>
      </c>
      <c r="J267">
        <f t="shared" ca="1" si="30"/>
        <v>5.0503395207523491E-2</v>
      </c>
      <c r="K267">
        <f t="shared" ca="1" si="31"/>
        <v>18.20328896547533</v>
      </c>
      <c r="L267">
        <f t="shared" ca="1" si="32"/>
        <v>20.027535914321284</v>
      </c>
      <c r="M267">
        <f t="shared" ca="1" si="33"/>
        <v>0</v>
      </c>
      <c r="N267">
        <f t="shared" ca="1" si="34"/>
        <v>0</v>
      </c>
    </row>
    <row r="268" spans="6:14" x14ac:dyDescent="0.75">
      <c r="F268">
        <v>263</v>
      </c>
      <c r="G268">
        <f t="shared" ca="1" si="28"/>
        <v>0.65288325347655896</v>
      </c>
      <c r="H268">
        <f t="shared" ca="1" si="28"/>
        <v>0.48975373317662235</v>
      </c>
      <c r="I268">
        <f t="shared" ca="1" si="29"/>
        <v>0.65288325347655896</v>
      </c>
      <c r="J268">
        <f t="shared" ca="1" si="30"/>
        <v>0.81360408552012586</v>
      </c>
      <c r="K268">
        <f t="shared" ca="1" si="31"/>
        <v>20.954272662231748</v>
      </c>
      <c r="L268">
        <f t="shared" ca="1" si="32"/>
        <v>24.237070378735467</v>
      </c>
      <c r="M268">
        <f t="shared" ca="1" si="33"/>
        <v>0</v>
      </c>
      <c r="N268">
        <f t="shared" ca="1" si="34"/>
        <v>0</v>
      </c>
    </row>
    <row r="269" spans="6:14" x14ac:dyDescent="0.75">
      <c r="F269">
        <v>264</v>
      </c>
      <c r="G269">
        <f t="shared" ca="1" si="28"/>
        <v>0.45237183860470803</v>
      </c>
      <c r="H269">
        <f t="shared" ca="1" si="28"/>
        <v>-1.3869332013662206</v>
      </c>
      <c r="I269">
        <f t="shared" ca="1" si="29"/>
        <v>0.45237183860470803</v>
      </c>
      <c r="J269">
        <f t="shared" ca="1" si="30"/>
        <v>-0.57809120501489097</v>
      </c>
      <c r="K269">
        <f t="shared" ca="1" si="31"/>
        <v>19.929772466919022</v>
      </c>
      <c r="L269">
        <f t="shared" ca="1" si="32"/>
        <v>17.115071888595594</v>
      </c>
      <c r="M269">
        <f t="shared" ca="1" si="33"/>
        <v>0</v>
      </c>
      <c r="N269">
        <f t="shared" ca="1" si="34"/>
        <v>0</v>
      </c>
    </row>
    <row r="270" spans="6:14" x14ac:dyDescent="0.75">
      <c r="F270">
        <v>265</v>
      </c>
      <c r="G270">
        <f t="shared" ca="1" si="28"/>
        <v>0.43813505915780665</v>
      </c>
      <c r="H270">
        <f t="shared" ca="1" si="28"/>
        <v>-0.55065537090827166</v>
      </c>
      <c r="I270">
        <f t="shared" ca="1" si="29"/>
        <v>0.43813505915780665</v>
      </c>
      <c r="J270">
        <f t="shared" ca="1" si="30"/>
        <v>-3.5622998012974527E-2</v>
      </c>
      <c r="K270">
        <f t="shared" ca="1" si="31"/>
        <v>19.858964607393006</v>
      </c>
      <c r="L270">
        <f t="shared" ca="1" si="32"/>
        <v>19.600920394769503</v>
      </c>
      <c r="M270">
        <f t="shared" ca="1" si="33"/>
        <v>0</v>
      </c>
      <c r="N270">
        <f t="shared" ca="1" si="34"/>
        <v>0</v>
      </c>
    </row>
    <row r="271" spans="6:14" x14ac:dyDescent="0.75">
      <c r="F271">
        <v>266</v>
      </c>
      <c r="G271">
        <f t="shared" ca="1" si="28"/>
        <v>-0.46846975494131249</v>
      </c>
      <c r="H271">
        <f t="shared" ca="1" si="28"/>
        <v>0.30245750238287228</v>
      </c>
      <c r="I271">
        <f t="shared" ca="1" si="29"/>
        <v>-0.46846975494131249</v>
      </c>
      <c r="J271">
        <f t="shared" ca="1" si="30"/>
        <v>-0.15129548283828292</v>
      </c>
      <c r="K271">
        <f t="shared" ca="1" si="31"/>
        <v>15.831542633751067</v>
      </c>
      <c r="L271">
        <f t="shared" ca="1" si="32"/>
        <v>19.042215880014403</v>
      </c>
      <c r="M271">
        <f t="shared" ca="1" si="33"/>
        <v>0</v>
      </c>
      <c r="N271">
        <f t="shared" ca="1" si="34"/>
        <v>0</v>
      </c>
    </row>
    <row r="272" spans="6:14" x14ac:dyDescent="0.75">
      <c r="F272">
        <v>267</v>
      </c>
      <c r="G272">
        <f t="shared" ca="1" si="28"/>
        <v>-7.7952070975882082E-2</v>
      </c>
      <c r="H272">
        <f t="shared" ca="1" si="28"/>
        <v>1.437635887673818</v>
      </c>
      <c r="I272">
        <f t="shared" ca="1" si="29"/>
        <v>-7.7952070975882082E-2</v>
      </c>
      <c r="J272">
        <f t="shared" ca="1" si="30"/>
        <v>0.89244270542971615</v>
      </c>
      <c r="K272">
        <f t="shared" ca="1" si="31"/>
        <v>17.455132651438173</v>
      </c>
      <c r="L272">
        <f t="shared" ca="1" si="32"/>
        <v>24.71951344898644</v>
      </c>
      <c r="M272">
        <f t="shared" ca="1" si="33"/>
        <v>0</v>
      </c>
      <c r="N272">
        <f t="shared" ca="1" si="34"/>
        <v>0</v>
      </c>
    </row>
    <row r="273" spans="6:14" x14ac:dyDescent="0.75">
      <c r="F273">
        <v>268</v>
      </c>
      <c r="G273">
        <f t="shared" ca="1" si="28"/>
        <v>0.99186772989430605</v>
      </c>
      <c r="H273">
        <f t="shared" ca="1" si="28"/>
        <v>1.9494856096907867</v>
      </c>
      <c r="I273">
        <f t="shared" ca="1" si="29"/>
        <v>0.99186772989430605</v>
      </c>
      <c r="J273">
        <f t="shared" ca="1" si="30"/>
        <v>2.0333643243559676</v>
      </c>
      <c r="K273">
        <f t="shared" ca="1" si="31"/>
        <v>22.807483148279992</v>
      </c>
      <c r="L273">
        <f t="shared" ca="1" si="32"/>
        <v>32.878644860807114</v>
      </c>
      <c r="M273">
        <f t="shared" ca="1" si="33"/>
        <v>0</v>
      </c>
      <c r="N273">
        <f t="shared" ca="1" si="34"/>
        <v>0</v>
      </c>
    </row>
    <row r="274" spans="6:14" x14ac:dyDescent="0.75">
      <c r="F274">
        <v>269</v>
      </c>
      <c r="G274">
        <f t="shared" ca="1" si="28"/>
        <v>-0.59037160453412307</v>
      </c>
      <c r="H274">
        <f t="shared" ca="1" si="28"/>
        <v>0.12024771926702117</v>
      </c>
      <c r="I274">
        <f t="shared" ca="1" si="29"/>
        <v>-0.59037160453412307</v>
      </c>
      <c r="J274">
        <f t="shared" ca="1" si="30"/>
        <v>-0.36324231317478028</v>
      </c>
      <c r="K274">
        <f t="shared" ca="1" si="31"/>
        <v>15.356346736621989</v>
      </c>
      <c r="L274">
        <f t="shared" ca="1" si="32"/>
        <v>18.059496986727684</v>
      </c>
      <c r="M274">
        <f t="shared" ca="1" si="33"/>
        <v>0</v>
      </c>
      <c r="N274">
        <f t="shared" ca="1" si="34"/>
        <v>0</v>
      </c>
    </row>
    <row r="275" spans="6:14" x14ac:dyDescent="0.75">
      <c r="F275">
        <v>270</v>
      </c>
      <c r="G275">
        <f t="shared" ca="1" si="28"/>
        <v>-2.3099379721976865</v>
      </c>
      <c r="H275">
        <f t="shared" ca="1" si="28"/>
        <v>-5.379773744697916E-2</v>
      </c>
      <c r="I275">
        <f t="shared" ca="1" si="29"/>
        <v>-2.3099379721976865</v>
      </c>
      <c r="J275">
        <f t="shared" ca="1" si="30"/>
        <v>-1.7680373377439282</v>
      </c>
      <c r="K275">
        <f t="shared" ca="1" si="31"/>
        <v>9.990526208999114</v>
      </c>
      <c r="L275">
        <f t="shared" ca="1" si="32"/>
        <v>12.711065827966873</v>
      </c>
      <c r="M275">
        <f t="shared" ca="1" si="33"/>
        <v>0</v>
      </c>
      <c r="N275">
        <f t="shared" ca="1" si="34"/>
        <v>0</v>
      </c>
    </row>
    <row r="276" spans="6:14" x14ac:dyDescent="0.75">
      <c r="F276">
        <v>271</v>
      </c>
      <c r="G276">
        <f t="shared" ca="1" si="28"/>
        <v>0.1294811651119176</v>
      </c>
      <c r="H276">
        <f t="shared" ca="1" si="28"/>
        <v>0.67693512732271377</v>
      </c>
      <c r="I276">
        <f t="shared" ca="1" si="29"/>
        <v>0.1294811651119176</v>
      </c>
      <c r="J276">
        <f t="shared" ca="1" si="30"/>
        <v>0.54486137398887458</v>
      </c>
      <c r="K276">
        <f t="shared" ca="1" si="31"/>
        <v>18.384208256376976</v>
      </c>
      <c r="L276">
        <f t="shared" ca="1" si="32"/>
        <v>22.662183655696001</v>
      </c>
      <c r="M276">
        <f t="shared" ca="1" si="33"/>
        <v>0</v>
      </c>
      <c r="N276">
        <f t="shared" ca="1" si="34"/>
        <v>0</v>
      </c>
    </row>
    <row r="277" spans="6:14" x14ac:dyDescent="0.75">
      <c r="F277">
        <v>272</v>
      </c>
      <c r="G277">
        <f t="shared" ca="1" si="28"/>
        <v>1.979542946444951E-2</v>
      </c>
      <c r="H277">
        <f t="shared" ca="1" si="28"/>
        <v>-0.83882657126598803</v>
      </c>
      <c r="I277">
        <f t="shared" ca="1" si="29"/>
        <v>1.979542946444951E-2</v>
      </c>
      <c r="J277">
        <f t="shared" ca="1" si="30"/>
        <v>-0.53998505307236366</v>
      </c>
      <c r="K277">
        <f t="shared" ca="1" si="31"/>
        <v>17.886936022808062</v>
      </c>
      <c r="L277">
        <f t="shared" ca="1" si="32"/>
        <v>17.278898381720794</v>
      </c>
      <c r="M277">
        <f t="shared" ca="1" si="33"/>
        <v>0</v>
      </c>
      <c r="N277">
        <f t="shared" ca="1" si="34"/>
        <v>0</v>
      </c>
    </row>
    <row r="278" spans="6:14" x14ac:dyDescent="0.75">
      <c r="F278">
        <v>273</v>
      </c>
      <c r="G278">
        <f t="shared" ca="1" si="28"/>
        <v>-1.326526410664628</v>
      </c>
      <c r="H278">
        <f t="shared" ca="1" si="28"/>
        <v>0.62867945409324111</v>
      </c>
      <c r="I278">
        <f t="shared" ca="1" si="29"/>
        <v>-1.326526410664628</v>
      </c>
      <c r="J278">
        <f t="shared" ca="1" si="30"/>
        <v>-0.57906243552183001</v>
      </c>
      <c r="K278">
        <f t="shared" ca="1" si="31"/>
        <v>12.775000244516564</v>
      </c>
      <c r="L278">
        <f t="shared" ca="1" si="32"/>
        <v>17.11091672308228</v>
      </c>
      <c r="M278">
        <f t="shared" ca="1" si="33"/>
        <v>0</v>
      </c>
      <c r="N278">
        <f t="shared" ca="1" si="34"/>
        <v>0</v>
      </c>
    </row>
    <row r="279" spans="6:14" x14ac:dyDescent="0.75">
      <c r="F279">
        <v>274</v>
      </c>
      <c r="G279">
        <f t="shared" ca="1" si="28"/>
        <v>1.0467739529484086</v>
      </c>
      <c r="H279">
        <f t="shared" ca="1" si="28"/>
        <v>-0.38933072887530851</v>
      </c>
      <c r="I279">
        <f t="shared" ca="1" si="29"/>
        <v>1.0467739529484086</v>
      </c>
      <c r="J279">
        <f t="shared" ca="1" si="30"/>
        <v>0.5275623931214114</v>
      </c>
      <c r="K279">
        <f t="shared" ca="1" si="31"/>
        <v>23.122709876647392</v>
      </c>
      <c r="L279">
        <f t="shared" ca="1" si="32"/>
        <v>22.564387110325658</v>
      </c>
      <c r="M279">
        <f t="shared" ca="1" si="33"/>
        <v>0</v>
      </c>
      <c r="N279">
        <f t="shared" ca="1" si="34"/>
        <v>0</v>
      </c>
    </row>
    <row r="280" spans="6:14" x14ac:dyDescent="0.75">
      <c r="F280">
        <v>275</v>
      </c>
      <c r="G280">
        <f t="shared" ca="1" si="28"/>
        <v>1.7143820474222216</v>
      </c>
      <c r="H280">
        <f t="shared" ca="1" si="28"/>
        <v>-0.55750099346603144</v>
      </c>
      <c r="I280">
        <f t="shared" ca="1" si="29"/>
        <v>1.7143820474222216</v>
      </c>
      <c r="J280">
        <f t="shared" ca="1" si="30"/>
        <v>0.91703428947102505</v>
      </c>
      <c r="K280">
        <f t="shared" ca="1" si="31"/>
        <v>27.322683913367275</v>
      </c>
      <c r="L280">
        <f t="shared" ca="1" si="32"/>
        <v>24.87195456300871</v>
      </c>
      <c r="M280">
        <f t="shared" ca="1" si="33"/>
        <v>0</v>
      </c>
      <c r="N280">
        <f t="shared" ca="1" si="34"/>
        <v>0</v>
      </c>
    </row>
    <row r="281" spans="6:14" x14ac:dyDescent="0.75">
      <c r="F281">
        <v>276</v>
      </c>
      <c r="G281">
        <f t="shared" ca="1" si="28"/>
        <v>5.5481404261770985E-2</v>
      </c>
      <c r="H281">
        <f t="shared" ca="1" si="28"/>
        <v>-4.8260655256266168E-2</v>
      </c>
      <c r="I281">
        <f t="shared" ca="1" si="29"/>
        <v>5.5481404261770985E-2</v>
      </c>
      <c r="J281">
        <f t="shared" ca="1" si="30"/>
        <v>9.6896302170526305E-3</v>
      </c>
      <c r="K281">
        <f t="shared" ca="1" si="31"/>
        <v>18.047228169346578</v>
      </c>
      <c r="L281">
        <f t="shared" ca="1" si="32"/>
        <v>19.824225127012667</v>
      </c>
      <c r="M281">
        <f t="shared" ca="1" si="33"/>
        <v>0</v>
      </c>
      <c r="N281">
        <f t="shared" ca="1" si="34"/>
        <v>0</v>
      </c>
    </row>
    <row r="282" spans="6:14" x14ac:dyDescent="0.75">
      <c r="F282">
        <v>277</v>
      </c>
      <c r="G282">
        <f t="shared" ca="1" si="28"/>
        <v>-1.1598966626807907</v>
      </c>
      <c r="H282">
        <f t="shared" ca="1" si="28"/>
        <v>1.2088110564436696</v>
      </c>
      <c r="I282">
        <f t="shared" ca="1" si="29"/>
        <v>-1.1598966626807907</v>
      </c>
      <c r="J282">
        <f t="shared" ca="1" si="30"/>
        <v>-7.0369137656789982E-2</v>
      </c>
      <c r="K282">
        <f t="shared" ca="1" si="31"/>
        <v>13.318414043578882</v>
      </c>
      <c r="L282">
        <f t="shared" ca="1" si="32"/>
        <v>19.431393681311963</v>
      </c>
      <c r="M282">
        <f t="shared" ca="1" si="33"/>
        <v>0</v>
      </c>
      <c r="N282">
        <f t="shared" ca="1" si="34"/>
        <v>0</v>
      </c>
    </row>
    <row r="283" spans="6:14" x14ac:dyDescent="0.75">
      <c r="F283">
        <v>278</v>
      </c>
      <c r="G283">
        <f t="shared" ca="1" si="28"/>
        <v>0.51336633516870434</v>
      </c>
      <c r="H283">
        <f t="shared" ca="1" si="28"/>
        <v>-1.8315813260201366</v>
      </c>
      <c r="I283">
        <f t="shared" ca="1" si="29"/>
        <v>0.51336633516870434</v>
      </c>
      <c r="J283">
        <f t="shared" ca="1" si="30"/>
        <v>-0.82645242228327132</v>
      </c>
      <c r="K283">
        <f t="shared" ca="1" si="31"/>
        <v>20.236002939454277</v>
      </c>
      <c r="L283">
        <f t="shared" ca="1" si="32"/>
        <v>16.084710589898414</v>
      </c>
      <c r="M283">
        <f t="shared" ca="1" si="33"/>
        <v>0</v>
      </c>
      <c r="N283">
        <f t="shared" ca="1" si="34"/>
        <v>0</v>
      </c>
    </row>
    <row r="284" spans="6:14" x14ac:dyDescent="0.75">
      <c r="F284">
        <v>279</v>
      </c>
      <c r="G284">
        <f t="shared" ca="1" si="28"/>
        <v>0.21889896747793594</v>
      </c>
      <c r="H284">
        <f t="shared" ca="1" si="28"/>
        <v>-0.98230322144072113</v>
      </c>
      <c r="I284">
        <f t="shared" ca="1" si="29"/>
        <v>0.21889896747793594</v>
      </c>
      <c r="J284">
        <f t="shared" ca="1" si="30"/>
        <v>-0.48555828338898777</v>
      </c>
      <c r="K284">
        <f t="shared" ca="1" si="31"/>
        <v>18.799805043690064</v>
      </c>
      <c r="L284">
        <f t="shared" ca="1" si="32"/>
        <v>17.51561384244982</v>
      </c>
      <c r="M284">
        <f t="shared" ca="1" si="33"/>
        <v>0</v>
      </c>
      <c r="N284">
        <f t="shared" ca="1" si="34"/>
        <v>0</v>
      </c>
    </row>
    <row r="285" spans="6:14" x14ac:dyDescent="0.75">
      <c r="F285">
        <v>280</v>
      </c>
      <c r="G285">
        <f t="shared" ca="1" si="28"/>
        <v>1.198638945688721</v>
      </c>
      <c r="H285">
        <f t="shared" ca="1" si="28"/>
        <v>1.1928519108450537</v>
      </c>
      <c r="I285">
        <f t="shared" ca="1" si="29"/>
        <v>1.198638945688721</v>
      </c>
      <c r="J285">
        <f t="shared" ca="1" si="30"/>
        <v>1.6879765860225915</v>
      </c>
      <c r="K285">
        <f t="shared" ca="1" si="31"/>
        <v>24.017470290769285</v>
      </c>
      <c r="L285">
        <f t="shared" ca="1" si="32"/>
        <v>30.158789912180076</v>
      </c>
      <c r="M285">
        <f t="shared" ca="1" si="33"/>
        <v>0</v>
      </c>
      <c r="N285">
        <f t="shared" ca="1" si="34"/>
        <v>0</v>
      </c>
    </row>
    <row r="286" spans="6:14" x14ac:dyDescent="0.75">
      <c r="F286">
        <v>281</v>
      </c>
      <c r="G286">
        <f t="shared" ca="1" si="28"/>
        <v>1.0024211837160852</v>
      </c>
      <c r="H286">
        <f t="shared" ca="1" si="28"/>
        <v>-0.93518520297215912</v>
      </c>
      <c r="I286">
        <f t="shared" ca="1" si="29"/>
        <v>1.0024211837160852</v>
      </c>
      <c r="J286">
        <f t="shared" ca="1" si="30"/>
        <v>0.13324901857411509</v>
      </c>
      <c r="K286">
        <f t="shared" ca="1" si="31"/>
        <v>22.867737029195741</v>
      </c>
      <c r="L286">
        <f t="shared" ca="1" si="32"/>
        <v>20.446148517476118</v>
      </c>
      <c r="M286">
        <f t="shared" ca="1" si="33"/>
        <v>0</v>
      </c>
      <c r="N286">
        <f t="shared" ca="1" si="34"/>
        <v>0</v>
      </c>
    </row>
    <row r="287" spans="6:14" x14ac:dyDescent="0.75">
      <c r="F287">
        <v>282</v>
      </c>
      <c r="G287">
        <f t="shared" ca="1" si="28"/>
        <v>0.64793715535882834</v>
      </c>
      <c r="H287">
        <f t="shared" ca="1" si="28"/>
        <v>-1.29500666279096</v>
      </c>
      <c r="I287">
        <f t="shared" ca="1" si="29"/>
        <v>0.64793715535882834</v>
      </c>
      <c r="J287">
        <f t="shared" ca="1" si="30"/>
        <v>-0.37061352746001941</v>
      </c>
      <c r="K287">
        <f t="shared" ca="1" si="31"/>
        <v>20.928378202954889</v>
      </c>
      <c r="L287">
        <f t="shared" ca="1" si="32"/>
        <v>18.02624752670571</v>
      </c>
      <c r="M287">
        <f t="shared" ca="1" si="33"/>
        <v>0</v>
      </c>
      <c r="N287">
        <f t="shared" ca="1" si="34"/>
        <v>0</v>
      </c>
    </row>
    <row r="288" spans="6:14" x14ac:dyDescent="0.75">
      <c r="F288">
        <v>283</v>
      </c>
      <c r="G288">
        <f t="shared" ca="1" si="28"/>
        <v>-0.71014953316556872</v>
      </c>
      <c r="H288">
        <f t="shared" ca="1" si="28"/>
        <v>2.1648964201868335</v>
      </c>
      <c r="I288">
        <f t="shared" ca="1" si="29"/>
        <v>-0.71014953316556872</v>
      </c>
      <c r="J288">
        <f t="shared" ca="1" si="30"/>
        <v>0.89933223563291187</v>
      </c>
      <c r="K288">
        <f t="shared" ca="1" si="31"/>
        <v>14.903325479681019</v>
      </c>
      <c r="L288">
        <f t="shared" ca="1" si="32"/>
        <v>24.762126595150221</v>
      </c>
      <c r="M288">
        <f t="shared" ca="1" si="33"/>
        <v>0</v>
      </c>
      <c r="N288">
        <f t="shared" ca="1" si="34"/>
        <v>0</v>
      </c>
    </row>
    <row r="289" spans="6:14" x14ac:dyDescent="0.75">
      <c r="F289">
        <v>284</v>
      </c>
      <c r="G289">
        <f t="shared" ca="1" si="28"/>
        <v>0.70039510015822848</v>
      </c>
      <c r="H289">
        <f t="shared" ca="1" si="28"/>
        <v>0.97815407284129297</v>
      </c>
      <c r="I289">
        <f t="shared" ca="1" si="29"/>
        <v>0.70039510015822848</v>
      </c>
      <c r="J289">
        <f t="shared" ca="1" si="30"/>
        <v>1.1722844302794262</v>
      </c>
      <c r="K289">
        <f t="shared" ca="1" si="31"/>
        <v>21.204650756720426</v>
      </c>
      <c r="L289">
        <f t="shared" ca="1" si="32"/>
        <v>26.51083138845188</v>
      </c>
      <c r="M289">
        <f t="shared" ca="1" si="33"/>
        <v>0</v>
      </c>
      <c r="N289">
        <f t="shared" ca="1" si="34"/>
        <v>0</v>
      </c>
    </row>
    <row r="290" spans="6:14" x14ac:dyDescent="0.75">
      <c r="F290">
        <v>285</v>
      </c>
      <c r="G290">
        <f t="shared" ca="1" si="28"/>
        <v>1.4824324387732004</v>
      </c>
      <c r="H290">
        <f t="shared" ca="1" si="28"/>
        <v>-1.3000354745609282</v>
      </c>
      <c r="I290">
        <f t="shared" ca="1" si="29"/>
        <v>1.4824324387732004</v>
      </c>
      <c r="J290">
        <f t="shared" ca="1" si="30"/>
        <v>0.25193168876738714</v>
      </c>
      <c r="K290">
        <f t="shared" ca="1" si="31"/>
        <v>25.783374051398127</v>
      </c>
      <c r="L290">
        <f t="shared" ca="1" si="32"/>
        <v>21.061888935889733</v>
      </c>
      <c r="M290">
        <f t="shared" ca="1" si="33"/>
        <v>0</v>
      </c>
      <c r="N290">
        <f t="shared" ca="1" si="34"/>
        <v>0</v>
      </c>
    </row>
    <row r="291" spans="6:14" x14ac:dyDescent="0.75">
      <c r="F291">
        <v>286</v>
      </c>
      <c r="G291">
        <f t="shared" ca="1" si="28"/>
        <v>0.12635401218298334</v>
      </c>
      <c r="H291">
        <f t="shared" ca="1" si="28"/>
        <v>0.13034026017359343</v>
      </c>
      <c r="I291">
        <f t="shared" ca="1" si="29"/>
        <v>0.12635401218298334</v>
      </c>
      <c r="J291">
        <f t="shared" ca="1" si="30"/>
        <v>0.18097748769693367</v>
      </c>
      <c r="K291">
        <f t="shared" ca="1" si="31"/>
        <v>18.36984131538766</v>
      </c>
      <c r="L291">
        <f t="shared" ca="1" si="32"/>
        <v>20.691575680478991</v>
      </c>
      <c r="M291">
        <f t="shared" ca="1" si="33"/>
        <v>0</v>
      </c>
      <c r="N291">
        <f t="shared" ca="1" si="34"/>
        <v>0</v>
      </c>
    </row>
    <row r="292" spans="6:14" x14ac:dyDescent="0.75">
      <c r="F292">
        <v>287</v>
      </c>
      <c r="G292">
        <f t="shared" ca="1" si="28"/>
        <v>0.59954753502710445</v>
      </c>
      <c r="H292">
        <f t="shared" ca="1" si="28"/>
        <v>-0.1881245325700564</v>
      </c>
      <c r="I292">
        <f t="shared" ca="1" si="29"/>
        <v>0.59954753502710445</v>
      </c>
      <c r="J292">
        <f t="shared" ca="1" si="30"/>
        <v>0.32522796909766832</v>
      </c>
      <c r="K292">
        <f t="shared" ca="1" si="31"/>
        <v>20.676724382271747</v>
      </c>
      <c r="L292">
        <f t="shared" ca="1" si="32"/>
        <v>21.451386153532948</v>
      </c>
      <c r="M292">
        <f t="shared" ca="1" si="33"/>
        <v>0</v>
      </c>
      <c r="N292">
        <f t="shared" ca="1" si="34"/>
        <v>0</v>
      </c>
    </row>
    <row r="293" spans="6:14" x14ac:dyDescent="0.75">
      <c r="F293">
        <v>288</v>
      </c>
      <c r="G293">
        <f t="shared" ca="1" si="28"/>
        <v>0.54995268613481441</v>
      </c>
      <c r="H293">
        <f t="shared" ca="1" si="28"/>
        <v>0.73773161508787732</v>
      </c>
      <c r="I293">
        <f t="shared" ca="1" si="29"/>
        <v>0.54995268613481441</v>
      </c>
      <c r="J293">
        <f t="shared" ca="1" si="30"/>
        <v>0.90042811155924807</v>
      </c>
      <c r="K293">
        <f t="shared" ca="1" si="31"/>
        <v>20.421942375252875</v>
      </c>
      <c r="L293">
        <f t="shared" ca="1" si="32"/>
        <v>24.768911579150487</v>
      </c>
      <c r="M293">
        <f t="shared" ca="1" si="33"/>
        <v>0</v>
      </c>
      <c r="N293">
        <f t="shared" ca="1" si="34"/>
        <v>0</v>
      </c>
    </row>
    <row r="294" spans="6:14" x14ac:dyDescent="0.75">
      <c r="F294">
        <v>289</v>
      </c>
      <c r="G294">
        <f t="shared" ca="1" si="28"/>
        <v>-1.5079565025746469</v>
      </c>
      <c r="H294">
        <f t="shared" ca="1" si="28"/>
        <v>-2.0778257571888719</v>
      </c>
      <c r="I294">
        <f t="shared" ca="1" si="29"/>
        <v>-1.5079565025746469</v>
      </c>
      <c r="J294">
        <f t="shared" ca="1" si="30"/>
        <v>-2.5053199322425437</v>
      </c>
      <c r="K294">
        <f t="shared" ca="1" si="31"/>
        <v>12.208502463668641</v>
      </c>
      <c r="L294">
        <f t="shared" ca="1" si="32"/>
        <v>10.571400518536207</v>
      </c>
      <c r="M294">
        <f t="shared" ca="1" si="33"/>
        <v>0</v>
      </c>
      <c r="N294">
        <f t="shared" ca="1" si="34"/>
        <v>0</v>
      </c>
    </row>
    <row r="295" spans="6:14" x14ac:dyDescent="0.75">
      <c r="F295">
        <v>290</v>
      </c>
      <c r="G295">
        <f t="shared" ca="1" si="28"/>
        <v>1.0519610798422094</v>
      </c>
      <c r="H295">
        <f t="shared" ca="1" si="28"/>
        <v>0.26488153989269092</v>
      </c>
      <c r="I295">
        <f t="shared" ca="1" si="29"/>
        <v>1.0519610798422094</v>
      </c>
      <c r="J295">
        <f t="shared" ca="1" si="30"/>
        <v>0.9641734802436307</v>
      </c>
      <c r="K295">
        <f t="shared" ca="1" si="31"/>
        <v>23.152714434688562</v>
      </c>
      <c r="L295">
        <f t="shared" ca="1" si="32"/>
        <v>25.166799447055681</v>
      </c>
      <c r="M295">
        <f t="shared" ca="1" si="33"/>
        <v>0</v>
      </c>
      <c r="N295">
        <f t="shared" ca="1" si="34"/>
        <v>0</v>
      </c>
    </row>
    <row r="296" spans="6:14" x14ac:dyDescent="0.75">
      <c r="F296">
        <v>291</v>
      </c>
      <c r="G296">
        <f t="shared" ca="1" si="28"/>
        <v>1.5688312479491144</v>
      </c>
      <c r="H296">
        <f t="shared" ca="1" si="28"/>
        <v>-2.1730270993682921</v>
      </c>
      <c r="I296">
        <f t="shared" ca="1" si="29"/>
        <v>1.5688312479491144</v>
      </c>
      <c r="J296">
        <f t="shared" ca="1" si="30"/>
        <v>-0.26069888832130017</v>
      </c>
      <c r="K296">
        <f t="shared" ca="1" si="31"/>
        <v>26.346345373974998</v>
      </c>
      <c r="L296">
        <f t="shared" ca="1" si="32"/>
        <v>18.528453016677453</v>
      </c>
      <c r="M296">
        <f t="shared" ca="1" si="33"/>
        <v>0</v>
      </c>
      <c r="N296">
        <f t="shared" ca="1" si="34"/>
        <v>0</v>
      </c>
    </row>
    <row r="297" spans="6:14" x14ac:dyDescent="0.75">
      <c r="F297">
        <v>292</v>
      </c>
      <c r="G297">
        <f t="shared" ca="1" si="28"/>
        <v>0.57728525053558444</v>
      </c>
      <c r="H297">
        <f t="shared" ca="1" si="28"/>
        <v>0.72376667480053103</v>
      </c>
      <c r="I297">
        <f t="shared" ca="1" si="29"/>
        <v>0.57728525053558444</v>
      </c>
      <c r="J297">
        <f t="shared" ca="1" si="30"/>
        <v>0.91169059509127937</v>
      </c>
      <c r="K297">
        <f t="shared" ca="1" si="31"/>
        <v>20.561966245644541</v>
      </c>
      <c r="L297">
        <f t="shared" ca="1" si="32"/>
        <v>24.838749716563086</v>
      </c>
      <c r="M297">
        <f t="shared" ca="1" si="33"/>
        <v>0</v>
      </c>
      <c r="N297">
        <f t="shared" ca="1" si="34"/>
        <v>0</v>
      </c>
    </row>
    <row r="298" spans="6:14" x14ac:dyDescent="0.75">
      <c r="F298">
        <v>293</v>
      </c>
      <c r="G298">
        <f t="shared" ca="1" si="28"/>
        <v>1.5794778478459091</v>
      </c>
      <c r="H298">
        <f t="shared" ca="1" si="28"/>
        <v>0.4627310662675484</v>
      </c>
      <c r="I298">
        <f t="shared" ca="1" si="29"/>
        <v>1.5794778478459091</v>
      </c>
      <c r="J298">
        <f t="shared" ca="1" si="30"/>
        <v>1.4906762171963523</v>
      </c>
      <c r="K298">
        <f t="shared" ca="1" si="31"/>
        <v>26.416563530082222</v>
      </c>
      <c r="L298">
        <f t="shared" ca="1" si="32"/>
        <v>28.707296613390184</v>
      </c>
      <c r="M298">
        <f t="shared" ca="1" si="33"/>
        <v>0</v>
      </c>
      <c r="N298">
        <f t="shared" ca="1" si="34"/>
        <v>0</v>
      </c>
    </row>
    <row r="299" spans="6:14" x14ac:dyDescent="0.75">
      <c r="F299">
        <v>294</v>
      </c>
      <c r="G299">
        <f t="shared" ca="1" si="28"/>
        <v>0.4059258077742634</v>
      </c>
      <c r="H299">
        <f t="shared" ca="1" si="28"/>
        <v>0.29116561660778217</v>
      </c>
      <c r="I299">
        <f t="shared" ca="1" si="29"/>
        <v>0.4059258077742634</v>
      </c>
      <c r="J299">
        <f t="shared" ca="1" si="30"/>
        <v>0.49703230879993998</v>
      </c>
      <c r="K299">
        <f t="shared" ca="1" si="31"/>
        <v>19.699696112030896</v>
      </c>
      <c r="L299">
        <f t="shared" ca="1" si="32"/>
        <v>22.392819529522825</v>
      </c>
      <c r="M299">
        <f t="shared" ca="1" si="33"/>
        <v>0</v>
      </c>
      <c r="N299">
        <f t="shared" ca="1" si="34"/>
        <v>0</v>
      </c>
    </row>
    <row r="300" spans="6:14" x14ac:dyDescent="0.75">
      <c r="F300">
        <v>295</v>
      </c>
      <c r="G300">
        <f t="shared" ca="1" si="28"/>
        <v>-0.71782795271701327</v>
      </c>
      <c r="H300">
        <f t="shared" ca="1" si="28"/>
        <v>0.3594195523969802</v>
      </c>
      <c r="I300">
        <f t="shared" ca="1" si="29"/>
        <v>-0.71782795271701327</v>
      </c>
      <c r="J300">
        <f t="shared" ca="1" si="30"/>
        <v>-0.30063727654362021</v>
      </c>
      <c r="K300">
        <f t="shared" ca="1" si="31"/>
        <v>14.874744424188236</v>
      </c>
      <c r="L300">
        <f t="shared" ca="1" si="32"/>
        <v>18.344374383993745</v>
      </c>
      <c r="M300">
        <f t="shared" ca="1" si="33"/>
        <v>0</v>
      </c>
      <c r="N300">
        <f t="shared" ca="1" si="34"/>
        <v>0</v>
      </c>
    </row>
    <row r="301" spans="6:14" x14ac:dyDescent="0.75">
      <c r="F301">
        <v>296</v>
      </c>
      <c r="G301">
        <f t="shared" ca="1" si="28"/>
        <v>-0.17740717836875641</v>
      </c>
      <c r="H301">
        <f t="shared" ca="1" si="28"/>
        <v>-0.29272265469878977</v>
      </c>
      <c r="I301">
        <f t="shared" ca="1" si="29"/>
        <v>-0.17740717836875641</v>
      </c>
      <c r="J301">
        <f t="shared" ca="1" si="30"/>
        <v>-0.32667322063847493</v>
      </c>
      <c r="K301">
        <f t="shared" ca="1" si="31"/>
        <v>17.026483133942403</v>
      </c>
      <c r="L301">
        <f t="shared" ca="1" si="32"/>
        <v>18.225358862889212</v>
      </c>
      <c r="M301">
        <f t="shared" ca="1" si="33"/>
        <v>0</v>
      </c>
      <c r="N301">
        <f t="shared" ca="1" si="34"/>
        <v>0</v>
      </c>
    </row>
    <row r="302" spans="6:14" x14ac:dyDescent="0.75">
      <c r="F302">
        <v>297</v>
      </c>
      <c r="G302">
        <f t="shared" ca="1" si="28"/>
        <v>2.4587149586760018</v>
      </c>
      <c r="H302">
        <f t="shared" ca="1" si="28"/>
        <v>-0.43463156218108567</v>
      </c>
      <c r="I302">
        <f t="shared" ca="1" si="29"/>
        <v>2.4587149586760018</v>
      </c>
      <c r="J302">
        <f t="shared" ca="1" si="30"/>
        <v>1.5565544626393368</v>
      </c>
      <c r="K302">
        <f t="shared" ca="1" si="31"/>
        <v>32.910787697438934</v>
      </c>
      <c r="L302">
        <f t="shared" ca="1" si="32"/>
        <v>29.184008034995564</v>
      </c>
      <c r="M302">
        <f t="shared" ca="1" si="33"/>
        <v>0</v>
      </c>
      <c r="N302">
        <f t="shared" ca="1" si="34"/>
        <v>0</v>
      </c>
    </row>
    <row r="303" spans="6:14" x14ac:dyDescent="0.75">
      <c r="F303">
        <v>298</v>
      </c>
      <c r="G303">
        <f t="shared" ca="1" si="28"/>
        <v>-0.67788940877154102</v>
      </c>
      <c r="H303">
        <f t="shared" ca="1" si="28"/>
        <v>-0.47833965969155823</v>
      </c>
      <c r="I303">
        <f t="shared" ca="1" si="29"/>
        <v>-0.67788940877154102</v>
      </c>
      <c r="J303">
        <f t="shared" ca="1" si="30"/>
        <v>-0.8248090020194383</v>
      </c>
      <c r="K303">
        <f t="shared" ca="1" si="31"/>
        <v>15.024007260160035</v>
      </c>
      <c r="L303">
        <f t="shared" ca="1" si="32"/>
        <v>16.091320432479421</v>
      </c>
      <c r="M303">
        <f t="shared" ca="1" si="33"/>
        <v>0</v>
      </c>
      <c r="N303">
        <f t="shared" ca="1" si="34"/>
        <v>0</v>
      </c>
    </row>
    <row r="304" spans="6:14" x14ac:dyDescent="0.75">
      <c r="F304">
        <v>299</v>
      </c>
      <c r="G304">
        <f t="shared" ca="1" si="28"/>
        <v>-8.647553325895467E-2</v>
      </c>
      <c r="H304">
        <f t="shared" ca="1" si="28"/>
        <v>6.668832996693139E-3</v>
      </c>
      <c r="I304">
        <f t="shared" ca="1" si="29"/>
        <v>-8.647553325895467E-2</v>
      </c>
      <c r="J304">
        <f t="shared" ca="1" si="30"/>
        <v>-6.0445631533148081E-2</v>
      </c>
      <c r="K304">
        <f t="shared" ca="1" si="31"/>
        <v>17.417977710389138</v>
      </c>
      <c r="L304">
        <f t="shared" ca="1" si="32"/>
        <v>19.479660417008922</v>
      </c>
      <c r="M304">
        <f t="shared" ca="1" si="33"/>
        <v>0</v>
      </c>
      <c r="N304">
        <f t="shared" ca="1" si="34"/>
        <v>0</v>
      </c>
    </row>
    <row r="305" spans="6:14" x14ac:dyDescent="0.75">
      <c r="F305">
        <v>300</v>
      </c>
      <c r="G305">
        <f t="shared" ca="1" si="28"/>
        <v>0.32899127196668032</v>
      </c>
      <c r="H305">
        <f t="shared" ca="1" si="28"/>
        <v>-0.22132244315172092</v>
      </c>
      <c r="I305">
        <f t="shared" ca="1" si="29"/>
        <v>0.32899127196668032</v>
      </c>
      <c r="J305">
        <f t="shared" ca="1" si="30"/>
        <v>0.10035241794083924</v>
      </c>
      <c r="K305">
        <f t="shared" ca="1" si="31"/>
        <v>19.32441989953924</v>
      </c>
      <c r="L305">
        <f t="shared" ca="1" si="32"/>
        <v>20.278685884711152</v>
      </c>
      <c r="M305">
        <f t="shared" ca="1" si="33"/>
        <v>0</v>
      </c>
      <c r="N305">
        <f t="shared" ca="1" si="34"/>
        <v>0</v>
      </c>
    </row>
    <row r="306" spans="6:14" x14ac:dyDescent="0.75">
      <c r="F306">
        <v>301</v>
      </c>
      <c r="G306">
        <f t="shared" ca="1" si="28"/>
        <v>0.89097342387478251</v>
      </c>
      <c r="H306">
        <f t="shared" ca="1" si="28"/>
        <v>1.2240601477325335</v>
      </c>
      <c r="I306">
        <f t="shared" ca="1" si="29"/>
        <v>0.89097342387478251</v>
      </c>
      <c r="J306">
        <f t="shared" ca="1" si="30"/>
        <v>1.4778697530774036</v>
      </c>
      <c r="K306">
        <f t="shared" ca="1" si="31"/>
        <v>22.239391621611617</v>
      </c>
      <c r="L306">
        <f t="shared" ca="1" si="32"/>
        <v>28.615533845340224</v>
      </c>
      <c r="M306">
        <f t="shared" ca="1" si="33"/>
        <v>0</v>
      </c>
      <c r="N306">
        <f t="shared" ca="1" si="34"/>
        <v>0</v>
      </c>
    </row>
    <row r="307" spans="6:14" x14ac:dyDescent="0.75">
      <c r="F307">
        <v>302</v>
      </c>
      <c r="G307">
        <f t="shared" ca="1" si="28"/>
        <v>-0.3839827603783551</v>
      </c>
      <c r="H307">
        <f t="shared" ca="1" si="28"/>
        <v>-1.9940539983614696</v>
      </c>
      <c r="I307">
        <f t="shared" ca="1" si="29"/>
        <v>-0.3839827603783551</v>
      </c>
      <c r="J307">
        <f t="shared" ca="1" si="30"/>
        <v>-1.6069298154083782</v>
      </c>
      <c r="K307">
        <f t="shared" ca="1" si="31"/>
        <v>16.169488942493331</v>
      </c>
      <c r="L307">
        <f t="shared" ca="1" si="32"/>
        <v>13.233477851079581</v>
      </c>
      <c r="M307">
        <f t="shared" ca="1" si="33"/>
        <v>0</v>
      </c>
      <c r="N307">
        <f t="shared" ca="1" si="34"/>
        <v>0</v>
      </c>
    </row>
    <row r="308" spans="6:14" x14ac:dyDescent="0.75">
      <c r="F308">
        <v>303</v>
      </c>
      <c r="G308">
        <f t="shared" ca="1" si="28"/>
        <v>-1.9281115529562252</v>
      </c>
      <c r="H308">
        <f t="shared" ca="1" si="28"/>
        <v>1.4298663641467333</v>
      </c>
      <c r="I308">
        <f t="shared" ca="1" si="29"/>
        <v>-1.9281115529562252</v>
      </c>
      <c r="J308">
        <f t="shared" ca="1" si="30"/>
        <v>-0.50031596282007407</v>
      </c>
      <c r="K308">
        <f t="shared" ca="1" si="31"/>
        <v>10.991188096861162</v>
      </c>
      <c r="L308">
        <f t="shared" ca="1" si="32"/>
        <v>17.451110452130351</v>
      </c>
      <c r="M308">
        <f t="shared" ca="1" si="33"/>
        <v>0</v>
      </c>
      <c r="N308">
        <f t="shared" ca="1" si="34"/>
        <v>0</v>
      </c>
    </row>
    <row r="309" spans="6:14" x14ac:dyDescent="0.75">
      <c r="F309">
        <v>304</v>
      </c>
      <c r="G309">
        <f t="shared" ca="1" si="28"/>
        <v>0.1907885665913899</v>
      </c>
      <c r="H309">
        <f t="shared" ca="1" si="28"/>
        <v>-1.1640803380134628</v>
      </c>
      <c r="I309">
        <f t="shared" ca="1" si="29"/>
        <v>0.1907885665913899</v>
      </c>
      <c r="J309">
        <f t="shared" ca="1" si="30"/>
        <v>-0.62687534517736532</v>
      </c>
      <c r="K309">
        <f t="shared" ca="1" si="31"/>
        <v>18.668150678556977</v>
      </c>
      <c r="L309">
        <f t="shared" ca="1" si="32"/>
        <v>16.907603589064767</v>
      </c>
      <c r="M309">
        <f t="shared" ca="1" si="33"/>
        <v>0</v>
      </c>
      <c r="N309">
        <f t="shared" ca="1" si="34"/>
        <v>0</v>
      </c>
    </row>
    <row r="310" spans="6:14" x14ac:dyDescent="0.75">
      <c r="F310">
        <v>305</v>
      </c>
      <c r="G310">
        <f t="shared" ca="1" si="28"/>
        <v>0.48011526259590925</v>
      </c>
      <c r="H310">
        <f t="shared" ca="1" si="28"/>
        <v>-0.31145654334519574</v>
      </c>
      <c r="I310">
        <f t="shared" ca="1" si="29"/>
        <v>0.48011526259590925</v>
      </c>
      <c r="J310">
        <f t="shared" ca="1" si="30"/>
        <v>0.15407730747313264</v>
      </c>
      <c r="K310">
        <f t="shared" ca="1" si="31"/>
        <v>20.068482980825394</v>
      </c>
      <c r="L310">
        <f t="shared" ca="1" si="32"/>
        <v>20.552890755615955</v>
      </c>
      <c r="M310">
        <f t="shared" ca="1" si="33"/>
        <v>0</v>
      </c>
      <c r="N310">
        <f t="shared" ca="1" si="34"/>
        <v>0</v>
      </c>
    </row>
    <row r="311" spans="6:14" x14ac:dyDescent="0.75">
      <c r="F311">
        <v>306</v>
      </c>
      <c r="G311">
        <f t="shared" ca="1" si="28"/>
        <v>-0.15687547618559053</v>
      </c>
      <c r="H311">
        <f t="shared" ca="1" si="28"/>
        <v>1.5996008491750697</v>
      </c>
      <c r="I311">
        <f t="shared" ca="1" si="29"/>
        <v>-0.15687547618559053</v>
      </c>
      <c r="J311">
        <f t="shared" ca="1" si="30"/>
        <v>0.94037990383205039</v>
      </c>
      <c r="K311">
        <f t="shared" ca="1" si="31"/>
        <v>17.114103486170595</v>
      </c>
      <c r="L311">
        <f t="shared" ca="1" si="32"/>
        <v>25.01754176748987</v>
      </c>
      <c r="M311">
        <f t="shared" ca="1" si="33"/>
        <v>0</v>
      </c>
      <c r="N311">
        <f t="shared" ca="1" si="34"/>
        <v>0</v>
      </c>
    </row>
    <row r="312" spans="6:14" x14ac:dyDescent="0.75">
      <c r="F312">
        <v>307</v>
      </c>
      <c r="G312">
        <f t="shared" ca="1" si="28"/>
        <v>-0.33331950535600824</v>
      </c>
      <c r="H312">
        <f t="shared" ca="1" si="28"/>
        <v>-0.27741845329731329</v>
      </c>
      <c r="I312">
        <f t="shared" ca="1" si="29"/>
        <v>-0.33331950535600824</v>
      </c>
      <c r="J312">
        <f t="shared" ca="1" si="30"/>
        <v>-0.43348468814822555</v>
      </c>
      <c r="K312">
        <f t="shared" ca="1" si="31"/>
        <v>16.375591148757177</v>
      </c>
      <c r="L312">
        <f t="shared" ca="1" si="32"/>
        <v>17.745129812575652</v>
      </c>
      <c r="M312">
        <f t="shared" ca="1" si="33"/>
        <v>0</v>
      </c>
      <c r="N312">
        <f t="shared" ca="1" si="34"/>
        <v>0</v>
      </c>
    </row>
    <row r="313" spans="6:14" x14ac:dyDescent="0.75">
      <c r="F313">
        <v>308</v>
      </c>
      <c r="G313">
        <f t="shared" ca="1" si="28"/>
        <v>0.7741648167574452</v>
      </c>
      <c r="H313">
        <f t="shared" ca="1" si="28"/>
        <v>-0.53522509358666914</v>
      </c>
      <c r="I313">
        <f t="shared" ca="1" si="29"/>
        <v>0.7741648167574452</v>
      </c>
      <c r="J313">
        <f t="shared" ca="1" si="30"/>
        <v>0.22660548930018437</v>
      </c>
      <c r="K313">
        <f t="shared" ca="1" si="31"/>
        <v>21.599344393690515</v>
      </c>
      <c r="L313">
        <f t="shared" ca="1" si="32"/>
        <v>20.928955816231909</v>
      </c>
      <c r="M313">
        <f t="shared" ca="1" si="33"/>
        <v>0</v>
      </c>
      <c r="N313">
        <f t="shared" ca="1" si="34"/>
        <v>0</v>
      </c>
    </row>
    <row r="314" spans="6:14" x14ac:dyDescent="0.75">
      <c r="F314">
        <v>309</v>
      </c>
      <c r="G314">
        <f t="shared" ca="1" si="28"/>
        <v>1.3351154786590087</v>
      </c>
      <c r="H314">
        <f t="shared" ca="1" si="28"/>
        <v>-0.6223162864181635</v>
      </c>
      <c r="I314">
        <f t="shared" ca="1" si="29"/>
        <v>1.3351154786590087</v>
      </c>
      <c r="J314">
        <f t="shared" ca="1" si="30"/>
        <v>0.58971307632233072</v>
      </c>
      <c r="K314">
        <f t="shared" ca="1" si="31"/>
        <v>24.851065467045032</v>
      </c>
      <c r="L314">
        <f t="shared" ca="1" si="32"/>
        <v>22.91772302917126</v>
      </c>
      <c r="M314">
        <f t="shared" ca="1" si="33"/>
        <v>0</v>
      </c>
      <c r="N314">
        <f t="shared" ca="1" si="34"/>
        <v>0</v>
      </c>
    </row>
    <row r="315" spans="6:14" x14ac:dyDescent="0.75">
      <c r="F315">
        <v>310</v>
      </c>
      <c r="G315">
        <f t="shared" ca="1" si="28"/>
        <v>0.82188808752947329</v>
      </c>
      <c r="H315">
        <f t="shared" ca="1" si="28"/>
        <v>0.92179041286852903</v>
      </c>
      <c r="I315">
        <f t="shared" ca="1" si="29"/>
        <v>0.82188808752947329</v>
      </c>
      <c r="J315">
        <f t="shared" ca="1" si="30"/>
        <v>1.2261231139905253</v>
      </c>
      <c r="K315">
        <f t="shared" ca="1" si="31"/>
        <v>21.858585638836047</v>
      </c>
      <c r="L315">
        <f t="shared" ca="1" si="32"/>
        <v>26.870070652721747</v>
      </c>
      <c r="M315">
        <f t="shared" ca="1" si="33"/>
        <v>0</v>
      </c>
      <c r="N315">
        <f t="shared" ca="1" si="34"/>
        <v>0</v>
      </c>
    </row>
    <row r="316" spans="6:14" x14ac:dyDescent="0.75">
      <c r="F316">
        <v>311</v>
      </c>
      <c r="G316">
        <f t="shared" ca="1" si="28"/>
        <v>4.0078799969734923E-2</v>
      </c>
      <c r="H316">
        <f t="shared" ca="1" si="28"/>
        <v>0.36860441563044366</v>
      </c>
      <c r="I316">
        <f t="shared" ca="1" si="29"/>
        <v>4.0078799969734923E-2</v>
      </c>
      <c r="J316">
        <f t="shared" ca="1" si="30"/>
        <v>0.27386800395691213</v>
      </c>
      <c r="K316">
        <f t="shared" ca="1" si="31"/>
        <v>17.977868217021815</v>
      </c>
      <c r="L316">
        <f t="shared" ca="1" si="32"/>
        <v>21.177711293623197</v>
      </c>
      <c r="M316">
        <f t="shared" ca="1" si="33"/>
        <v>0</v>
      </c>
      <c r="N316">
        <f t="shared" ca="1" si="34"/>
        <v>0</v>
      </c>
    </row>
    <row r="317" spans="6:14" x14ac:dyDescent="0.75">
      <c r="F317">
        <v>312</v>
      </c>
      <c r="G317">
        <f t="shared" ca="1" si="28"/>
        <v>-0.57913671180310466</v>
      </c>
      <c r="H317">
        <f t="shared" ca="1" si="28"/>
        <v>0.13462429219786398</v>
      </c>
      <c r="I317">
        <f t="shared" ca="1" si="29"/>
        <v>-0.57913671180310466</v>
      </c>
      <c r="J317">
        <f t="shared" ca="1" si="30"/>
        <v>-0.34530693445641825</v>
      </c>
      <c r="K317">
        <f t="shared" ca="1" si="31"/>
        <v>15.399539092994782</v>
      </c>
      <c r="L317">
        <f t="shared" ca="1" si="32"/>
        <v>18.140654779704679</v>
      </c>
      <c r="M317">
        <f t="shared" ca="1" si="33"/>
        <v>0</v>
      </c>
      <c r="N317">
        <f t="shared" ca="1" si="34"/>
        <v>0</v>
      </c>
    </row>
    <row r="318" spans="6:14" x14ac:dyDescent="0.75">
      <c r="F318">
        <v>313</v>
      </c>
      <c r="G318">
        <f t="shared" ca="1" si="28"/>
        <v>0.82846696826418931</v>
      </c>
      <c r="H318">
        <f t="shared" ca="1" si="28"/>
        <v>-0.37115291118243454</v>
      </c>
      <c r="I318">
        <f t="shared" ca="1" si="29"/>
        <v>0.82846696826418931</v>
      </c>
      <c r="J318">
        <f t="shared" ca="1" si="30"/>
        <v>0.37585565085655048</v>
      </c>
      <c r="K318">
        <f t="shared" ca="1" si="31"/>
        <v>21.894566476917234</v>
      </c>
      <c r="L318">
        <f t="shared" ca="1" si="32"/>
        <v>21.724620144230595</v>
      </c>
      <c r="M318">
        <f t="shared" ca="1" si="33"/>
        <v>0</v>
      </c>
      <c r="N318">
        <f t="shared" ca="1" si="34"/>
        <v>0</v>
      </c>
    </row>
    <row r="319" spans="6:14" x14ac:dyDescent="0.75">
      <c r="F319">
        <v>314</v>
      </c>
      <c r="G319">
        <f t="shared" ca="1" si="28"/>
        <v>1.5340662056796215</v>
      </c>
      <c r="H319">
        <f t="shared" ca="1" si="28"/>
        <v>0.49170732305019993</v>
      </c>
      <c r="I319">
        <f t="shared" ca="1" si="29"/>
        <v>1.5340662056796215</v>
      </c>
      <c r="J319">
        <f t="shared" ca="1" si="30"/>
        <v>1.4757834779147476</v>
      </c>
      <c r="K319">
        <f t="shared" ca="1" si="31"/>
        <v>26.118354620018749</v>
      </c>
      <c r="L319">
        <f t="shared" ca="1" si="32"/>
        <v>28.600612767480822</v>
      </c>
      <c r="M319">
        <f t="shared" ca="1" si="33"/>
        <v>0</v>
      </c>
      <c r="N319">
        <f t="shared" ca="1" si="34"/>
        <v>0</v>
      </c>
    </row>
    <row r="320" spans="6:14" x14ac:dyDescent="0.75">
      <c r="F320">
        <v>315</v>
      </c>
      <c r="G320">
        <f t="shared" ca="1" si="28"/>
        <v>-1.0781750666998227</v>
      </c>
      <c r="H320">
        <f t="shared" ca="1" si="28"/>
        <v>0.15918443861900627</v>
      </c>
      <c r="I320">
        <f t="shared" ca="1" si="29"/>
        <v>-1.0781750666998227</v>
      </c>
      <c r="J320">
        <f t="shared" ca="1" si="30"/>
        <v>-0.70334069073053784</v>
      </c>
      <c r="K320">
        <f t="shared" ca="1" si="31"/>
        <v>13.593313143754971</v>
      </c>
      <c r="L320">
        <f t="shared" ca="1" si="32"/>
        <v>16.587461868914971</v>
      </c>
      <c r="M320">
        <f t="shared" ca="1" si="33"/>
        <v>0</v>
      </c>
      <c r="N320">
        <f t="shared" ca="1" si="34"/>
        <v>0</v>
      </c>
    </row>
    <row r="321" spans="6:14" x14ac:dyDescent="0.75">
      <c r="F321">
        <v>316</v>
      </c>
      <c r="G321">
        <f t="shared" ca="1" si="28"/>
        <v>0.10063141962874804</v>
      </c>
      <c r="H321">
        <f t="shared" ca="1" si="28"/>
        <v>0.82755558163218079</v>
      </c>
      <c r="I321">
        <f t="shared" ca="1" si="29"/>
        <v>0.10063141962874804</v>
      </c>
      <c r="J321">
        <f t="shared" ca="1" si="30"/>
        <v>0.62285013099210151</v>
      </c>
      <c r="K321">
        <f t="shared" ca="1" si="31"/>
        <v>18.252090342845133</v>
      </c>
      <c r="L321">
        <f t="shared" ca="1" si="32"/>
        <v>23.108368076005718</v>
      </c>
      <c r="M321">
        <f t="shared" ca="1" si="33"/>
        <v>0</v>
      </c>
      <c r="N321">
        <f t="shared" ca="1" si="34"/>
        <v>0</v>
      </c>
    </row>
    <row r="322" spans="6:14" x14ac:dyDescent="0.75">
      <c r="F322">
        <v>317</v>
      </c>
      <c r="G322">
        <f t="shared" ca="1" si="28"/>
        <v>-0.45710335553652859</v>
      </c>
      <c r="H322">
        <f t="shared" ca="1" si="28"/>
        <v>1.4793899968760407</v>
      </c>
      <c r="I322">
        <f t="shared" ca="1" si="29"/>
        <v>-0.45710335553652859</v>
      </c>
      <c r="J322">
        <f t="shared" ca="1" si="30"/>
        <v>0.63569698930025997</v>
      </c>
      <c r="K322">
        <f t="shared" ca="1" si="31"/>
        <v>15.876593520926159</v>
      </c>
      <c r="L322">
        <f t="shared" ca="1" si="32"/>
        <v>23.182704868988502</v>
      </c>
      <c r="M322">
        <f t="shared" ca="1" si="33"/>
        <v>0</v>
      </c>
      <c r="N322">
        <f t="shared" ca="1" si="34"/>
        <v>0</v>
      </c>
    </row>
    <row r="323" spans="6:14" x14ac:dyDescent="0.75">
      <c r="F323">
        <v>318</v>
      </c>
      <c r="G323">
        <f t="shared" ca="1" si="28"/>
        <v>0.28083208108228958</v>
      </c>
      <c r="H323">
        <f t="shared" ca="1" si="28"/>
        <v>-0.45465126629244473</v>
      </c>
      <c r="I323">
        <f t="shared" ca="1" si="29"/>
        <v>0.28083208108228958</v>
      </c>
      <c r="J323">
        <f t="shared" ca="1" si="30"/>
        <v>-9.0099485155885783E-2</v>
      </c>
      <c r="K323">
        <f t="shared" ca="1" si="31"/>
        <v>19.093152791110626</v>
      </c>
      <c r="L323">
        <f t="shared" ca="1" si="32"/>
        <v>19.335782642612841</v>
      </c>
      <c r="M323">
        <f t="shared" ca="1" si="33"/>
        <v>0</v>
      </c>
      <c r="N323">
        <f t="shared" ca="1" si="34"/>
        <v>0</v>
      </c>
    </row>
    <row r="324" spans="6:14" x14ac:dyDescent="0.75">
      <c r="F324">
        <v>319</v>
      </c>
      <c r="G324">
        <f t="shared" ca="1" si="28"/>
        <v>1.2292777750611277</v>
      </c>
      <c r="H324">
        <f t="shared" ca="1" si="28"/>
        <v>0.24872793989368777</v>
      </c>
      <c r="I324">
        <f t="shared" ca="1" si="29"/>
        <v>1.2292777750611277</v>
      </c>
      <c r="J324">
        <f t="shared" ca="1" si="30"/>
        <v>1.0864763995638755</v>
      </c>
      <c r="K324">
        <f t="shared" ca="1" si="31"/>
        <v>24.202143452590889</v>
      </c>
      <c r="L324">
        <f t="shared" ca="1" si="32"/>
        <v>25.948177435473688</v>
      </c>
      <c r="M324">
        <f t="shared" ca="1" si="33"/>
        <v>0</v>
      </c>
      <c r="N324">
        <f t="shared" ca="1" si="34"/>
        <v>0</v>
      </c>
    </row>
    <row r="325" spans="6:14" x14ac:dyDescent="0.75">
      <c r="F325">
        <v>320</v>
      </c>
      <c r="G325">
        <f t="shared" ca="1" si="28"/>
        <v>-0.29320617854983289</v>
      </c>
      <c r="H325">
        <f t="shared" ca="1" si="28"/>
        <v>-0.20004139286894482</v>
      </c>
      <c r="I325">
        <f t="shared" ca="1" si="29"/>
        <v>-0.29320617854983289</v>
      </c>
      <c r="J325">
        <f t="shared" ca="1" si="30"/>
        <v>-0.35221957827492406</v>
      </c>
      <c r="K325">
        <f t="shared" ca="1" si="31"/>
        <v>16.540637193662125</v>
      </c>
      <c r="L325">
        <f t="shared" ca="1" si="32"/>
        <v>18.109331881723264</v>
      </c>
      <c r="M325">
        <f t="shared" ca="1" si="33"/>
        <v>0</v>
      </c>
      <c r="N325">
        <f t="shared" ca="1" si="34"/>
        <v>0</v>
      </c>
    </row>
    <row r="326" spans="6:14" x14ac:dyDescent="0.75">
      <c r="F326">
        <v>321</v>
      </c>
      <c r="G326">
        <f t="shared" ca="1" si="28"/>
        <v>0.54749482350480416</v>
      </c>
      <c r="H326">
        <f t="shared" ca="1" si="28"/>
        <v>0.41430354292824817</v>
      </c>
      <c r="I326">
        <f t="shared" ca="1" si="29"/>
        <v>0.54749482350480416</v>
      </c>
      <c r="J326">
        <f t="shared" ca="1" si="30"/>
        <v>0.68465715309888253</v>
      </c>
      <c r="K326">
        <f t="shared" ca="1" si="31"/>
        <v>20.409397647550669</v>
      </c>
      <c r="L326">
        <f t="shared" ca="1" si="32"/>
        <v>23.468205833217979</v>
      </c>
      <c r="M326">
        <f t="shared" ca="1" si="33"/>
        <v>0</v>
      </c>
      <c r="N326">
        <f t="shared" ca="1" si="34"/>
        <v>0</v>
      </c>
    </row>
    <row r="327" spans="6:14" x14ac:dyDescent="0.75">
      <c r="F327">
        <v>322</v>
      </c>
      <c r="G327">
        <f t="shared" ref="G327:H390" ca="1" si="35">NORMSINV(RAND())</f>
        <v>-0.60003178137889635</v>
      </c>
      <c r="H327">
        <f t="shared" ca="1" si="35"/>
        <v>0.9803576221437208</v>
      </c>
      <c r="I327">
        <f t="shared" ref="I327:I390" ca="1" si="36">G327</f>
        <v>-0.60003178137889635</v>
      </c>
      <c r="J327">
        <f t="shared" ref="J327:J390" ca="1" si="37">G327*$C$8+SQRT(1-$C$8^2)*H327</f>
        <v>0.19842177999055621</v>
      </c>
      <c r="K327">
        <f t="shared" ref="K327:K390" ca="1" si="38">C$3*EXP(($C$5-0.5*C$4^2)*$C$6+C$4*SQRT($C$6)*I327)</f>
        <v>15.319305226776121</v>
      </c>
      <c r="L327">
        <f t="shared" ref="L327:L390" ca="1" si="39">D$3*EXP(($C$5-0.5*D$4^2)*$C$6+D$4*SQRT($C$6)*J327)</f>
        <v>20.782010206482767</v>
      </c>
      <c r="M327">
        <f t="shared" ref="M327:M390" ca="1" si="40">MAX(SQRT(K327*L327)-$C$7,0)</f>
        <v>0</v>
      </c>
      <c r="N327">
        <f t="shared" ref="N327:N390" ca="1" si="41">MAX((K327+L327)*0.5-$C$7,0)</f>
        <v>0</v>
      </c>
    </row>
    <row r="328" spans="6:14" x14ac:dyDescent="0.75">
      <c r="F328">
        <v>323</v>
      </c>
      <c r="G328">
        <f t="shared" ca="1" si="35"/>
        <v>-0.10077099890929367</v>
      </c>
      <c r="H328">
        <f t="shared" ca="1" si="35"/>
        <v>-0.32361802518335286</v>
      </c>
      <c r="I328">
        <f t="shared" ca="1" si="36"/>
        <v>-0.10077099890929367</v>
      </c>
      <c r="J328">
        <f t="shared" ca="1" si="37"/>
        <v>-0.28963145278521762</v>
      </c>
      <c r="K328">
        <f t="shared" ca="1" si="38"/>
        <v>17.355839288223461</v>
      </c>
      <c r="L328">
        <f t="shared" ca="1" si="39"/>
        <v>18.394917623712903</v>
      </c>
      <c r="M328">
        <f t="shared" ca="1" si="40"/>
        <v>0</v>
      </c>
      <c r="N328">
        <f t="shared" ca="1" si="41"/>
        <v>0</v>
      </c>
    </row>
    <row r="329" spans="6:14" x14ac:dyDescent="0.75">
      <c r="F329">
        <v>324</v>
      </c>
      <c r="G329">
        <f t="shared" ca="1" si="35"/>
        <v>0.12230754945896409</v>
      </c>
      <c r="H329">
        <f t="shared" ca="1" si="35"/>
        <v>0.51882234769753544</v>
      </c>
      <c r="I329">
        <f t="shared" ca="1" si="36"/>
        <v>0.12230754945896409</v>
      </c>
      <c r="J329">
        <f t="shared" ca="1" si="37"/>
        <v>0.43489938875181389</v>
      </c>
      <c r="K329">
        <f t="shared" ca="1" si="38"/>
        <v>18.35126749222481</v>
      </c>
      <c r="L329">
        <f t="shared" ca="1" si="39"/>
        <v>22.04767426328527</v>
      </c>
      <c r="M329">
        <f t="shared" ca="1" si="40"/>
        <v>0</v>
      </c>
      <c r="N329">
        <f t="shared" ca="1" si="41"/>
        <v>0</v>
      </c>
    </row>
    <row r="330" spans="6:14" x14ac:dyDescent="0.75">
      <c r="F330">
        <v>325</v>
      </c>
      <c r="G330">
        <f t="shared" ca="1" si="35"/>
        <v>-0.74139453331550653</v>
      </c>
      <c r="H330">
        <f t="shared" ca="1" si="35"/>
        <v>-0.72407666346268196</v>
      </c>
      <c r="I330">
        <f t="shared" ca="1" si="36"/>
        <v>-0.74139453331550653</v>
      </c>
      <c r="J330">
        <f t="shared" ca="1" si="37"/>
        <v>-1.0349775954035463</v>
      </c>
      <c r="K330">
        <f t="shared" ca="1" si="38"/>
        <v>14.787365364311313</v>
      </c>
      <c r="L330">
        <f t="shared" ca="1" si="39"/>
        <v>15.267675403024118</v>
      </c>
      <c r="M330">
        <f t="shared" ca="1" si="40"/>
        <v>0</v>
      </c>
      <c r="N330">
        <f t="shared" ca="1" si="41"/>
        <v>0</v>
      </c>
    </row>
    <row r="331" spans="6:14" x14ac:dyDescent="0.75">
      <c r="F331">
        <v>326</v>
      </c>
      <c r="G331">
        <f t="shared" ca="1" si="35"/>
        <v>-0.1938216270440089</v>
      </c>
      <c r="H331">
        <f t="shared" ca="1" si="35"/>
        <v>-0.17060815357772918</v>
      </c>
      <c r="I331">
        <f t="shared" ca="1" si="36"/>
        <v>-0.1938216270440089</v>
      </c>
      <c r="J331">
        <f t="shared" ca="1" si="37"/>
        <v>-0.25821290678465314</v>
      </c>
      <c r="K331">
        <f t="shared" ca="1" si="38"/>
        <v>16.956756214527317</v>
      </c>
      <c r="L331">
        <f t="shared" ca="1" si="39"/>
        <v>18.539971943812226</v>
      </c>
      <c r="M331">
        <f t="shared" ca="1" si="40"/>
        <v>0</v>
      </c>
      <c r="N331">
        <f t="shared" ca="1" si="41"/>
        <v>0</v>
      </c>
    </row>
    <row r="332" spans="6:14" x14ac:dyDescent="0.75">
      <c r="F332">
        <v>327</v>
      </c>
      <c r="G332">
        <f t="shared" ca="1" si="35"/>
        <v>-0.39516904405469444</v>
      </c>
      <c r="H332">
        <f t="shared" ca="1" si="35"/>
        <v>1.4979352726468667</v>
      </c>
      <c r="I332">
        <f t="shared" ca="1" si="36"/>
        <v>-0.39516904405469444</v>
      </c>
      <c r="J332">
        <f t="shared" ca="1" si="37"/>
        <v>0.69441426983281485</v>
      </c>
      <c r="K332">
        <f t="shared" ca="1" si="38"/>
        <v>16.124332990281349</v>
      </c>
      <c r="L332">
        <f t="shared" ca="1" si="39"/>
        <v>23.52552121487005</v>
      </c>
      <c r="M332">
        <f t="shared" ca="1" si="40"/>
        <v>0</v>
      </c>
      <c r="N332">
        <f t="shared" ca="1" si="41"/>
        <v>0</v>
      </c>
    </row>
    <row r="333" spans="6:14" x14ac:dyDescent="0.75">
      <c r="F333">
        <v>328</v>
      </c>
      <c r="G333">
        <f t="shared" ca="1" si="35"/>
        <v>1.2298039814137056</v>
      </c>
      <c r="H333">
        <f t="shared" ca="1" si="35"/>
        <v>1.8556485088971024</v>
      </c>
      <c r="I333">
        <f t="shared" ca="1" si="36"/>
        <v>1.2298039814137056</v>
      </c>
      <c r="J333">
        <f t="shared" ca="1" si="37"/>
        <v>2.1497491048826696</v>
      </c>
      <c r="K333">
        <f t="shared" ca="1" si="38"/>
        <v>24.205327492426736</v>
      </c>
      <c r="L333">
        <f t="shared" ca="1" si="39"/>
        <v>33.84934163799673</v>
      </c>
      <c r="M333">
        <f t="shared" ca="1" si="40"/>
        <v>0</v>
      </c>
      <c r="N333">
        <f t="shared" ca="1" si="41"/>
        <v>0</v>
      </c>
    </row>
    <row r="334" spans="6:14" x14ac:dyDescent="0.75">
      <c r="F334">
        <v>329</v>
      </c>
      <c r="G334">
        <f t="shared" ca="1" si="35"/>
        <v>-0.75022581200236793</v>
      </c>
      <c r="H334">
        <f t="shared" ca="1" si="35"/>
        <v>-0.85460966268359861</v>
      </c>
      <c r="I334">
        <f t="shared" ca="1" si="36"/>
        <v>-0.75022581200236793</v>
      </c>
      <c r="J334">
        <f t="shared" ca="1" si="37"/>
        <v>-1.1279405178751756</v>
      </c>
      <c r="K334">
        <f t="shared" ca="1" si="38"/>
        <v>14.754753541925748</v>
      </c>
      <c r="L334">
        <f t="shared" ca="1" si="39"/>
        <v>14.916934990563902</v>
      </c>
      <c r="M334">
        <f t="shared" ca="1" si="40"/>
        <v>0</v>
      </c>
      <c r="N334">
        <f t="shared" ca="1" si="41"/>
        <v>0</v>
      </c>
    </row>
    <row r="335" spans="6:14" x14ac:dyDescent="0.75">
      <c r="F335">
        <v>330</v>
      </c>
      <c r="G335">
        <f t="shared" ca="1" si="35"/>
        <v>0.953033755127069</v>
      </c>
      <c r="H335">
        <f t="shared" ca="1" si="35"/>
        <v>-0.91290608429644071</v>
      </c>
      <c r="I335">
        <f t="shared" ca="1" si="36"/>
        <v>0.953033755127069</v>
      </c>
      <c r="J335">
        <f t="shared" ca="1" si="37"/>
        <v>0.11094469899376436</v>
      </c>
      <c r="K335">
        <f t="shared" ca="1" si="38"/>
        <v>22.587128229966662</v>
      </c>
      <c r="L335">
        <f t="shared" ca="1" si="39"/>
        <v>20.332456432452965</v>
      </c>
      <c r="M335">
        <f t="shared" ca="1" si="40"/>
        <v>0</v>
      </c>
      <c r="N335">
        <f t="shared" ca="1" si="41"/>
        <v>0</v>
      </c>
    </row>
    <row r="336" spans="6:14" x14ac:dyDescent="0.75">
      <c r="F336">
        <v>331</v>
      </c>
      <c r="G336">
        <f t="shared" ca="1" si="35"/>
        <v>0.39353648157759546</v>
      </c>
      <c r="H336">
        <f t="shared" ca="1" si="35"/>
        <v>1.2101486594470976</v>
      </c>
      <c r="I336">
        <f t="shared" ca="1" si="36"/>
        <v>0.39353648157759546</v>
      </c>
      <c r="J336">
        <f t="shared" ca="1" si="37"/>
        <v>1.0955904617620005</v>
      </c>
      <c r="K336">
        <f t="shared" ca="1" si="38"/>
        <v>19.638774018419873</v>
      </c>
      <c r="L336">
        <f t="shared" ca="1" si="39"/>
        <v>26.007368169137884</v>
      </c>
      <c r="M336">
        <f t="shared" ca="1" si="40"/>
        <v>0</v>
      </c>
      <c r="N336">
        <f t="shared" ca="1" si="41"/>
        <v>0</v>
      </c>
    </row>
    <row r="337" spans="6:14" x14ac:dyDescent="0.75">
      <c r="F337">
        <v>332</v>
      </c>
      <c r="G337">
        <f t="shared" ca="1" si="35"/>
        <v>0.11957282214416193</v>
      </c>
      <c r="H337">
        <f t="shared" ca="1" si="35"/>
        <v>0.25265687436312717</v>
      </c>
      <c r="I337">
        <f t="shared" ca="1" si="36"/>
        <v>0.11957282214416193</v>
      </c>
      <c r="J337">
        <f t="shared" ca="1" si="37"/>
        <v>0.25679643075705277</v>
      </c>
      <c r="K337">
        <f t="shared" ca="1" si="38"/>
        <v>18.33872535201197</v>
      </c>
      <c r="L337">
        <f t="shared" ca="1" si="39"/>
        <v>21.08751968247368</v>
      </c>
      <c r="M337">
        <f t="shared" ca="1" si="40"/>
        <v>0</v>
      </c>
      <c r="N337">
        <f t="shared" ca="1" si="41"/>
        <v>0</v>
      </c>
    </row>
    <row r="338" spans="6:14" x14ac:dyDescent="0.75">
      <c r="F338">
        <v>333</v>
      </c>
      <c r="G338">
        <f t="shared" ca="1" si="35"/>
        <v>-1.4125758005602034</v>
      </c>
      <c r="H338">
        <f t="shared" ca="1" si="35"/>
        <v>-0.91724435971286788</v>
      </c>
      <c r="I338">
        <f t="shared" ca="1" si="36"/>
        <v>-1.4125758005602034</v>
      </c>
      <c r="J338">
        <f t="shared" ca="1" si="37"/>
        <v>-1.6661319672393828</v>
      </c>
      <c r="K338">
        <f t="shared" ca="1" si="38"/>
        <v>12.503114931145607</v>
      </c>
      <c r="L338">
        <f t="shared" ca="1" si="39"/>
        <v>13.039057571260438</v>
      </c>
      <c r="M338">
        <f t="shared" ca="1" si="40"/>
        <v>0</v>
      </c>
      <c r="N338">
        <f t="shared" ca="1" si="41"/>
        <v>0</v>
      </c>
    </row>
    <row r="339" spans="6:14" x14ac:dyDescent="0.75">
      <c r="F339">
        <v>334</v>
      </c>
      <c r="G339">
        <f t="shared" ca="1" si="35"/>
        <v>1.3044305884455789</v>
      </c>
      <c r="H339">
        <f t="shared" ca="1" si="35"/>
        <v>-2.7406278782787417E-2</v>
      </c>
      <c r="I339">
        <f t="shared" ca="1" si="36"/>
        <v>1.3044305884455789</v>
      </c>
      <c r="J339">
        <f t="shared" ca="1" si="37"/>
        <v>0.96019539182894387</v>
      </c>
      <c r="K339">
        <f t="shared" ca="1" si="38"/>
        <v>24.661156760441791</v>
      </c>
      <c r="L339">
        <f t="shared" ca="1" si="39"/>
        <v>25.141782950518223</v>
      </c>
      <c r="M339">
        <f t="shared" ca="1" si="40"/>
        <v>0</v>
      </c>
      <c r="N339">
        <f t="shared" ca="1" si="41"/>
        <v>0</v>
      </c>
    </row>
    <row r="340" spans="6:14" x14ac:dyDescent="0.75">
      <c r="F340">
        <v>335</v>
      </c>
      <c r="G340">
        <f t="shared" ca="1" si="35"/>
        <v>-0.14894923320756026</v>
      </c>
      <c r="H340">
        <f t="shared" ca="1" si="35"/>
        <v>1.3713714354112687</v>
      </c>
      <c r="I340">
        <f t="shared" ca="1" si="36"/>
        <v>-0.14894923320756026</v>
      </c>
      <c r="J340">
        <f t="shared" ca="1" si="37"/>
        <v>0.79536501839330331</v>
      </c>
      <c r="K340">
        <f t="shared" ca="1" si="38"/>
        <v>17.148049743994463</v>
      </c>
      <c r="L340">
        <f t="shared" ca="1" si="39"/>
        <v>24.126806570008299</v>
      </c>
      <c r="M340">
        <f t="shared" ca="1" si="40"/>
        <v>0</v>
      </c>
      <c r="N340">
        <f t="shared" ca="1" si="41"/>
        <v>0</v>
      </c>
    </row>
    <row r="341" spans="6:14" x14ac:dyDescent="0.75">
      <c r="F341">
        <v>336</v>
      </c>
      <c r="G341">
        <f t="shared" ca="1" si="35"/>
        <v>0.8924948267935241</v>
      </c>
      <c r="H341">
        <f t="shared" ca="1" si="35"/>
        <v>-0.31966624007405486</v>
      </c>
      <c r="I341">
        <f t="shared" ca="1" si="36"/>
        <v>0.8924948267935241</v>
      </c>
      <c r="J341">
        <f t="shared" ca="1" si="37"/>
        <v>0.45793177665038842</v>
      </c>
      <c r="K341">
        <f t="shared" ca="1" si="38"/>
        <v>22.247851999296074</v>
      </c>
      <c r="L341">
        <f t="shared" ca="1" si="39"/>
        <v>22.174993115128025</v>
      </c>
      <c r="M341">
        <f t="shared" ca="1" si="40"/>
        <v>0</v>
      </c>
      <c r="N341">
        <f t="shared" ca="1" si="41"/>
        <v>0</v>
      </c>
    </row>
    <row r="342" spans="6:14" x14ac:dyDescent="0.75">
      <c r="F342">
        <v>337</v>
      </c>
      <c r="G342">
        <f t="shared" ca="1" si="35"/>
        <v>0.42795614125262088</v>
      </c>
      <c r="H342">
        <f t="shared" ca="1" si="35"/>
        <v>-0.51781752510265766</v>
      </c>
      <c r="I342">
        <f t="shared" ca="1" si="36"/>
        <v>0.42795614125262088</v>
      </c>
      <c r="J342">
        <f t="shared" ca="1" si="37"/>
        <v>-2.1536993043678898E-2</v>
      </c>
      <c r="K342">
        <f t="shared" ca="1" si="38"/>
        <v>19.808493160113922</v>
      </c>
      <c r="L342">
        <f t="shared" ca="1" si="39"/>
        <v>19.670066738300896</v>
      </c>
      <c r="M342">
        <f t="shared" ca="1" si="40"/>
        <v>0</v>
      </c>
      <c r="N342">
        <f t="shared" ca="1" si="41"/>
        <v>0</v>
      </c>
    </row>
    <row r="343" spans="6:14" x14ac:dyDescent="0.75">
      <c r="F343">
        <v>338</v>
      </c>
      <c r="G343">
        <f t="shared" ca="1" si="35"/>
        <v>-2.5356402107006404</v>
      </c>
      <c r="H343">
        <f t="shared" ca="1" si="35"/>
        <v>0.60371335337753906</v>
      </c>
      <c r="I343">
        <f t="shared" ca="1" si="36"/>
        <v>-2.5356402107006404</v>
      </c>
      <c r="J343">
        <f t="shared" ca="1" si="37"/>
        <v>-1.5024113089740243</v>
      </c>
      <c r="K343">
        <f t="shared" ca="1" si="38"/>
        <v>9.4424143532925076</v>
      </c>
      <c r="L343">
        <f t="shared" ca="1" si="39"/>
        <v>13.583820919796882</v>
      </c>
      <c r="M343">
        <f t="shared" ca="1" si="40"/>
        <v>0</v>
      </c>
      <c r="N343">
        <f t="shared" ca="1" si="41"/>
        <v>0</v>
      </c>
    </row>
    <row r="344" spans="6:14" x14ac:dyDescent="0.75">
      <c r="F344">
        <v>339</v>
      </c>
      <c r="G344">
        <f t="shared" ca="1" si="35"/>
        <v>-1.001538908765452</v>
      </c>
      <c r="H344">
        <f t="shared" ca="1" si="35"/>
        <v>-0.29955931048047257</v>
      </c>
      <c r="I344">
        <f t="shared" ca="1" si="36"/>
        <v>-1.001538908765452</v>
      </c>
      <c r="J344">
        <f t="shared" ca="1" si="37"/>
        <v>-0.94929404118541771</v>
      </c>
      <c r="K344">
        <f t="shared" ca="1" si="38"/>
        <v>13.856258817043912</v>
      </c>
      <c r="L344">
        <f t="shared" ca="1" si="39"/>
        <v>15.598250542536999</v>
      </c>
      <c r="M344">
        <f t="shared" ca="1" si="40"/>
        <v>0</v>
      </c>
      <c r="N344">
        <f t="shared" ca="1" si="41"/>
        <v>0</v>
      </c>
    </row>
    <row r="345" spans="6:14" x14ac:dyDescent="0.75">
      <c r="F345">
        <v>340</v>
      </c>
      <c r="G345">
        <f t="shared" ca="1" si="35"/>
        <v>-0.73430860791922681</v>
      </c>
      <c r="H345">
        <f t="shared" ca="1" si="35"/>
        <v>-1.8547317646179506</v>
      </c>
      <c r="I345">
        <f t="shared" ca="1" si="36"/>
        <v>-0.73430860791922681</v>
      </c>
      <c r="J345">
        <f t="shared" ca="1" si="37"/>
        <v>-1.7775212054171912</v>
      </c>
      <c r="K345">
        <f t="shared" ca="1" si="38"/>
        <v>14.813584122420043</v>
      </c>
      <c r="L345">
        <f t="shared" ca="1" si="39"/>
        <v>12.680964010700098</v>
      </c>
      <c r="M345">
        <f t="shared" ca="1" si="40"/>
        <v>0</v>
      </c>
      <c r="N345">
        <f t="shared" ca="1" si="41"/>
        <v>0</v>
      </c>
    </row>
    <row r="346" spans="6:14" x14ac:dyDescent="0.75">
      <c r="F346">
        <v>341</v>
      </c>
      <c r="G346">
        <f t="shared" ca="1" si="35"/>
        <v>0.20196092797274909</v>
      </c>
      <c r="H346">
        <f t="shared" ca="1" si="35"/>
        <v>0.4103864072811535</v>
      </c>
      <c r="I346">
        <f t="shared" ca="1" si="36"/>
        <v>0.20196092797274909</v>
      </c>
      <c r="J346">
        <f t="shared" ca="1" si="37"/>
        <v>0.42291578975636157</v>
      </c>
      <c r="K346">
        <f t="shared" ca="1" si="38"/>
        <v>18.720365396249083</v>
      </c>
      <c r="L346">
        <f t="shared" ca="1" si="39"/>
        <v>21.98172048627907</v>
      </c>
      <c r="M346">
        <f t="shared" ca="1" si="40"/>
        <v>0</v>
      </c>
      <c r="N346">
        <f t="shared" ca="1" si="41"/>
        <v>0</v>
      </c>
    </row>
    <row r="347" spans="6:14" x14ac:dyDescent="0.75">
      <c r="F347">
        <v>342</v>
      </c>
      <c r="G347">
        <f t="shared" ca="1" si="35"/>
        <v>0.78761381083503357</v>
      </c>
      <c r="H347">
        <f t="shared" ca="1" si="35"/>
        <v>0.20507228764692811</v>
      </c>
      <c r="I347">
        <f t="shared" ca="1" si="36"/>
        <v>0.78761381083503357</v>
      </c>
      <c r="J347">
        <f t="shared" ca="1" si="37"/>
        <v>0.72635292660249384</v>
      </c>
      <c r="K347">
        <f t="shared" ca="1" si="38"/>
        <v>21.672088981559853</v>
      </c>
      <c r="L347">
        <f t="shared" ca="1" si="39"/>
        <v>23.714116534883733</v>
      </c>
      <c r="M347">
        <f t="shared" ca="1" si="40"/>
        <v>0</v>
      </c>
      <c r="N347">
        <f t="shared" ca="1" si="41"/>
        <v>0</v>
      </c>
    </row>
    <row r="348" spans="6:14" x14ac:dyDescent="0.75">
      <c r="F348">
        <v>343</v>
      </c>
      <c r="G348">
        <f t="shared" ca="1" si="35"/>
        <v>0.47889120500515425</v>
      </c>
      <c r="H348">
        <f t="shared" ca="1" si="35"/>
        <v>7.9477296524853039E-2</v>
      </c>
      <c r="I348">
        <f t="shared" ca="1" si="36"/>
        <v>0.47889120500515425</v>
      </c>
      <c r="J348">
        <f t="shared" ca="1" si="37"/>
        <v>0.41173769412399053</v>
      </c>
      <c r="K348">
        <f t="shared" ca="1" si="38"/>
        <v>20.062342675652296</v>
      </c>
      <c r="L348">
        <f t="shared" ca="1" si="39"/>
        <v>21.920377794569049</v>
      </c>
      <c r="M348">
        <f t="shared" ca="1" si="40"/>
        <v>0</v>
      </c>
      <c r="N348">
        <f t="shared" ca="1" si="41"/>
        <v>0</v>
      </c>
    </row>
    <row r="349" spans="6:14" x14ac:dyDescent="0.75">
      <c r="F349">
        <v>344</v>
      </c>
      <c r="G349">
        <f t="shared" ca="1" si="35"/>
        <v>-1.1676438247603376</v>
      </c>
      <c r="H349">
        <f t="shared" ca="1" si="35"/>
        <v>0.69382494917491766</v>
      </c>
      <c r="I349">
        <f t="shared" ca="1" si="36"/>
        <v>-1.1676438247603376</v>
      </c>
      <c r="J349">
        <f t="shared" ca="1" si="37"/>
        <v>-0.41681080133803788</v>
      </c>
      <c r="K349">
        <f t="shared" ca="1" si="38"/>
        <v>13.292644029134802</v>
      </c>
      <c r="L349">
        <f t="shared" ca="1" si="39"/>
        <v>17.81925426957498</v>
      </c>
      <c r="M349">
        <f t="shared" ca="1" si="40"/>
        <v>0</v>
      </c>
      <c r="N349">
        <f t="shared" ca="1" si="41"/>
        <v>0</v>
      </c>
    </row>
    <row r="350" spans="6:14" x14ac:dyDescent="0.75">
      <c r="F350">
        <v>345</v>
      </c>
      <c r="G350">
        <f t="shared" ca="1" si="35"/>
        <v>-1.4103178298667616</v>
      </c>
      <c r="H350">
        <f t="shared" ca="1" si="35"/>
        <v>-1.1573480948937378</v>
      </c>
      <c r="I350">
        <f t="shared" ca="1" si="36"/>
        <v>-1.4103178298667616</v>
      </c>
      <c r="J350">
        <f t="shared" ca="1" si="37"/>
        <v>-1.8232521822558745</v>
      </c>
      <c r="K350">
        <f t="shared" ca="1" si="38"/>
        <v>12.510174840364465</v>
      </c>
      <c r="L350">
        <f t="shared" ca="1" si="39"/>
        <v>12.536811392987076</v>
      </c>
      <c r="M350">
        <f t="shared" ca="1" si="40"/>
        <v>0</v>
      </c>
      <c r="N350">
        <f t="shared" ca="1" si="41"/>
        <v>0</v>
      </c>
    </row>
    <row r="351" spans="6:14" x14ac:dyDescent="0.75">
      <c r="F351">
        <v>346</v>
      </c>
      <c r="G351">
        <f t="shared" ca="1" si="35"/>
        <v>-0.63136502098503267</v>
      </c>
      <c r="H351">
        <f t="shared" ca="1" si="35"/>
        <v>-0.14050796621809877</v>
      </c>
      <c r="I351">
        <f t="shared" ca="1" si="36"/>
        <v>-0.63136502098503267</v>
      </c>
      <c r="J351">
        <f t="shared" ca="1" si="37"/>
        <v>-0.566461049697913</v>
      </c>
      <c r="K351">
        <f t="shared" ca="1" si="38"/>
        <v>15.199773138617653</v>
      </c>
      <c r="L351">
        <f t="shared" ca="1" si="39"/>
        <v>17.164907038385582</v>
      </c>
      <c r="M351">
        <f t="shared" ca="1" si="40"/>
        <v>0</v>
      </c>
      <c r="N351">
        <f t="shared" ca="1" si="41"/>
        <v>0</v>
      </c>
    </row>
    <row r="352" spans="6:14" x14ac:dyDescent="0.75">
      <c r="F352">
        <v>347</v>
      </c>
      <c r="G352">
        <f t="shared" ca="1" si="35"/>
        <v>0.70254204147333099</v>
      </c>
      <c r="H352">
        <f t="shared" ca="1" si="35"/>
        <v>0.78460983780098681</v>
      </c>
      <c r="I352">
        <f t="shared" ca="1" si="36"/>
        <v>0.70254204147333099</v>
      </c>
      <c r="J352">
        <f t="shared" ca="1" si="37"/>
        <v>1.0458771578640325</v>
      </c>
      <c r="K352">
        <f t="shared" ca="1" si="38"/>
        <v>21.216035096831369</v>
      </c>
      <c r="L352">
        <f t="shared" ca="1" si="39"/>
        <v>25.686140416219764</v>
      </c>
      <c r="M352">
        <f t="shared" ca="1" si="40"/>
        <v>0</v>
      </c>
      <c r="N352">
        <f t="shared" ca="1" si="41"/>
        <v>0</v>
      </c>
    </row>
    <row r="353" spans="6:14" x14ac:dyDescent="0.75">
      <c r="F353">
        <v>348</v>
      </c>
      <c r="G353">
        <f t="shared" ca="1" si="35"/>
        <v>0.94149074524396559</v>
      </c>
      <c r="H353">
        <f t="shared" ca="1" si="35"/>
        <v>4.1604733815480056E-2</v>
      </c>
      <c r="I353">
        <f t="shared" ca="1" si="36"/>
        <v>0.94149074524396559</v>
      </c>
      <c r="J353">
        <f t="shared" ca="1" si="37"/>
        <v>0.73363700369267415</v>
      </c>
      <c r="K353">
        <f t="shared" ca="1" si="38"/>
        <v>22.522041326383679</v>
      </c>
      <c r="L353">
        <f t="shared" ca="1" si="39"/>
        <v>23.7573397413267</v>
      </c>
      <c r="M353">
        <f t="shared" ca="1" si="40"/>
        <v>0</v>
      </c>
      <c r="N353">
        <f t="shared" ca="1" si="41"/>
        <v>0</v>
      </c>
    </row>
    <row r="354" spans="6:14" x14ac:dyDescent="0.75">
      <c r="F354">
        <v>349</v>
      </c>
      <c r="G354">
        <f t="shared" ca="1" si="35"/>
        <v>-0.98143912822687862</v>
      </c>
      <c r="H354">
        <f t="shared" ca="1" si="35"/>
        <v>0.72718346664918954</v>
      </c>
      <c r="I354">
        <f t="shared" ca="1" si="36"/>
        <v>-0.98143912822687862</v>
      </c>
      <c r="J354">
        <f t="shared" ca="1" si="37"/>
        <v>-0.25509269360226211</v>
      </c>
      <c r="K354">
        <f t="shared" ca="1" si="38"/>
        <v>13.926060986531189</v>
      </c>
      <c r="L354">
        <f t="shared" ca="1" si="39"/>
        <v>18.554439752124448</v>
      </c>
      <c r="M354">
        <f t="shared" ca="1" si="40"/>
        <v>0</v>
      </c>
      <c r="N354">
        <f t="shared" ca="1" si="41"/>
        <v>0</v>
      </c>
    </row>
    <row r="355" spans="6:14" x14ac:dyDescent="0.75">
      <c r="F355">
        <v>350</v>
      </c>
      <c r="G355">
        <f t="shared" ca="1" si="35"/>
        <v>1.2195101614236965</v>
      </c>
      <c r="H355">
        <f t="shared" ca="1" si="35"/>
        <v>1.5375579170552833</v>
      </c>
      <c r="I355">
        <f t="shared" ca="1" si="36"/>
        <v>1.2195101614236965</v>
      </c>
      <c r="J355">
        <f t="shared" ca="1" si="37"/>
        <v>1.9316315897894618</v>
      </c>
      <c r="K355">
        <f t="shared" ca="1" si="38"/>
        <v>24.143116254669231</v>
      </c>
      <c r="L355">
        <f t="shared" ca="1" si="39"/>
        <v>32.05298039225908</v>
      </c>
      <c r="M355">
        <f t="shared" ca="1" si="40"/>
        <v>0</v>
      </c>
      <c r="N355">
        <f t="shared" ca="1" si="41"/>
        <v>0</v>
      </c>
    </row>
    <row r="356" spans="6:14" x14ac:dyDescent="0.75">
      <c r="F356">
        <v>351</v>
      </c>
      <c r="G356">
        <f t="shared" ca="1" si="35"/>
        <v>1.3783322026550981</v>
      </c>
      <c r="H356">
        <f t="shared" ca="1" si="35"/>
        <v>0.43795069621428184</v>
      </c>
      <c r="I356">
        <f t="shared" ca="1" si="36"/>
        <v>1.3783322026550981</v>
      </c>
      <c r="J356">
        <f t="shared" ca="1" si="37"/>
        <v>1.3234263091639702</v>
      </c>
      <c r="K356">
        <f t="shared" ca="1" si="38"/>
        <v>25.121016550601944</v>
      </c>
      <c r="L356">
        <f t="shared" ca="1" si="39"/>
        <v>27.531721551263768</v>
      </c>
      <c r="M356">
        <f t="shared" ca="1" si="40"/>
        <v>0</v>
      </c>
      <c r="N356">
        <f t="shared" ca="1" si="41"/>
        <v>0</v>
      </c>
    </row>
    <row r="357" spans="6:14" x14ac:dyDescent="0.75">
      <c r="F357">
        <v>352</v>
      </c>
      <c r="G357">
        <f t="shared" ca="1" si="35"/>
        <v>-0.20038550461599569</v>
      </c>
      <c r="H357">
        <f t="shared" ca="1" si="35"/>
        <v>1.4128843699965856</v>
      </c>
      <c r="I357">
        <f t="shared" ca="1" si="36"/>
        <v>-0.20038550461599569</v>
      </c>
      <c r="J357">
        <f t="shared" ca="1" si="37"/>
        <v>0.78424604011328691</v>
      </c>
      <c r="K357">
        <f t="shared" ca="1" si="38"/>
        <v>16.928953514503544</v>
      </c>
      <c r="L357">
        <f t="shared" ca="1" si="39"/>
        <v>24.059833337818098</v>
      </c>
      <c r="M357">
        <f t="shared" ca="1" si="40"/>
        <v>0</v>
      </c>
      <c r="N357">
        <f t="shared" ca="1" si="41"/>
        <v>0</v>
      </c>
    </row>
    <row r="358" spans="6:14" x14ac:dyDescent="0.75">
      <c r="F358">
        <v>353</v>
      </c>
      <c r="G358">
        <f t="shared" ca="1" si="35"/>
        <v>-1.5251945882374389</v>
      </c>
      <c r="H358">
        <f t="shared" ca="1" si="35"/>
        <v>1.3686316526580702</v>
      </c>
      <c r="I358">
        <f t="shared" ca="1" si="36"/>
        <v>-1.5251945882374389</v>
      </c>
      <c r="J358">
        <f t="shared" ca="1" si="37"/>
        <v>-0.23863119383193243</v>
      </c>
      <c r="K358">
        <f t="shared" ca="1" si="38"/>
        <v>12.156002866169469</v>
      </c>
      <c r="L358">
        <f t="shared" ca="1" si="39"/>
        <v>18.630955566194693</v>
      </c>
      <c r="M358">
        <f t="shared" ca="1" si="40"/>
        <v>0</v>
      </c>
      <c r="N358">
        <f t="shared" ca="1" si="41"/>
        <v>0</v>
      </c>
    </row>
    <row r="359" spans="6:14" x14ac:dyDescent="0.75">
      <c r="F359">
        <v>354</v>
      </c>
      <c r="G359">
        <f t="shared" ca="1" si="35"/>
        <v>1.7064987458313443</v>
      </c>
      <c r="H359">
        <f t="shared" ca="1" si="35"/>
        <v>5.0995557478476878E-3</v>
      </c>
      <c r="I359">
        <f t="shared" ca="1" si="36"/>
        <v>1.7064987458313443</v>
      </c>
      <c r="J359">
        <f t="shared" ca="1" si="37"/>
        <v>1.2832470984499371</v>
      </c>
      <c r="K359">
        <f t="shared" ca="1" si="38"/>
        <v>27.268888701873898</v>
      </c>
      <c r="L359">
        <f t="shared" ca="1" si="39"/>
        <v>27.256555150623246</v>
      </c>
      <c r="M359">
        <f t="shared" ca="1" si="40"/>
        <v>0</v>
      </c>
      <c r="N359">
        <f t="shared" ca="1" si="41"/>
        <v>0</v>
      </c>
    </row>
    <row r="360" spans="6:14" x14ac:dyDescent="0.75">
      <c r="F360">
        <v>355</v>
      </c>
      <c r="G360">
        <f t="shared" ca="1" si="35"/>
        <v>-0.23747731211843903</v>
      </c>
      <c r="H360">
        <f t="shared" ca="1" si="35"/>
        <v>-1.2256391398056199</v>
      </c>
      <c r="I360">
        <f t="shared" ca="1" si="36"/>
        <v>-0.23747731211843903</v>
      </c>
      <c r="J360">
        <f t="shared" ca="1" si="37"/>
        <v>-0.9887920743470282</v>
      </c>
      <c r="K360">
        <f t="shared" ca="1" si="38"/>
        <v>16.772697739072491</v>
      </c>
      <c r="L360">
        <f t="shared" ca="1" si="39"/>
        <v>15.444983452184726</v>
      </c>
      <c r="M360">
        <f t="shared" ca="1" si="40"/>
        <v>0</v>
      </c>
      <c r="N360">
        <f t="shared" ca="1" si="41"/>
        <v>0</v>
      </c>
    </row>
    <row r="361" spans="6:14" x14ac:dyDescent="0.75">
      <c r="F361">
        <v>356</v>
      </c>
      <c r="G361">
        <f t="shared" ca="1" si="35"/>
        <v>-0.83733269180873948</v>
      </c>
      <c r="H361">
        <f t="shared" ca="1" si="35"/>
        <v>3.7875135053150516E-2</v>
      </c>
      <c r="I361">
        <f t="shared" ca="1" si="36"/>
        <v>-0.83733269180873948</v>
      </c>
      <c r="J361">
        <f t="shared" ca="1" si="37"/>
        <v>-0.60294747180064923</v>
      </c>
      <c r="K361">
        <f t="shared" ca="1" si="38"/>
        <v>14.436916688591101</v>
      </c>
      <c r="L361">
        <f t="shared" ca="1" si="39"/>
        <v>17.009047452996899</v>
      </c>
      <c r="M361">
        <f t="shared" ca="1" si="40"/>
        <v>0</v>
      </c>
      <c r="N361">
        <f t="shared" ca="1" si="41"/>
        <v>0</v>
      </c>
    </row>
    <row r="362" spans="6:14" x14ac:dyDescent="0.75">
      <c r="F362">
        <v>357</v>
      </c>
      <c r="G362">
        <f t="shared" ca="1" si="35"/>
        <v>-0.31814013971833449</v>
      </c>
      <c r="H362">
        <f t="shared" ca="1" si="35"/>
        <v>1.5707798291274315</v>
      </c>
      <c r="I362">
        <f t="shared" ca="1" si="36"/>
        <v>-0.31814013971833449</v>
      </c>
      <c r="J362">
        <f t="shared" ca="1" si="37"/>
        <v>0.80036809328817815</v>
      </c>
      <c r="K362">
        <f t="shared" ca="1" si="38"/>
        <v>16.437851980426046</v>
      </c>
      <c r="L362">
        <f t="shared" ca="1" si="39"/>
        <v>24.157002505198331</v>
      </c>
      <c r="M362">
        <f t="shared" ca="1" si="40"/>
        <v>0</v>
      </c>
      <c r="N362">
        <f t="shared" ca="1" si="41"/>
        <v>0</v>
      </c>
    </row>
    <row r="363" spans="6:14" x14ac:dyDescent="0.75">
      <c r="F363">
        <v>358</v>
      </c>
      <c r="G363">
        <f t="shared" ca="1" si="35"/>
        <v>-7.8244057985690341E-2</v>
      </c>
      <c r="H363">
        <f t="shared" ca="1" si="35"/>
        <v>-0.17737069216500181</v>
      </c>
      <c r="I363">
        <f t="shared" ca="1" si="36"/>
        <v>-7.8244057985690341E-2</v>
      </c>
      <c r="J363">
        <f t="shared" ca="1" si="37"/>
        <v>-0.17600272882426463</v>
      </c>
      <c r="K363">
        <f t="shared" ca="1" si="38"/>
        <v>17.453858529944931</v>
      </c>
      <c r="L363">
        <f t="shared" ca="1" si="39"/>
        <v>18.924958214108134</v>
      </c>
      <c r="M363">
        <f t="shared" ca="1" si="40"/>
        <v>0</v>
      </c>
      <c r="N363">
        <f t="shared" ca="1" si="41"/>
        <v>0</v>
      </c>
    </row>
    <row r="364" spans="6:14" x14ac:dyDescent="0.75">
      <c r="F364">
        <v>359</v>
      </c>
      <c r="G364">
        <f t="shared" ca="1" si="35"/>
        <v>0.96172257201730116</v>
      </c>
      <c r="H364">
        <f t="shared" ca="1" si="35"/>
        <v>3.2083867525473042E-2</v>
      </c>
      <c r="I364">
        <f t="shared" ca="1" si="36"/>
        <v>0.96172257201730116</v>
      </c>
      <c r="J364">
        <f t="shared" ca="1" si="37"/>
        <v>0.74251341265536164</v>
      </c>
      <c r="K364">
        <f t="shared" ca="1" si="38"/>
        <v>22.636245412245461</v>
      </c>
      <c r="L364">
        <f t="shared" ca="1" si="39"/>
        <v>23.810118245969434</v>
      </c>
      <c r="M364">
        <f t="shared" ca="1" si="40"/>
        <v>0</v>
      </c>
      <c r="N364">
        <f t="shared" ca="1" si="41"/>
        <v>0</v>
      </c>
    </row>
    <row r="365" spans="6:14" x14ac:dyDescent="0.75">
      <c r="F365">
        <v>360</v>
      </c>
      <c r="G365">
        <f t="shared" ca="1" si="35"/>
        <v>-0.82721087904119417</v>
      </c>
      <c r="H365">
        <f t="shared" ca="1" si="35"/>
        <v>-0.17546468024203546</v>
      </c>
      <c r="I365">
        <f t="shared" ca="1" si="36"/>
        <v>-0.82721087904119417</v>
      </c>
      <c r="J365">
        <f t="shared" ca="1" si="37"/>
        <v>-0.73646713622986926</v>
      </c>
      <c r="K365">
        <f t="shared" ca="1" si="38"/>
        <v>14.47349489070278</v>
      </c>
      <c r="L365">
        <f t="shared" ca="1" si="39"/>
        <v>16.450658215258859</v>
      </c>
      <c r="M365">
        <f t="shared" ca="1" si="40"/>
        <v>0</v>
      </c>
      <c r="N365">
        <f t="shared" ca="1" si="41"/>
        <v>0</v>
      </c>
    </row>
    <row r="366" spans="6:14" x14ac:dyDescent="0.75">
      <c r="F366">
        <v>361</v>
      </c>
      <c r="G366">
        <f t="shared" ca="1" si="35"/>
        <v>-0.31276810438819391</v>
      </c>
      <c r="H366">
        <f t="shared" ca="1" si="35"/>
        <v>-0.49018187175170663</v>
      </c>
      <c r="I366">
        <f t="shared" ca="1" si="36"/>
        <v>-0.31276810438819391</v>
      </c>
      <c r="J366">
        <f t="shared" ca="1" si="37"/>
        <v>-0.5588009107529387</v>
      </c>
      <c r="K366">
        <f t="shared" ca="1" si="38"/>
        <v>16.45994299171489</v>
      </c>
      <c r="L366">
        <f t="shared" ca="1" si="39"/>
        <v>17.197809926639891</v>
      </c>
      <c r="M366">
        <f t="shared" ca="1" si="40"/>
        <v>0</v>
      </c>
      <c r="N366">
        <f t="shared" ca="1" si="41"/>
        <v>0</v>
      </c>
    </row>
    <row r="367" spans="6:14" x14ac:dyDescent="0.75">
      <c r="F367">
        <v>362</v>
      </c>
      <c r="G367">
        <f t="shared" ca="1" si="35"/>
        <v>-0.73197273669456531</v>
      </c>
      <c r="H367">
        <f t="shared" ca="1" si="35"/>
        <v>1.4555956696987047</v>
      </c>
      <c r="I367">
        <f t="shared" ca="1" si="36"/>
        <v>-0.73197273669456531</v>
      </c>
      <c r="J367">
        <f t="shared" ca="1" si="37"/>
        <v>0.41380648535039821</v>
      </c>
      <c r="K367">
        <f t="shared" ca="1" si="38"/>
        <v>14.82223730498557</v>
      </c>
      <c r="L367">
        <f t="shared" ca="1" si="39"/>
        <v>21.931717898169858</v>
      </c>
      <c r="M367">
        <f t="shared" ca="1" si="40"/>
        <v>0</v>
      </c>
      <c r="N367">
        <f t="shared" ca="1" si="41"/>
        <v>0</v>
      </c>
    </row>
    <row r="368" spans="6:14" x14ac:dyDescent="0.75">
      <c r="F368">
        <v>363</v>
      </c>
      <c r="G368">
        <f t="shared" ca="1" si="35"/>
        <v>-0.30102141659411097</v>
      </c>
      <c r="H368">
        <f t="shared" ca="1" si="35"/>
        <v>0.67804548222406891</v>
      </c>
      <c r="I368">
        <f t="shared" ca="1" si="36"/>
        <v>-0.30102141659411097</v>
      </c>
      <c r="J368">
        <f t="shared" ca="1" si="37"/>
        <v>0.22271886844335503</v>
      </c>
      <c r="K368">
        <f t="shared" ca="1" si="38"/>
        <v>16.508351489722255</v>
      </c>
      <c r="L368">
        <f t="shared" ca="1" si="39"/>
        <v>20.908629963644636</v>
      </c>
      <c r="M368">
        <f t="shared" ca="1" si="40"/>
        <v>0</v>
      </c>
      <c r="N368">
        <f t="shared" ca="1" si="41"/>
        <v>0</v>
      </c>
    </row>
    <row r="369" spans="6:14" x14ac:dyDescent="0.75">
      <c r="F369">
        <v>364</v>
      </c>
      <c r="G369">
        <f t="shared" ca="1" si="35"/>
        <v>1.5741136756888889</v>
      </c>
      <c r="H369">
        <f t="shared" ca="1" si="35"/>
        <v>-0.91044154609589334</v>
      </c>
      <c r="I369">
        <f t="shared" ca="1" si="36"/>
        <v>1.5741136756888889</v>
      </c>
      <c r="J369">
        <f t="shared" ca="1" si="37"/>
        <v>0.57838477820894607</v>
      </c>
      <c r="K369">
        <f t="shared" ca="1" si="38"/>
        <v>26.381161524551285</v>
      </c>
      <c r="L369">
        <f t="shared" ca="1" si="39"/>
        <v>22.852910150304417</v>
      </c>
      <c r="M369">
        <f t="shared" ca="1" si="40"/>
        <v>0</v>
      </c>
      <c r="N369">
        <f t="shared" ca="1" si="41"/>
        <v>0</v>
      </c>
    </row>
    <row r="370" spans="6:14" x14ac:dyDescent="0.75">
      <c r="F370">
        <v>365</v>
      </c>
      <c r="G370">
        <f t="shared" ca="1" si="35"/>
        <v>-2.5531314727855674E-3</v>
      </c>
      <c r="H370">
        <f t="shared" ca="1" si="35"/>
        <v>-2.2605525493239389</v>
      </c>
      <c r="I370">
        <f t="shared" ca="1" si="36"/>
        <v>-2.5531314727855674E-3</v>
      </c>
      <c r="J370">
        <f t="shared" ca="1" si="37"/>
        <v>-1.4971298163806428</v>
      </c>
      <c r="K370">
        <f t="shared" ca="1" si="38"/>
        <v>17.787277864185469</v>
      </c>
      <c r="L370">
        <f t="shared" ca="1" si="39"/>
        <v>13.601768478321031</v>
      </c>
      <c r="M370">
        <f t="shared" ca="1" si="40"/>
        <v>0</v>
      </c>
      <c r="N370">
        <f t="shared" ca="1" si="41"/>
        <v>0</v>
      </c>
    </row>
    <row r="371" spans="6:14" x14ac:dyDescent="0.75">
      <c r="F371">
        <v>366</v>
      </c>
      <c r="G371">
        <f t="shared" ca="1" si="35"/>
        <v>-0.10815644674382084</v>
      </c>
      <c r="H371">
        <f t="shared" ca="1" si="35"/>
        <v>0.87422256971429535</v>
      </c>
      <c r="I371">
        <f t="shared" ca="1" si="36"/>
        <v>-0.10815644674382084</v>
      </c>
      <c r="J371">
        <f t="shared" ca="1" si="37"/>
        <v>0.49712654243809745</v>
      </c>
      <c r="K371">
        <f t="shared" ca="1" si="38"/>
        <v>17.32382369208619</v>
      </c>
      <c r="L371">
        <f t="shared" ca="1" si="39"/>
        <v>22.393347074950082</v>
      </c>
      <c r="M371">
        <f t="shared" ca="1" si="40"/>
        <v>0</v>
      </c>
      <c r="N371">
        <f t="shared" ca="1" si="41"/>
        <v>0</v>
      </c>
    </row>
    <row r="372" spans="6:14" x14ac:dyDescent="0.75">
      <c r="F372">
        <v>367</v>
      </c>
      <c r="G372">
        <f t="shared" ca="1" si="35"/>
        <v>0.88563015377346188</v>
      </c>
      <c r="H372">
        <f t="shared" ca="1" si="35"/>
        <v>2.0770399104898067</v>
      </c>
      <c r="I372">
        <f t="shared" ca="1" si="36"/>
        <v>0.88563015377346188</v>
      </c>
      <c r="J372">
        <f t="shared" ca="1" si="37"/>
        <v>2.0380553819080678</v>
      </c>
      <c r="K372">
        <f t="shared" ca="1" si="38"/>
        <v>22.209703685777892</v>
      </c>
      <c r="L372">
        <f t="shared" ca="1" si="39"/>
        <v>32.917226383722436</v>
      </c>
      <c r="M372">
        <f t="shared" ca="1" si="40"/>
        <v>0</v>
      </c>
      <c r="N372">
        <f t="shared" ca="1" si="41"/>
        <v>0</v>
      </c>
    </row>
    <row r="373" spans="6:14" x14ac:dyDescent="0.75">
      <c r="F373">
        <v>368</v>
      </c>
      <c r="G373">
        <f t="shared" ca="1" si="35"/>
        <v>-0.14488909269962078</v>
      </c>
      <c r="H373">
        <f t="shared" ca="1" si="35"/>
        <v>-5.4132826034880156E-2</v>
      </c>
      <c r="I373">
        <f t="shared" ca="1" si="36"/>
        <v>-0.14488909269962078</v>
      </c>
      <c r="J373">
        <f t="shared" ca="1" si="37"/>
        <v>-0.14447231838806945</v>
      </c>
      <c r="K373">
        <f t="shared" ca="1" si="38"/>
        <v>17.165464453619705</v>
      </c>
      <c r="L373">
        <f t="shared" ca="1" si="39"/>
        <v>19.07472564217467</v>
      </c>
      <c r="M373">
        <f t="shared" ca="1" si="40"/>
        <v>0</v>
      </c>
      <c r="N373">
        <f t="shared" ca="1" si="41"/>
        <v>0</v>
      </c>
    </row>
    <row r="374" spans="6:14" x14ac:dyDescent="0.75">
      <c r="F374">
        <v>369</v>
      </c>
      <c r="G374">
        <f t="shared" ca="1" si="35"/>
        <v>0.37843452659590654</v>
      </c>
      <c r="H374">
        <f t="shared" ca="1" si="35"/>
        <v>7.1388706778836519E-2</v>
      </c>
      <c r="I374">
        <f t="shared" ca="1" si="36"/>
        <v>0.37843452659590654</v>
      </c>
      <c r="J374">
        <f t="shared" ca="1" si="37"/>
        <v>0.331045086085758</v>
      </c>
      <c r="K374">
        <f t="shared" ca="1" si="38"/>
        <v>19.564767840793724</v>
      </c>
      <c r="L374">
        <f t="shared" ca="1" si="39"/>
        <v>21.482605154306206</v>
      </c>
      <c r="M374">
        <f t="shared" ca="1" si="40"/>
        <v>0</v>
      </c>
      <c r="N374">
        <f t="shared" ca="1" si="41"/>
        <v>0</v>
      </c>
    </row>
    <row r="375" spans="6:14" x14ac:dyDescent="0.75">
      <c r="F375">
        <v>370</v>
      </c>
      <c r="G375">
        <f t="shared" ca="1" si="35"/>
        <v>0.69205509534626186</v>
      </c>
      <c r="H375">
        <f t="shared" ca="1" si="35"/>
        <v>-0.38600860714425994</v>
      </c>
      <c r="I375">
        <f t="shared" ca="1" si="36"/>
        <v>0.69205509534626186</v>
      </c>
      <c r="J375">
        <f t="shared" ca="1" si="37"/>
        <v>0.26372062690116083</v>
      </c>
      <c r="K375">
        <f t="shared" ca="1" si="38"/>
        <v>21.160485093114382</v>
      </c>
      <c r="L375">
        <f t="shared" ca="1" si="39"/>
        <v>21.124054826031525</v>
      </c>
      <c r="M375">
        <f t="shared" ca="1" si="40"/>
        <v>0</v>
      </c>
      <c r="N375">
        <f t="shared" ca="1" si="41"/>
        <v>0</v>
      </c>
    </row>
    <row r="376" spans="6:14" x14ac:dyDescent="0.75">
      <c r="F376">
        <v>371</v>
      </c>
      <c r="G376">
        <f t="shared" ca="1" si="35"/>
        <v>1.7993833818915719</v>
      </c>
      <c r="H376">
        <f t="shared" ca="1" si="35"/>
        <v>-1.848676400355777</v>
      </c>
      <c r="I376">
        <f t="shared" ca="1" si="36"/>
        <v>1.7993833818915719</v>
      </c>
      <c r="J376">
        <f t="shared" ca="1" si="37"/>
        <v>0.12675303392481285</v>
      </c>
      <c r="K376">
        <f t="shared" ca="1" si="38"/>
        <v>27.909513137205749</v>
      </c>
      <c r="L376">
        <f t="shared" ca="1" si="39"/>
        <v>20.412970998123214</v>
      </c>
      <c r="M376">
        <f t="shared" ca="1" si="40"/>
        <v>0</v>
      </c>
      <c r="N376">
        <f t="shared" ca="1" si="41"/>
        <v>0</v>
      </c>
    </row>
    <row r="377" spans="6:14" x14ac:dyDescent="0.75">
      <c r="F377">
        <v>372</v>
      </c>
      <c r="G377">
        <f t="shared" ca="1" si="35"/>
        <v>0.7861775189559449</v>
      </c>
      <c r="H377">
        <f t="shared" ca="1" si="35"/>
        <v>1.0946149533299256</v>
      </c>
      <c r="I377">
        <f t="shared" ca="1" si="36"/>
        <v>0.7861775189559449</v>
      </c>
      <c r="J377">
        <f t="shared" ca="1" si="37"/>
        <v>1.3136528761878479</v>
      </c>
      <c r="K377">
        <f t="shared" ca="1" si="38"/>
        <v>21.664308517168902</v>
      </c>
      <c r="L377">
        <f t="shared" ca="1" si="39"/>
        <v>27.464533807728561</v>
      </c>
      <c r="M377">
        <f t="shared" ca="1" si="40"/>
        <v>0</v>
      </c>
      <c r="N377">
        <f t="shared" ca="1" si="41"/>
        <v>0</v>
      </c>
    </row>
    <row r="378" spans="6:14" x14ac:dyDescent="0.75">
      <c r="F378">
        <v>373</v>
      </c>
      <c r="G378">
        <f t="shared" ca="1" si="35"/>
        <v>0.16588619879607674</v>
      </c>
      <c r="H378">
        <f t="shared" ca="1" si="35"/>
        <v>0.31013291185599307</v>
      </c>
      <c r="I378">
        <f t="shared" ca="1" si="36"/>
        <v>0.16588619879607674</v>
      </c>
      <c r="J378">
        <f t="shared" ca="1" si="37"/>
        <v>0.32954828863387575</v>
      </c>
      <c r="K378">
        <f t="shared" ca="1" si="38"/>
        <v>18.5522914104622</v>
      </c>
      <c r="L378">
        <f t="shared" ca="1" si="39"/>
        <v>21.474567881007573</v>
      </c>
      <c r="M378">
        <f t="shared" ca="1" si="40"/>
        <v>0</v>
      </c>
      <c r="N378">
        <f t="shared" ca="1" si="41"/>
        <v>0</v>
      </c>
    </row>
    <row r="379" spans="6:14" x14ac:dyDescent="0.75">
      <c r="F379">
        <v>374</v>
      </c>
      <c r="G379">
        <f t="shared" ca="1" si="35"/>
        <v>0.34645276993862206</v>
      </c>
      <c r="H379">
        <f t="shared" ca="1" si="35"/>
        <v>-1.4286562973655312</v>
      </c>
      <c r="I379">
        <f t="shared" ca="1" si="36"/>
        <v>0.34645276993862206</v>
      </c>
      <c r="J379">
        <f t="shared" ca="1" si="37"/>
        <v>-0.68512774049991798</v>
      </c>
      <c r="K379">
        <f t="shared" ca="1" si="38"/>
        <v>19.40896262533251</v>
      </c>
      <c r="L379">
        <f t="shared" ca="1" si="39"/>
        <v>16.663160729949073</v>
      </c>
      <c r="M379">
        <f t="shared" ca="1" si="40"/>
        <v>0</v>
      </c>
      <c r="N379">
        <f t="shared" ca="1" si="41"/>
        <v>0</v>
      </c>
    </row>
    <row r="380" spans="6:14" x14ac:dyDescent="0.75">
      <c r="F380">
        <v>375</v>
      </c>
      <c r="G380">
        <f t="shared" ca="1" si="35"/>
        <v>0.88553330653320073</v>
      </c>
      <c r="H380">
        <f t="shared" ca="1" si="35"/>
        <v>-0.54111204468858964</v>
      </c>
      <c r="I380">
        <f t="shared" ca="1" si="36"/>
        <v>0.88553330653320073</v>
      </c>
      <c r="J380">
        <f t="shared" ca="1" si="37"/>
        <v>0.30623800448298116</v>
      </c>
      <c r="K380">
        <f t="shared" ca="1" si="38"/>
        <v>22.20916595516039</v>
      </c>
      <c r="L380">
        <f t="shared" ca="1" si="39"/>
        <v>21.349787248312229</v>
      </c>
      <c r="M380">
        <f t="shared" ca="1" si="40"/>
        <v>0</v>
      </c>
      <c r="N380">
        <f t="shared" ca="1" si="41"/>
        <v>0</v>
      </c>
    </row>
    <row r="381" spans="6:14" x14ac:dyDescent="0.75">
      <c r="F381">
        <v>376</v>
      </c>
      <c r="G381">
        <f t="shared" ca="1" si="35"/>
        <v>0.13282388977148793</v>
      </c>
      <c r="H381">
        <f t="shared" ca="1" si="35"/>
        <v>1.3702805564666871</v>
      </c>
      <c r="I381">
        <f t="shared" ca="1" si="36"/>
        <v>0.13282388977148793</v>
      </c>
      <c r="J381">
        <f t="shared" ca="1" si="37"/>
        <v>1.0059733120281296</v>
      </c>
      <c r="K381">
        <f t="shared" ca="1" si="38"/>
        <v>18.399578014162369</v>
      </c>
      <c r="L381">
        <f t="shared" ca="1" si="39"/>
        <v>25.43117036962073</v>
      </c>
      <c r="M381">
        <f t="shared" ca="1" si="40"/>
        <v>0</v>
      </c>
      <c r="N381">
        <f t="shared" ca="1" si="41"/>
        <v>0</v>
      </c>
    </row>
    <row r="382" spans="6:14" x14ac:dyDescent="0.75">
      <c r="F382">
        <v>377</v>
      </c>
      <c r="G382">
        <f t="shared" ca="1" si="35"/>
        <v>-0.39292583966943995</v>
      </c>
      <c r="H382">
        <f t="shared" ca="1" si="35"/>
        <v>-9.5511408433773801E-2</v>
      </c>
      <c r="I382">
        <f t="shared" ca="1" si="36"/>
        <v>-0.39292583966943995</v>
      </c>
      <c r="J382">
        <f t="shared" ca="1" si="37"/>
        <v>-0.35786923827340061</v>
      </c>
      <c r="K382">
        <f t="shared" ca="1" si="38"/>
        <v>16.133378069907856</v>
      </c>
      <c r="L382">
        <f t="shared" ca="1" si="39"/>
        <v>18.083772044538296</v>
      </c>
      <c r="M382">
        <f t="shared" ca="1" si="40"/>
        <v>0</v>
      </c>
      <c r="N382">
        <f t="shared" ca="1" si="41"/>
        <v>0</v>
      </c>
    </row>
    <row r="383" spans="6:14" x14ac:dyDescent="0.75">
      <c r="F383">
        <v>378</v>
      </c>
      <c r="G383">
        <f t="shared" ca="1" si="35"/>
        <v>-0.11459597462867192</v>
      </c>
      <c r="H383">
        <f t="shared" ca="1" si="35"/>
        <v>0.30437532032320225</v>
      </c>
      <c r="I383">
        <f t="shared" ca="1" si="36"/>
        <v>-0.11459597462867192</v>
      </c>
      <c r="J383">
        <f t="shared" ca="1" si="37"/>
        <v>0.11537836972870033</v>
      </c>
      <c r="K383">
        <f t="shared" ca="1" si="38"/>
        <v>17.295956817859633</v>
      </c>
      <c r="L383">
        <f t="shared" ca="1" si="39"/>
        <v>20.355005781456384</v>
      </c>
      <c r="M383">
        <f t="shared" ca="1" si="40"/>
        <v>0</v>
      </c>
      <c r="N383">
        <f t="shared" ca="1" si="41"/>
        <v>0</v>
      </c>
    </row>
    <row r="384" spans="6:14" x14ac:dyDescent="0.75">
      <c r="F384">
        <v>379</v>
      </c>
      <c r="G384">
        <f t="shared" ca="1" si="35"/>
        <v>0.5441916910784832</v>
      </c>
      <c r="H384">
        <f t="shared" ca="1" si="35"/>
        <v>0.27409033911561254</v>
      </c>
      <c r="I384">
        <f t="shared" ca="1" si="36"/>
        <v>0.5441916910784832</v>
      </c>
      <c r="J384">
        <f t="shared" ca="1" si="37"/>
        <v>0.58943748682517993</v>
      </c>
      <c r="K384">
        <f t="shared" ca="1" si="38"/>
        <v>20.392550868607913</v>
      </c>
      <c r="L384">
        <f t="shared" ca="1" si="39"/>
        <v>22.916144112622124</v>
      </c>
      <c r="M384">
        <f t="shared" ca="1" si="40"/>
        <v>0</v>
      </c>
      <c r="N384">
        <f t="shared" ca="1" si="41"/>
        <v>0</v>
      </c>
    </row>
    <row r="385" spans="6:14" x14ac:dyDescent="0.75">
      <c r="F385">
        <v>380</v>
      </c>
      <c r="G385">
        <f t="shared" ca="1" si="35"/>
        <v>9.3415873282649955E-2</v>
      </c>
      <c r="H385">
        <f t="shared" ca="1" si="35"/>
        <v>-0.82909593494011091</v>
      </c>
      <c r="I385">
        <f t="shared" ca="1" si="36"/>
        <v>9.3415873282649955E-2</v>
      </c>
      <c r="J385">
        <f t="shared" ca="1" si="37"/>
        <v>-0.47833350925454277</v>
      </c>
      <c r="K385">
        <f t="shared" ca="1" si="38"/>
        <v>18.219195320264689</v>
      </c>
      <c r="L385">
        <f t="shared" ca="1" si="39"/>
        <v>17.547279019019328</v>
      </c>
      <c r="M385">
        <f t="shared" ca="1" si="40"/>
        <v>0</v>
      </c>
      <c r="N385">
        <f t="shared" ca="1" si="41"/>
        <v>0</v>
      </c>
    </row>
    <row r="386" spans="6:14" x14ac:dyDescent="0.75">
      <c r="F386">
        <v>381</v>
      </c>
      <c r="G386">
        <f t="shared" ca="1" si="35"/>
        <v>0.15536696540279396</v>
      </c>
      <c r="H386">
        <f t="shared" ca="1" si="35"/>
        <v>1.6637345640852221</v>
      </c>
      <c r="I386">
        <f t="shared" ca="1" si="36"/>
        <v>0.15536696540279396</v>
      </c>
      <c r="J386">
        <f t="shared" ca="1" si="37"/>
        <v>1.2169822001000834</v>
      </c>
      <c r="K386">
        <f t="shared" ca="1" si="38"/>
        <v>18.503566536252297</v>
      </c>
      <c r="L386">
        <f t="shared" ca="1" si="39"/>
        <v>26.808736510161499</v>
      </c>
      <c r="M386">
        <f t="shared" ca="1" si="40"/>
        <v>0</v>
      </c>
      <c r="N386">
        <f t="shared" ca="1" si="41"/>
        <v>0</v>
      </c>
    </row>
    <row r="387" spans="6:14" x14ac:dyDescent="0.75">
      <c r="F387">
        <v>382</v>
      </c>
      <c r="G387">
        <f t="shared" ca="1" si="35"/>
        <v>-4.6364172725828039E-2</v>
      </c>
      <c r="H387">
        <f t="shared" ca="1" si="35"/>
        <v>-0.72651935615489871</v>
      </c>
      <c r="I387">
        <f t="shared" ca="1" si="36"/>
        <v>-4.6364172725828039E-2</v>
      </c>
      <c r="J387">
        <f t="shared" ca="1" si="37"/>
        <v>-0.51532051430952741</v>
      </c>
      <c r="K387">
        <f t="shared" ca="1" si="38"/>
        <v>17.593521095800998</v>
      </c>
      <c r="L387">
        <f t="shared" ca="1" si="39"/>
        <v>17.38577155501979</v>
      </c>
      <c r="M387">
        <f t="shared" ca="1" si="40"/>
        <v>0</v>
      </c>
      <c r="N387">
        <f t="shared" ca="1" si="41"/>
        <v>0</v>
      </c>
    </row>
    <row r="388" spans="6:14" x14ac:dyDescent="0.75">
      <c r="F388">
        <v>383</v>
      </c>
      <c r="G388">
        <f t="shared" ca="1" si="35"/>
        <v>-0.20918779947256053</v>
      </c>
      <c r="H388">
        <f t="shared" ca="1" si="35"/>
        <v>0.15275137129754798</v>
      </c>
      <c r="I388">
        <f t="shared" ca="1" si="36"/>
        <v>-0.20918779947256053</v>
      </c>
      <c r="J388">
        <f t="shared" ca="1" si="37"/>
        <v>-5.5855314385069979E-2</v>
      </c>
      <c r="K388">
        <f t="shared" ca="1" si="38"/>
        <v>16.891741063778909</v>
      </c>
      <c r="L388">
        <f t="shared" ca="1" si="39"/>
        <v>19.502027703484291</v>
      </c>
      <c r="M388">
        <f t="shared" ca="1" si="40"/>
        <v>0</v>
      </c>
      <c r="N388">
        <f t="shared" ca="1" si="41"/>
        <v>0</v>
      </c>
    </row>
    <row r="389" spans="6:14" x14ac:dyDescent="0.75">
      <c r="F389">
        <v>384</v>
      </c>
      <c r="G389">
        <f t="shared" ca="1" si="35"/>
        <v>0.55551056606774507</v>
      </c>
      <c r="H389">
        <f t="shared" ca="1" si="35"/>
        <v>0.55166373933928425</v>
      </c>
      <c r="I389">
        <f t="shared" ca="1" si="36"/>
        <v>0.55551056606774507</v>
      </c>
      <c r="J389">
        <f t="shared" ca="1" si="37"/>
        <v>0.78152418995673534</v>
      </c>
      <c r="K389">
        <f t="shared" ca="1" si="38"/>
        <v>20.450337773891221</v>
      </c>
      <c r="L389">
        <f t="shared" ca="1" si="39"/>
        <v>24.043467091474085</v>
      </c>
      <c r="M389">
        <f t="shared" ca="1" si="40"/>
        <v>0</v>
      </c>
      <c r="N389">
        <f t="shared" ca="1" si="41"/>
        <v>0</v>
      </c>
    </row>
    <row r="390" spans="6:14" x14ac:dyDescent="0.75">
      <c r="F390">
        <v>385</v>
      </c>
      <c r="G390">
        <f t="shared" ca="1" si="35"/>
        <v>-9.1041326568559483E-2</v>
      </c>
      <c r="H390">
        <f t="shared" ca="1" si="35"/>
        <v>1.675610423195971</v>
      </c>
      <c r="I390">
        <f t="shared" ca="1" si="36"/>
        <v>-9.1041326568559483E-2</v>
      </c>
      <c r="J390">
        <f t="shared" ca="1" si="37"/>
        <v>1.0400311235746389</v>
      </c>
      <c r="K390">
        <f t="shared" ca="1" si="38"/>
        <v>17.398107331527694</v>
      </c>
      <c r="L390">
        <f t="shared" ca="1" si="39"/>
        <v>25.648627321343138</v>
      </c>
      <c r="M390">
        <f t="shared" ca="1" si="40"/>
        <v>0</v>
      </c>
      <c r="N390">
        <f t="shared" ca="1" si="41"/>
        <v>0</v>
      </c>
    </row>
    <row r="391" spans="6:14" x14ac:dyDescent="0.75">
      <c r="F391">
        <v>386</v>
      </c>
      <c r="G391">
        <f t="shared" ref="G391:H454" ca="1" si="42">NORMSINV(RAND())</f>
        <v>0.20758049731477174</v>
      </c>
      <c r="H391">
        <f t="shared" ca="1" si="42"/>
        <v>1.4544855399598686</v>
      </c>
      <c r="I391">
        <f t="shared" ref="I391:I454" ca="1" si="43">G391</f>
        <v>0.20758049731477174</v>
      </c>
      <c r="J391">
        <f t="shared" ref="J391:J454" ca="1" si="44">G391*$C$8+SQRT(1-$C$8^2)*H391</f>
        <v>1.1177371290544067</v>
      </c>
      <c r="K391">
        <f t="shared" ref="K391:K454" ca="1" si="45">C$3*EXP(($C$5-0.5*C$4^2)*$C$6+C$4*SQRT($C$6)*I391)</f>
        <v>18.746683977169649</v>
      </c>
      <c r="L391">
        <f t="shared" ref="L391:L454" ca="1" si="46">D$3*EXP(($C$5-0.5*D$4^2)*$C$6+D$4*SQRT($C$6)*J391)</f>
        <v>26.151761662105969</v>
      </c>
      <c r="M391">
        <f t="shared" ref="M391:M454" ca="1" si="47">MAX(SQRT(K391*L391)-$C$7,0)</f>
        <v>0</v>
      </c>
      <c r="N391">
        <f t="shared" ref="N391:N454" ca="1" si="48">MAX((K391+L391)*0.5-$C$7,0)</f>
        <v>0</v>
      </c>
    </row>
    <row r="392" spans="6:14" x14ac:dyDescent="0.75">
      <c r="F392">
        <v>387</v>
      </c>
      <c r="G392">
        <f t="shared" ca="1" si="42"/>
        <v>0.71719580161964991</v>
      </c>
      <c r="H392">
        <f t="shared" ca="1" si="42"/>
        <v>0.35585641914855209</v>
      </c>
      <c r="I392">
        <f t="shared" ca="1" si="43"/>
        <v>0.71719580161964991</v>
      </c>
      <c r="J392">
        <f t="shared" ca="1" si="44"/>
        <v>0.77327374809299543</v>
      </c>
      <c r="K392">
        <f t="shared" ca="1" si="45"/>
        <v>21.293901311240756</v>
      </c>
      <c r="L392">
        <f t="shared" ca="1" si="46"/>
        <v>23.993925894273616</v>
      </c>
      <c r="M392">
        <f t="shared" ca="1" si="47"/>
        <v>0</v>
      </c>
      <c r="N392">
        <f t="shared" ca="1" si="48"/>
        <v>0</v>
      </c>
    </row>
    <row r="393" spans="6:14" x14ac:dyDescent="0.75">
      <c r="F393">
        <v>388</v>
      </c>
      <c r="G393">
        <f t="shared" ca="1" si="42"/>
        <v>-0.90278244829482213</v>
      </c>
      <c r="H393">
        <f t="shared" ca="1" si="42"/>
        <v>3.2627744184476435</v>
      </c>
      <c r="I393">
        <f t="shared" ca="1" si="43"/>
        <v>-0.90278244829482213</v>
      </c>
      <c r="J393">
        <f t="shared" ca="1" si="44"/>
        <v>1.4810355876078483</v>
      </c>
      <c r="K393">
        <f t="shared" ca="1" si="45"/>
        <v>14.202615614122566</v>
      </c>
      <c r="L393">
        <f t="shared" ca="1" si="46"/>
        <v>28.63819082147586</v>
      </c>
      <c r="M393">
        <f t="shared" ca="1" si="47"/>
        <v>0</v>
      </c>
      <c r="N393">
        <f t="shared" ca="1" si="48"/>
        <v>0</v>
      </c>
    </row>
    <row r="394" spans="6:14" x14ac:dyDescent="0.75">
      <c r="F394">
        <v>389</v>
      </c>
      <c r="G394">
        <f t="shared" ca="1" si="42"/>
        <v>0.40182129359651314</v>
      </c>
      <c r="H394">
        <f t="shared" ca="1" si="42"/>
        <v>-0.28410818854825443</v>
      </c>
      <c r="I394">
        <f t="shared" ca="1" si="43"/>
        <v>0.40182129359651314</v>
      </c>
      <c r="J394">
        <f t="shared" ca="1" si="44"/>
        <v>0.11344606711345234</v>
      </c>
      <c r="K394">
        <f t="shared" ca="1" si="45"/>
        <v>19.679492059284019</v>
      </c>
      <c r="L394">
        <f t="shared" ca="1" si="46"/>
        <v>20.345175148391085</v>
      </c>
      <c r="M394">
        <f t="shared" ca="1" si="47"/>
        <v>0</v>
      </c>
      <c r="N394">
        <f t="shared" ca="1" si="48"/>
        <v>0</v>
      </c>
    </row>
    <row r="395" spans="6:14" x14ac:dyDescent="0.75">
      <c r="F395">
        <v>390</v>
      </c>
      <c r="G395">
        <f t="shared" ca="1" si="42"/>
        <v>-1.3622524924156092</v>
      </c>
      <c r="H395">
        <f t="shared" ca="1" si="42"/>
        <v>-1.1671746592420407</v>
      </c>
      <c r="I395">
        <f t="shared" ca="1" si="43"/>
        <v>-1.3622524924156092</v>
      </c>
      <c r="J395">
        <f t="shared" ca="1" si="44"/>
        <v>-1.7937028405444559</v>
      </c>
      <c r="K395">
        <f t="shared" ca="1" si="45"/>
        <v>12.661408099146689</v>
      </c>
      <c r="L395">
        <f t="shared" ca="1" si="46"/>
        <v>12.629767951842387</v>
      </c>
      <c r="M395">
        <f t="shared" ca="1" si="47"/>
        <v>0</v>
      </c>
      <c r="N395">
        <f t="shared" ca="1" si="48"/>
        <v>0</v>
      </c>
    </row>
    <row r="396" spans="6:14" x14ac:dyDescent="0.75">
      <c r="F396">
        <v>391</v>
      </c>
      <c r="G396">
        <f t="shared" ca="1" si="42"/>
        <v>0.89807846425458349</v>
      </c>
      <c r="H396">
        <f t="shared" ca="1" si="42"/>
        <v>1.3360017493524441</v>
      </c>
      <c r="I396">
        <f t="shared" ca="1" si="43"/>
        <v>0.89807846425458349</v>
      </c>
      <c r="J396">
        <f t="shared" ca="1" si="44"/>
        <v>1.5572409431743917</v>
      </c>
      <c r="K396">
        <f t="shared" ca="1" si="45"/>
        <v>22.278929670018325</v>
      </c>
      <c r="L396">
        <f t="shared" ca="1" si="46"/>
        <v>29.189017028168035</v>
      </c>
      <c r="M396">
        <f t="shared" ca="1" si="47"/>
        <v>0</v>
      </c>
      <c r="N396">
        <f t="shared" ca="1" si="48"/>
        <v>0</v>
      </c>
    </row>
    <row r="397" spans="6:14" x14ac:dyDescent="0.75">
      <c r="F397">
        <v>392</v>
      </c>
      <c r="G397">
        <f t="shared" ca="1" si="42"/>
        <v>0.66947385968755813</v>
      </c>
      <c r="H397">
        <f t="shared" ca="1" si="42"/>
        <v>0.81237813763969147</v>
      </c>
      <c r="I397">
        <f t="shared" ca="1" si="43"/>
        <v>0.66947385968755813</v>
      </c>
      <c r="J397">
        <f t="shared" ca="1" si="44"/>
        <v>1.0394430254507747</v>
      </c>
      <c r="K397">
        <f t="shared" ca="1" si="45"/>
        <v>21.041364171539907</v>
      </c>
      <c r="L397">
        <f t="shared" ca="1" si="46"/>
        <v>25.6448566211408</v>
      </c>
      <c r="M397">
        <f t="shared" ca="1" si="47"/>
        <v>0</v>
      </c>
      <c r="N397">
        <f t="shared" ca="1" si="48"/>
        <v>0</v>
      </c>
    </row>
    <row r="398" spans="6:14" x14ac:dyDescent="0.75">
      <c r="F398">
        <v>393</v>
      </c>
      <c r="G398">
        <f t="shared" ca="1" si="42"/>
        <v>0.37639629713242817</v>
      </c>
      <c r="H398">
        <f t="shared" ca="1" si="42"/>
        <v>0.81043486741660142</v>
      </c>
      <c r="I398">
        <f t="shared" ca="1" si="43"/>
        <v>0.37639629713242817</v>
      </c>
      <c r="J398">
        <f t="shared" ca="1" si="44"/>
        <v>0.81834950109930382</v>
      </c>
      <c r="K398">
        <f t="shared" ca="1" si="45"/>
        <v>19.55480100878091</v>
      </c>
      <c r="L398">
        <f t="shared" ca="1" si="46"/>
        <v>24.265841184381934</v>
      </c>
      <c r="M398">
        <f t="shared" ca="1" si="47"/>
        <v>0</v>
      </c>
      <c r="N398">
        <f t="shared" ca="1" si="48"/>
        <v>0</v>
      </c>
    </row>
    <row r="399" spans="6:14" x14ac:dyDescent="0.75">
      <c r="F399">
        <v>394</v>
      </c>
      <c r="G399">
        <f t="shared" ca="1" si="42"/>
        <v>-0.56298665333865006</v>
      </c>
      <c r="H399">
        <f t="shared" ca="1" si="42"/>
        <v>-0.50173090213650595</v>
      </c>
      <c r="I399">
        <f t="shared" ca="1" si="43"/>
        <v>-0.56298665333865006</v>
      </c>
      <c r="J399">
        <f t="shared" ca="1" si="44"/>
        <v>-0.75410378803630773</v>
      </c>
      <c r="K399">
        <f t="shared" ca="1" si="45"/>
        <v>15.461840644241882</v>
      </c>
      <c r="L399">
        <f t="shared" ca="1" si="46"/>
        <v>16.378284254070824</v>
      </c>
      <c r="M399">
        <f t="shared" ca="1" si="47"/>
        <v>0</v>
      </c>
      <c r="N399">
        <f t="shared" ca="1" si="48"/>
        <v>0</v>
      </c>
    </row>
    <row r="400" spans="6:14" x14ac:dyDescent="0.75">
      <c r="F400">
        <v>395</v>
      </c>
      <c r="G400">
        <f t="shared" ca="1" si="42"/>
        <v>1.4765029688663656</v>
      </c>
      <c r="H400">
        <f t="shared" ca="1" si="42"/>
        <v>-0.89452532059871415</v>
      </c>
      <c r="I400">
        <f t="shared" ca="1" si="43"/>
        <v>1.4765029688663656</v>
      </c>
      <c r="J400">
        <f t="shared" ca="1" si="44"/>
        <v>0.51570434171114377</v>
      </c>
      <c r="K400">
        <f t="shared" ca="1" si="45"/>
        <v>25.745181930637017</v>
      </c>
      <c r="L400">
        <f t="shared" ca="1" si="46"/>
        <v>22.497593748533422</v>
      </c>
      <c r="M400">
        <f t="shared" ca="1" si="47"/>
        <v>0</v>
      </c>
      <c r="N400">
        <f t="shared" ca="1" si="48"/>
        <v>0</v>
      </c>
    </row>
    <row r="401" spans="6:14" x14ac:dyDescent="0.75">
      <c r="F401">
        <v>396</v>
      </c>
      <c r="G401">
        <f t="shared" ca="1" si="42"/>
        <v>0.8938844320534981</v>
      </c>
      <c r="H401">
        <f t="shared" ca="1" si="42"/>
        <v>-1.115009312888436E-2</v>
      </c>
      <c r="I401">
        <f t="shared" ca="1" si="43"/>
        <v>0.8938844320534981</v>
      </c>
      <c r="J401">
        <f t="shared" ca="1" si="44"/>
        <v>0.66303823066156398</v>
      </c>
      <c r="K401">
        <f t="shared" ca="1" si="45"/>
        <v>22.255582275012639</v>
      </c>
      <c r="L401">
        <f t="shared" ca="1" si="46"/>
        <v>23.341708652324726</v>
      </c>
      <c r="M401">
        <f t="shared" ca="1" si="47"/>
        <v>0</v>
      </c>
      <c r="N401">
        <f t="shared" ca="1" si="48"/>
        <v>0</v>
      </c>
    </row>
    <row r="402" spans="6:14" x14ac:dyDescent="0.75">
      <c r="F402">
        <v>397</v>
      </c>
      <c r="G402">
        <f t="shared" ca="1" si="42"/>
        <v>1.9455578823754633</v>
      </c>
      <c r="H402">
        <f t="shared" ca="1" si="42"/>
        <v>1.3583513211038465</v>
      </c>
      <c r="I402">
        <f t="shared" ca="1" si="43"/>
        <v>1.9455578823754633</v>
      </c>
      <c r="J402">
        <f t="shared" ca="1" si="44"/>
        <v>2.3576333589558027</v>
      </c>
      <c r="K402">
        <f t="shared" ca="1" si="45"/>
        <v>28.948292708780908</v>
      </c>
      <c r="L402">
        <f t="shared" ca="1" si="46"/>
        <v>35.655043635067621</v>
      </c>
      <c r="M402">
        <f t="shared" ca="1" si="47"/>
        <v>0</v>
      </c>
      <c r="N402">
        <f t="shared" ca="1" si="48"/>
        <v>0</v>
      </c>
    </row>
    <row r="403" spans="6:14" x14ac:dyDescent="0.75">
      <c r="F403">
        <v>398</v>
      </c>
      <c r="G403">
        <f t="shared" ca="1" si="42"/>
        <v>1.4828570581731364</v>
      </c>
      <c r="H403">
        <f t="shared" ca="1" si="42"/>
        <v>1.7128074325567102</v>
      </c>
      <c r="I403">
        <f t="shared" ca="1" si="43"/>
        <v>1.4828570581731364</v>
      </c>
      <c r="J403">
        <f t="shared" ca="1" si="44"/>
        <v>2.2450584212018754</v>
      </c>
      <c r="K403">
        <f t="shared" ca="1" si="45"/>
        <v>25.786111226882291</v>
      </c>
      <c r="L403">
        <f t="shared" ca="1" si="46"/>
        <v>34.665566654667501</v>
      </c>
      <c r="M403">
        <f t="shared" ca="1" si="47"/>
        <v>0</v>
      </c>
      <c r="N403">
        <f t="shared" ca="1" si="48"/>
        <v>0</v>
      </c>
    </row>
    <row r="404" spans="6:14" x14ac:dyDescent="0.75">
      <c r="F404">
        <v>399</v>
      </c>
      <c r="G404">
        <f t="shared" ca="1" si="42"/>
        <v>-1.2353045783298782</v>
      </c>
      <c r="H404">
        <f t="shared" ca="1" si="42"/>
        <v>-0.76317536274596265</v>
      </c>
      <c r="I404">
        <f t="shared" ca="1" si="43"/>
        <v>-1.2353045783298782</v>
      </c>
      <c r="J404">
        <f t="shared" ca="1" si="44"/>
        <v>-1.4312714878867399</v>
      </c>
      <c r="K404">
        <f t="shared" ca="1" si="45"/>
        <v>13.069687443543073</v>
      </c>
      <c r="L404">
        <f t="shared" ca="1" si="46"/>
        <v>13.827569672739077</v>
      </c>
      <c r="M404">
        <f t="shared" ca="1" si="47"/>
        <v>0</v>
      </c>
      <c r="N404">
        <f t="shared" ca="1" si="48"/>
        <v>0</v>
      </c>
    </row>
    <row r="405" spans="6:14" x14ac:dyDescent="0.75">
      <c r="F405">
        <v>400</v>
      </c>
      <c r="G405">
        <f t="shared" ca="1" si="42"/>
        <v>-0.23964343024585119</v>
      </c>
      <c r="H405">
        <f t="shared" ca="1" si="42"/>
        <v>0.42084789322171767</v>
      </c>
      <c r="I405">
        <f t="shared" ca="1" si="43"/>
        <v>-0.23964343024585119</v>
      </c>
      <c r="J405">
        <f t="shared" ca="1" si="44"/>
        <v>9.8632143628144237E-2</v>
      </c>
      <c r="K405">
        <f t="shared" ca="1" si="45"/>
        <v>16.76361728680638</v>
      </c>
      <c r="L405">
        <f t="shared" ca="1" si="46"/>
        <v>20.269966534199217</v>
      </c>
      <c r="M405">
        <f t="shared" ca="1" si="47"/>
        <v>0</v>
      </c>
      <c r="N405">
        <f t="shared" ca="1" si="48"/>
        <v>0</v>
      </c>
    </row>
    <row r="406" spans="6:14" x14ac:dyDescent="0.75">
      <c r="F406">
        <v>401</v>
      </c>
      <c r="G406">
        <f t="shared" ca="1" si="42"/>
        <v>-0.52059061776794935</v>
      </c>
      <c r="H406">
        <f t="shared" ca="1" si="42"/>
        <v>0.11759968777873733</v>
      </c>
      <c r="I406">
        <f t="shared" ca="1" si="43"/>
        <v>-0.52059061776794935</v>
      </c>
      <c r="J406">
        <f t="shared" ca="1" si="44"/>
        <v>-0.31265808129561679</v>
      </c>
      <c r="K406">
        <f t="shared" ca="1" si="45"/>
        <v>15.62659239100768</v>
      </c>
      <c r="L406">
        <f t="shared" ca="1" si="46"/>
        <v>18.28932860155486</v>
      </c>
      <c r="M406">
        <f t="shared" ca="1" si="47"/>
        <v>0</v>
      </c>
      <c r="N406">
        <f t="shared" ca="1" si="48"/>
        <v>0</v>
      </c>
    </row>
    <row r="407" spans="6:14" x14ac:dyDescent="0.75">
      <c r="F407">
        <v>402</v>
      </c>
      <c r="G407">
        <f t="shared" ca="1" si="42"/>
        <v>0.79044124563884133</v>
      </c>
      <c r="H407">
        <f t="shared" ca="1" si="42"/>
        <v>-1.0642874339282842</v>
      </c>
      <c r="I407">
        <f t="shared" ca="1" si="43"/>
        <v>0.79044124563884133</v>
      </c>
      <c r="J407">
        <f t="shared" ca="1" si="44"/>
        <v>-0.11112903418720066</v>
      </c>
      <c r="K407">
        <f t="shared" ca="1" si="45"/>
        <v>21.687413501721405</v>
      </c>
      <c r="L407">
        <f t="shared" ca="1" si="46"/>
        <v>19.234393699330116</v>
      </c>
      <c r="M407">
        <f t="shared" ca="1" si="47"/>
        <v>0</v>
      </c>
      <c r="N407">
        <f t="shared" ca="1" si="48"/>
        <v>0</v>
      </c>
    </row>
    <row r="408" spans="6:14" x14ac:dyDescent="0.75">
      <c r="F408">
        <v>403</v>
      </c>
      <c r="G408">
        <f t="shared" ca="1" si="42"/>
        <v>-0.80592783276065649</v>
      </c>
      <c r="H408">
        <f t="shared" ca="1" si="42"/>
        <v>1.960980771131567</v>
      </c>
      <c r="I408">
        <f t="shared" ca="1" si="43"/>
        <v>-0.80592783276065649</v>
      </c>
      <c r="J408">
        <f t="shared" ca="1" si="44"/>
        <v>0.69262098697795649</v>
      </c>
      <c r="K408">
        <f t="shared" ca="1" si="45"/>
        <v>14.550710145917243</v>
      </c>
      <c r="L408">
        <f t="shared" ca="1" si="46"/>
        <v>23.514976600269684</v>
      </c>
      <c r="M408">
        <f t="shared" ca="1" si="47"/>
        <v>0</v>
      </c>
      <c r="N408">
        <f t="shared" ca="1" si="48"/>
        <v>0</v>
      </c>
    </row>
    <row r="409" spans="6:14" x14ac:dyDescent="0.75">
      <c r="F409">
        <v>404</v>
      </c>
      <c r="G409">
        <f t="shared" ca="1" si="42"/>
        <v>-0.81871407474802871</v>
      </c>
      <c r="H409">
        <f t="shared" ca="1" si="42"/>
        <v>-0.75808204695921177</v>
      </c>
      <c r="I409">
        <f t="shared" ca="1" si="43"/>
        <v>-0.81871407474802871</v>
      </c>
      <c r="J409">
        <f t="shared" ca="1" si="44"/>
        <v>-1.1154596984702374</v>
      </c>
      <c r="K409">
        <f t="shared" ca="1" si="45"/>
        <v>14.504272181087671</v>
      </c>
      <c r="L409">
        <f t="shared" ca="1" si="46"/>
        <v>14.963551572308933</v>
      </c>
      <c r="M409">
        <f t="shared" ca="1" si="47"/>
        <v>0</v>
      </c>
      <c r="N409">
        <f t="shared" ca="1" si="48"/>
        <v>0</v>
      </c>
    </row>
    <row r="410" spans="6:14" x14ac:dyDescent="0.75">
      <c r="F410">
        <v>405</v>
      </c>
      <c r="G410">
        <f t="shared" ca="1" si="42"/>
        <v>-0.66564451707977124</v>
      </c>
      <c r="H410">
        <f t="shared" ca="1" si="42"/>
        <v>1.6123502760204598</v>
      </c>
      <c r="I410">
        <f t="shared" ca="1" si="43"/>
        <v>-0.66564451707977124</v>
      </c>
      <c r="J410">
        <f t="shared" ca="1" si="44"/>
        <v>0.56723607635929307</v>
      </c>
      <c r="K410">
        <f t="shared" ca="1" si="45"/>
        <v>15.070069563096965</v>
      </c>
      <c r="L410">
        <f t="shared" ca="1" si="46"/>
        <v>22.789303762147284</v>
      </c>
      <c r="M410">
        <f t="shared" ca="1" si="47"/>
        <v>0</v>
      </c>
      <c r="N410">
        <f t="shared" ca="1" si="48"/>
        <v>0</v>
      </c>
    </row>
    <row r="411" spans="6:14" x14ac:dyDescent="0.75">
      <c r="F411">
        <v>406</v>
      </c>
      <c r="G411">
        <f t="shared" ca="1" si="42"/>
        <v>-0.18889551316626071</v>
      </c>
      <c r="H411">
        <f t="shared" ca="1" si="42"/>
        <v>0.34141350300546547</v>
      </c>
      <c r="I411">
        <f t="shared" ca="1" si="43"/>
        <v>-0.18889551316626071</v>
      </c>
      <c r="J411">
        <f t="shared" ca="1" si="44"/>
        <v>8.415217092327068E-2</v>
      </c>
      <c r="K411">
        <f t="shared" ca="1" si="45"/>
        <v>16.977651806672156</v>
      </c>
      <c r="L411">
        <f t="shared" ca="1" si="46"/>
        <v>20.196722045922222</v>
      </c>
      <c r="M411">
        <f t="shared" ca="1" si="47"/>
        <v>0</v>
      </c>
      <c r="N411">
        <f t="shared" ca="1" si="48"/>
        <v>0</v>
      </c>
    </row>
    <row r="412" spans="6:14" x14ac:dyDescent="0.75">
      <c r="F412">
        <v>407</v>
      </c>
      <c r="G412">
        <f t="shared" ca="1" si="42"/>
        <v>-1.0467639232340877</v>
      </c>
      <c r="H412">
        <f t="shared" ca="1" si="42"/>
        <v>-4.1332695080534963E-2</v>
      </c>
      <c r="I412">
        <f t="shared" ca="1" si="43"/>
        <v>-1.0467639232340877</v>
      </c>
      <c r="J412">
        <f t="shared" ca="1" si="44"/>
        <v>-0.81241195047535542</v>
      </c>
      <c r="K412">
        <f t="shared" ca="1" si="45"/>
        <v>13.70047874463846</v>
      </c>
      <c r="L412">
        <f t="shared" ca="1" si="46"/>
        <v>16.141269026613404</v>
      </c>
      <c r="M412">
        <f t="shared" ca="1" si="47"/>
        <v>0</v>
      </c>
      <c r="N412">
        <f t="shared" ca="1" si="48"/>
        <v>0</v>
      </c>
    </row>
    <row r="413" spans="6:14" x14ac:dyDescent="0.75">
      <c r="F413">
        <v>408</v>
      </c>
      <c r="G413">
        <f t="shared" ca="1" si="42"/>
        <v>0.40253875253905469</v>
      </c>
      <c r="H413">
        <f t="shared" ca="1" si="42"/>
        <v>1.039361993851889</v>
      </c>
      <c r="I413">
        <f t="shared" ca="1" si="43"/>
        <v>0.40253875253905469</v>
      </c>
      <c r="J413">
        <f t="shared" ca="1" si="44"/>
        <v>0.98937740388037665</v>
      </c>
      <c r="K413">
        <f t="shared" ca="1" si="45"/>
        <v>19.683022182755039</v>
      </c>
      <c r="L413">
        <f t="shared" ca="1" si="46"/>
        <v>25.32587561154677</v>
      </c>
      <c r="M413">
        <f t="shared" ca="1" si="47"/>
        <v>0</v>
      </c>
      <c r="N413">
        <f t="shared" ca="1" si="48"/>
        <v>0</v>
      </c>
    </row>
    <row r="414" spans="6:14" x14ac:dyDescent="0.75">
      <c r="F414">
        <v>409</v>
      </c>
      <c r="G414">
        <f t="shared" ca="1" si="42"/>
        <v>-0.46632952912129738</v>
      </c>
      <c r="H414">
        <f t="shared" ca="1" si="42"/>
        <v>-1.362658490559074</v>
      </c>
      <c r="I414">
        <f t="shared" ca="1" si="43"/>
        <v>-0.46632952912129738</v>
      </c>
      <c r="J414">
        <f t="shared" ca="1" si="44"/>
        <v>-1.2510610188234645</v>
      </c>
      <c r="K414">
        <f t="shared" ca="1" si="45"/>
        <v>15.840015669403991</v>
      </c>
      <c r="L414">
        <f t="shared" ca="1" si="46"/>
        <v>14.464784189885584</v>
      </c>
      <c r="M414">
        <f t="shared" ca="1" si="47"/>
        <v>0</v>
      </c>
      <c r="N414">
        <f t="shared" ca="1" si="48"/>
        <v>0</v>
      </c>
    </row>
    <row r="415" spans="6:14" x14ac:dyDescent="0.75">
      <c r="F415">
        <v>410</v>
      </c>
      <c r="G415">
        <f t="shared" ca="1" si="42"/>
        <v>-1.1020427227300049</v>
      </c>
      <c r="H415">
        <f t="shared" ca="1" si="42"/>
        <v>0.19907640531802953</v>
      </c>
      <c r="I415">
        <f t="shared" ca="1" si="43"/>
        <v>-1.1020427227300049</v>
      </c>
      <c r="J415">
        <f t="shared" ca="1" si="44"/>
        <v>-0.6948553769544531</v>
      </c>
      <c r="K415">
        <f t="shared" ca="1" si="45"/>
        <v>13.512444521144543</v>
      </c>
      <c r="L415">
        <f t="shared" ca="1" si="46"/>
        <v>16.622686672070653</v>
      </c>
      <c r="M415">
        <f t="shared" ca="1" si="47"/>
        <v>0</v>
      </c>
      <c r="N415">
        <f t="shared" ca="1" si="48"/>
        <v>0</v>
      </c>
    </row>
    <row r="416" spans="6:14" x14ac:dyDescent="0.75">
      <c r="F416">
        <v>411</v>
      </c>
      <c r="G416">
        <f t="shared" ca="1" si="42"/>
        <v>0.15023847644776986</v>
      </c>
      <c r="H416">
        <f t="shared" ca="1" si="42"/>
        <v>0.47198766907651546</v>
      </c>
      <c r="I416">
        <f t="shared" ca="1" si="43"/>
        <v>0.15023847644776986</v>
      </c>
      <c r="J416">
        <f t="shared" ca="1" si="44"/>
        <v>0.42486935590220515</v>
      </c>
      <c r="K416">
        <f t="shared" ca="1" si="45"/>
        <v>18.479857904029942</v>
      </c>
      <c r="L416">
        <f t="shared" ca="1" si="46"/>
        <v>21.992458794557411</v>
      </c>
      <c r="M416">
        <f t="shared" ca="1" si="47"/>
        <v>0</v>
      </c>
      <c r="N416">
        <f t="shared" ca="1" si="48"/>
        <v>0</v>
      </c>
    </row>
    <row r="417" spans="6:14" x14ac:dyDescent="0.75">
      <c r="F417">
        <v>412</v>
      </c>
      <c r="G417">
        <f t="shared" ca="1" si="42"/>
        <v>-0.83640990272851878</v>
      </c>
      <c r="H417">
        <f t="shared" ca="1" si="42"/>
        <v>0.22725911463594509</v>
      </c>
      <c r="I417">
        <f t="shared" ca="1" si="43"/>
        <v>-0.83640990272851878</v>
      </c>
      <c r="J417">
        <f t="shared" ca="1" si="44"/>
        <v>-0.47698965192153164</v>
      </c>
      <c r="K417">
        <f t="shared" ca="1" si="45"/>
        <v>14.440247630063951</v>
      </c>
      <c r="L417">
        <f t="shared" ca="1" si="46"/>
        <v>17.553175269324797</v>
      </c>
      <c r="M417">
        <f t="shared" ca="1" si="47"/>
        <v>0</v>
      </c>
      <c r="N417">
        <f t="shared" ca="1" si="48"/>
        <v>0</v>
      </c>
    </row>
    <row r="418" spans="6:14" x14ac:dyDescent="0.75">
      <c r="F418">
        <v>413</v>
      </c>
      <c r="G418">
        <f t="shared" ca="1" si="42"/>
        <v>0.1170497765985186</v>
      </c>
      <c r="H418">
        <f t="shared" ca="1" si="42"/>
        <v>4.8108535252265779E-2</v>
      </c>
      <c r="I418">
        <f t="shared" ca="1" si="43"/>
        <v>0.1170497765985186</v>
      </c>
      <c r="J418">
        <f t="shared" ca="1" si="44"/>
        <v>0.11960813750315877</v>
      </c>
      <c r="K418">
        <f t="shared" ca="1" si="45"/>
        <v>18.327161639538978</v>
      </c>
      <c r="L418">
        <f t="shared" ca="1" si="46"/>
        <v>20.376541402660052</v>
      </c>
      <c r="M418">
        <f t="shared" ca="1" si="47"/>
        <v>0</v>
      </c>
      <c r="N418">
        <f t="shared" ca="1" si="48"/>
        <v>0</v>
      </c>
    </row>
    <row r="419" spans="6:14" x14ac:dyDescent="0.75">
      <c r="F419">
        <v>414</v>
      </c>
      <c r="G419">
        <f t="shared" ca="1" si="42"/>
        <v>-1.7138476192522212E-3</v>
      </c>
      <c r="H419">
        <f t="shared" ca="1" si="42"/>
        <v>0.96915160747593321</v>
      </c>
      <c r="I419">
        <f t="shared" ca="1" si="43"/>
        <v>-1.7138476192522212E-3</v>
      </c>
      <c r="J419">
        <f t="shared" ca="1" si="44"/>
        <v>0.6397481483105123</v>
      </c>
      <c r="K419">
        <f t="shared" ca="1" si="45"/>
        <v>17.791010399531284</v>
      </c>
      <c r="L419">
        <f t="shared" ca="1" si="46"/>
        <v>23.20619596868104</v>
      </c>
      <c r="M419">
        <f t="shared" ca="1" si="47"/>
        <v>0</v>
      </c>
      <c r="N419">
        <f t="shared" ca="1" si="48"/>
        <v>0</v>
      </c>
    </row>
    <row r="420" spans="6:14" x14ac:dyDescent="0.75">
      <c r="F420">
        <v>415</v>
      </c>
      <c r="G420">
        <f t="shared" ca="1" si="42"/>
        <v>0.54637223113167821</v>
      </c>
      <c r="H420">
        <f t="shared" ca="1" si="42"/>
        <v>-0.32342443046179004</v>
      </c>
      <c r="I420">
        <f t="shared" ca="1" si="43"/>
        <v>0.54637223113167821</v>
      </c>
      <c r="J420">
        <f t="shared" ca="1" si="44"/>
        <v>0.19585402061760879</v>
      </c>
      <c r="K420">
        <f t="shared" ca="1" si="45"/>
        <v>20.403670592696962</v>
      </c>
      <c r="L420">
        <f t="shared" ca="1" si="46"/>
        <v>20.768673687188208</v>
      </c>
      <c r="M420">
        <f t="shared" ca="1" si="47"/>
        <v>0</v>
      </c>
      <c r="N420">
        <f t="shared" ca="1" si="48"/>
        <v>0</v>
      </c>
    </row>
    <row r="421" spans="6:14" x14ac:dyDescent="0.75">
      <c r="F421">
        <v>416</v>
      </c>
      <c r="G421">
        <f t="shared" ca="1" si="42"/>
        <v>-1.8542475495843775</v>
      </c>
      <c r="H421">
        <f t="shared" ca="1" si="42"/>
        <v>-0.5470543800449672</v>
      </c>
      <c r="I421">
        <f t="shared" ca="1" si="43"/>
        <v>-1.8542475495843775</v>
      </c>
      <c r="J421">
        <f t="shared" ca="1" si="44"/>
        <v>-1.752528122995183</v>
      </c>
      <c r="K421">
        <f t="shared" ca="1" si="45"/>
        <v>11.196036933950399</v>
      </c>
      <c r="L421">
        <f t="shared" ca="1" si="46"/>
        <v>12.760446159777834</v>
      </c>
      <c r="M421">
        <f t="shared" ca="1" si="47"/>
        <v>0</v>
      </c>
      <c r="N421">
        <f t="shared" ca="1" si="48"/>
        <v>0</v>
      </c>
    </row>
    <row r="422" spans="6:14" x14ac:dyDescent="0.75">
      <c r="F422">
        <v>417</v>
      </c>
      <c r="G422">
        <f t="shared" ca="1" si="42"/>
        <v>-0.47894370135959113</v>
      </c>
      <c r="H422">
        <f t="shared" ca="1" si="42"/>
        <v>0.11950382578583862</v>
      </c>
      <c r="I422">
        <f t="shared" ca="1" si="43"/>
        <v>-0.47894370135959113</v>
      </c>
      <c r="J422">
        <f t="shared" ca="1" si="44"/>
        <v>-0.28016342508216407</v>
      </c>
      <c r="K422">
        <f t="shared" ca="1" si="45"/>
        <v>15.790142178358934</v>
      </c>
      <c r="L422">
        <f t="shared" ca="1" si="46"/>
        <v>18.438510092611939</v>
      </c>
      <c r="M422">
        <f t="shared" ca="1" si="47"/>
        <v>0</v>
      </c>
      <c r="N422">
        <f t="shared" ca="1" si="48"/>
        <v>0</v>
      </c>
    </row>
    <row r="423" spans="6:14" x14ac:dyDescent="0.75">
      <c r="F423">
        <v>418</v>
      </c>
      <c r="G423">
        <f t="shared" ca="1" si="42"/>
        <v>1.1748148144228971</v>
      </c>
      <c r="H423">
        <f t="shared" ca="1" si="42"/>
        <v>0.55705473445590192</v>
      </c>
      <c r="I423">
        <f t="shared" ca="1" si="43"/>
        <v>1.1748148144228971</v>
      </c>
      <c r="J423">
        <f t="shared" ca="1" si="44"/>
        <v>1.2495681843225328</v>
      </c>
      <c r="K423">
        <f t="shared" ca="1" si="45"/>
        <v>23.874846606843157</v>
      </c>
      <c r="L423">
        <f t="shared" ca="1" si="46"/>
        <v>27.028025783229541</v>
      </c>
      <c r="M423">
        <f t="shared" ca="1" si="47"/>
        <v>0</v>
      </c>
      <c r="N423">
        <f t="shared" ca="1" si="48"/>
        <v>0</v>
      </c>
    </row>
    <row r="424" spans="6:14" x14ac:dyDescent="0.75">
      <c r="F424">
        <v>419</v>
      </c>
      <c r="G424">
        <f t="shared" ca="1" si="42"/>
        <v>1.3954171757536054</v>
      </c>
      <c r="H424">
        <f t="shared" ca="1" si="42"/>
        <v>1.0205924365644556</v>
      </c>
      <c r="I424">
        <f t="shared" ca="1" si="43"/>
        <v>1.3954171757536054</v>
      </c>
      <c r="J424">
        <f t="shared" ca="1" si="44"/>
        <v>1.7216213260909574</v>
      </c>
      <c r="K424">
        <f t="shared" ca="1" si="45"/>
        <v>25.228543998065696</v>
      </c>
      <c r="L424">
        <f t="shared" ca="1" si="46"/>
        <v>30.413530908983851</v>
      </c>
      <c r="M424">
        <f t="shared" ca="1" si="47"/>
        <v>0</v>
      </c>
      <c r="N424">
        <f t="shared" ca="1" si="48"/>
        <v>0</v>
      </c>
    </row>
    <row r="425" spans="6:14" x14ac:dyDescent="0.75">
      <c r="F425">
        <v>420</v>
      </c>
      <c r="G425">
        <f t="shared" ca="1" si="42"/>
        <v>-0.12161699553348547</v>
      </c>
      <c r="H425">
        <f t="shared" ca="1" si="42"/>
        <v>-0.73039826048353118</v>
      </c>
      <c r="I425">
        <f t="shared" ca="1" si="43"/>
        <v>-0.12161699553348547</v>
      </c>
      <c r="J425">
        <f t="shared" ca="1" si="44"/>
        <v>-0.57432578546851387</v>
      </c>
      <c r="K425">
        <f t="shared" ca="1" si="45"/>
        <v>17.265624627418383</v>
      </c>
      <c r="L425">
        <f t="shared" ca="1" si="46"/>
        <v>17.131190830784519</v>
      </c>
      <c r="M425">
        <f t="shared" ca="1" si="47"/>
        <v>0</v>
      </c>
      <c r="N425">
        <f t="shared" ca="1" si="48"/>
        <v>0</v>
      </c>
    </row>
    <row r="426" spans="6:14" x14ac:dyDescent="0.75">
      <c r="F426">
        <v>421</v>
      </c>
      <c r="G426">
        <f t="shared" ca="1" si="42"/>
        <v>-0.17380102254178967</v>
      </c>
      <c r="H426">
        <f t="shared" ca="1" si="42"/>
        <v>2.2250773213290178</v>
      </c>
      <c r="I426">
        <f t="shared" ca="1" si="43"/>
        <v>-0.17380102254178967</v>
      </c>
      <c r="J426">
        <f t="shared" ca="1" si="44"/>
        <v>1.3413995431252419</v>
      </c>
      <c r="K426">
        <f t="shared" ca="1" si="45"/>
        <v>17.041840093192327</v>
      </c>
      <c r="L426">
        <f t="shared" ca="1" si="46"/>
        <v>27.655708416474219</v>
      </c>
      <c r="M426">
        <f t="shared" ca="1" si="47"/>
        <v>0</v>
      </c>
      <c r="N426">
        <f t="shared" ca="1" si="48"/>
        <v>0</v>
      </c>
    </row>
    <row r="427" spans="6:14" x14ac:dyDescent="0.75">
      <c r="F427">
        <v>422</v>
      </c>
      <c r="G427">
        <f t="shared" ca="1" si="42"/>
        <v>-0.67532847008800878</v>
      </c>
      <c r="H427">
        <f t="shared" ca="1" si="42"/>
        <v>3.2971474753197574E-2</v>
      </c>
      <c r="I427">
        <f t="shared" ca="1" si="43"/>
        <v>-0.67532847008800878</v>
      </c>
      <c r="J427">
        <f t="shared" ca="1" si="44"/>
        <v>-0.48468777192700518</v>
      </c>
      <c r="K427">
        <f t="shared" ca="1" si="45"/>
        <v>15.033629230334371</v>
      </c>
      <c r="L427">
        <f t="shared" ca="1" si="46"/>
        <v>17.51942614291956</v>
      </c>
      <c r="M427">
        <f t="shared" ca="1" si="47"/>
        <v>0</v>
      </c>
      <c r="N427">
        <f t="shared" ca="1" si="48"/>
        <v>0</v>
      </c>
    </row>
    <row r="428" spans="6:14" x14ac:dyDescent="0.75">
      <c r="F428">
        <v>423</v>
      </c>
      <c r="G428">
        <f t="shared" ca="1" si="42"/>
        <v>-7.3071561933527165E-2</v>
      </c>
      <c r="H428">
        <f t="shared" ca="1" si="42"/>
        <v>-0.72179019773730102</v>
      </c>
      <c r="I428">
        <f t="shared" ca="1" si="43"/>
        <v>-7.3071561933527165E-2</v>
      </c>
      <c r="J428">
        <f t="shared" ca="1" si="44"/>
        <v>-0.53222301194440402</v>
      </c>
      <c r="K428">
        <f t="shared" ca="1" si="45"/>
        <v>17.476443132729202</v>
      </c>
      <c r="L428">
        <f t="shared" ca="1" si="46"/>
        <v>17.312460815283856</v>
      </c>
      <c r="M428">
        <f t="shared" ca="1" si="47"/>
        <v>0</v>
      </c>
      <c r="N428">
        <f t="shared" ca="1" si="48"/>
        <v>0</v>
      </c>
    </row>
    <row r="429" spans="6:14" x14ac:dyDescent="0.75">
      <c r="F429">
        <v>424</v>
      </c>
      <c r="G429">
        <f t="shared" ca="1" si="42"/>
        <v>-0.28476084706397631</v>
      </c>
      <c r="H429">
        <f t="shared" ca="1" si="42"/>
        <v>-0.47030697640040486</v>
      </c>
      <c r="I429">
        <f t="shared" ca="1" si="43"/>
        <v>-0.28476084706397631</v>
      </c>
      <c r="J429">
        <f t="shared" ca="1" si="44"/>
        <v>-0.52464946015153091</v>
      </c>
      <c r="K429">
        <f t="shared" ca="1" si="45"/>
        <v>16.575596877462132</v>
      </c>
      <c r="L429">
        <f t="shared" ca="1" si="46"/>
        <v>17.345271071415446</v>
      </c>
      <c r="M429">
        <f t="shared" ca="1" si="47"/>
        <v>0</v>
      </c>
      <c r="N429">
        <f t="shared" ca="1" si="48"/>
        <v>0</v>
      </c>
    </row>
    <row r="430" spans="6:14" x14ac:dyDescent="0.75">
      <c r="F430">
        <v>425</v>
      </c>
      <c r="G430">
        <f t="shared" ca="1" si="42"/>
        <v>0.34138893812397331</v>
      </c>
      <c r="H430">
        <f t="shared" ca="1" si="42"/>
        <v>-0.31301598601966257</v>
      </c>
      <c r="I430">
        <f t="shared" ca="1" si="43"/>
        <v>0.34138893812397331</v>
      </c>
      <c r="J430">
        <f t="shared" ca="1" si="44"/>
        <v>4.9001089744055482E-2</v>
      </c>
      <c r="K430">
        <f t="shared" ca="1" si="45"/>
        <v>19.38440724104613</v>
      </c>
      <c r="L430">
        <f t="shared" ca="1" si="46"/>
        <v>20.020015457506631</v>
      </c>
      <c r="M430">
        <f t="shared" ca="1" si="47"/>
        <v>0</v>
      </c>
      <c r="N430">
        <f t="shared" ca="1" si="48"/>
        <v>0</v>
      </c>
    </row>
    <row r="431" spans="6:14" x14ac:dyDescent="0.75">
      <c r="F431">
        <v>426</v>
      </c>
      <c r="G431">
        <f t="shared" ca="1" si="42"/>
        <v>0.68513675589524681</v>
      </c>
      <c r="H431">
        <f t="shared" ca="1" si="42"/>
        <v>1.0716893722509495</v>
      </c>
      <c r="I431">
        <f t="shared" ca="1" si="43"/>
        <v>0.68513675589524681</v>
      </c>
      <c r="J431">
        <f t="shared" ca="1" si="44"/>
        <v>1.2227084573431695</v>
      </c>
      <c r="K431">
        <f t="shared" ca="1" si="45"/>
        <v>21.123917870581877</v>
      </c>
      <c r="L431">
        <f t="shared" ca="1" si="46"/>
        <v>26.84714242427529</v>
      </c>
      <c r="M431">
        <f t="shared" ca="1" si="47"/>
        <v>0</v>
      </c>
      <c r="N431">
        <f t="shared" ca="1" si="48"/>
        <v>0</v>
      </c>
    </row>
    <row r="432" spans="6:14" x14ac:dyDescent="0.75">
      <c r="F432">
        <v>427</v>
      </c>
      <c r="G432">
        <f t="shared" ca="1" si="42"/>
        <v>-0.766770732293653</v>
      </c>
      <c r="H432">
        <f t="shared" ca="1" si="42"/>
        <v>0.13696228645733391</v>
      </c>
      <c r="I432">
        <f t="shared" ca="1" si="43"/>
        <v>-0.766770732293653</v>
      </c>
      <c r="J432">
        <f t="shared" ca="1" si="44"/>
        <v>-0.48448601198001595</v>
      </c>
      <c r="K432">
        <f t="shared" ca="1" si="45"/>
        <v>14.693850527877084</v>
      </c>
      <c r="L432">
        <f t="shared" ca="1" si="46"/>
        <v>17.520309844828795</v>
      </c>
      <c r="M432">
        <f t="shared" ca="1" si="47"/>
        <v>0</v>
      </c>
      <c r="N432">
        <f t="shared" ca="1" si="48"/>
        <v>0</v>
      </c>
    </row>
    <row r="433" spans="6:14" x14ac:dyDescent="0.75">
      <c r="F433">
        <v>428</v>
      </c>
      <c r="G433">
        <f t="shared" ca="1" si="42"/>
        <v>0.29196221149037693</v>
      </c>
      <c r="H433">
        <f t="shared" ca="1" si="42"/>
        <v>-0.34703568543177771</v>
      </c>
      <c r="I433">
        <f t="shared" ca="1" si="43"/>
        <v>0.29196221149037693</v>
      </c>
      <c r="J433">
        <f t="shared" ca="1" si="44"/>
        <v>-1.0570871311548491E-2</v>
      </c>
      <c r="K433">
        <f t="shared" ca="1" si="45"/>
        <v>19.146354094081406</v>
      </c>
      <c r="L433">
        <f t="shared" ca="1" si="46"/>
        <v>19.724066812485116</v>
      </c>
      <c r="M433">
        <f t="shared" ca="1" si="47"/>
        <v>0</v>
      </c>
      <c r="N433">
        <f t="shared" ca="1" si="48"/>
        <v>0</v>
      </c>
    </row>
    <row r="434" spans="6:14" x14ac:dyDescent="0.75">
      <c r="F434">
        <v>429</v>
      </c>
      <c r="G434">
        <f t="shared" ca="1" si="42"/>
        <v>3.8360033005427271E-2</v>
      </c>
      <c r="H434">
        <f t="shared" ca="1" si="42"/>
        <v>1.1657603925102489</v>
      </c>
      <c r="I434">
        <f t="shared" ca="1" si="43"/>
        <v>3.8360033005427271E-2</v>
      </c>
      <c r="J434">
        <f t="shared" ca="1" si="44"/>
        <v>0.79984804647186114</v>
      </c>
      <c r="K434">
        <f t="shared" ca="1" si="45"/>
        <v>17.970144934960881</v>
      </c>
      <c r="L434">
        <f t="shared" ca="1" si="46"/>
        <v>24.153862016291768</v>
      </c>
      <c r="M434">
        <f t="shared" ca="1" si="47"/>
        <v>0</v>
      </c>
      <c r="N434">
        <f t="shared" ca="1" si="48"/>
        <v>0</v>
      </c>
    </row>
    <row r="435" spans="6:14" x14ac:dyDescent="0.75">
      <c r="F435">
        <v>430</v>
      </c>
      <c r="G435">
        <f t="shared" ca="1" si="42"/>
        <v>-0.8235922178662165</v>
      </c>
      <c r="H435">
        <f t="shared" ca="1" si="42"/>
        <v>-3.7362063388144309E-2</v>
      </c>
      <c r="I435">
        <f t="shared" ca="1" si="43"/>
        <v>-0.8235922178662165</v>
      </c>
      <c r="J435">
        <f t="shared" ca="1" si="44"/>
        <v>-0.64240684544797777</v>
      </c>
      <c r="K435">
        <f t="shared" ca="1" si="45"/>
        <v>14.486594483689739</v>
      </c>
      <c r="L435">
        <f t="shared" ca="1" si="46"/>
        <v>16.842080767422694</v>
      </c>
      <c r="M435">
        <f t="shared" ca="1" si="47"/>
        <v>0</v>
      </c>
      <c r="N435">
        <f t="shared" ca="1" si="48"/>
        <v>0</v>
      </c>
    </row>
    <row r="436" spans="6:14" x14ac:dyDescent="0.75">
      <c r="F436">
        <v>431</v>
      </c>
      <c r="G436">
        <f t="shared" ca="1" si="42"/>
        <v>-0.10641801707214696</v>
      </c>
      <c r="H436">
        <f t="shared" ca="1" si="42"/>
        <v>-0.98125194572609065</v>
      </c>
      <c r="I436">
        <f t="shared" ca="1" si="43"/>
        <v>-0.10641801707214696</v>
      </c>
      <c r="J436">
        <f t="shared" ca="1" si="44"/>
        <v>-0.72885066827648148</v>
      </c>
      <c r="K436">
        <f t="shared" ca="1" si="45"/>
        <v>17.331354390699687</v>
      </c>
      <c r="L436">
        <f t="shared" ca="1" si="46"/>
        <v>16.482012034232508</v>
      </c>
      <c r="M436">
        <f t="shared" ca="1" si="47"/>
        <v>0</v>
      </c>
      <c r="N436">
        <f t="shared" ca="1" si="48"/>
        <v>0</v>
      </c>
    </row>
    <row r="437" spans="6:14" x14ac:dyDescent="0.75">
      <c r="F437">
        <v>432</v>
      </c>
      <c r="G437">
        <f t="shared" ca="1" si="42"/>
        <v>0.17174836186716022</v>
      </c>
      <c r="H437">
        <f t="shared" ca="1" si="42"/>
        <v>-0.10569109928024592</v>
      </c>
      <c r="I437">
        <f t="shared" ca="1" si="43"/>
        <v>0.17174836186716022</v>
      </c>
      <c r="J437">
        <f t="shared" ca="1" si="44"/>
        <v>5.8903180278228037E-2</v>
      </c>
      <c r="K437">
        <f t="shared" ca="1" si="45"/>
        <v>18.579500482992326</v>
      </c>
      <c r="L437">
        <f t="shared" ca="1" si="46"/>
        <v>20.069636852998531</v>
      </c>
      <c r="M437">
        <f t="shared" ca="1" si="47"/>
        <v>0</v>
      </c>
      <c r="N437">
        <f t="shared" ca="1" si="48"/>
        <v>0</v>
      </c>
    </row>
    <row r="438" spans="6:14" x14ac:dyDescent="0.75">
      <c r="F438">
        <v>433</v>
      </c>
      <c r="G438">
        <f t="shared" ca="1" si="42"/>
        <v>2.0157355579609706</v>
      </c>
      <c r="H438">
        <f t="shared" ca="1" si="42"/>
        <v>-1.259409404067833</v>
      </c>
      <c r="I438">
        <f t="shared" ca="1" si="43"/>
        <v>2.0157355579609706</v>
      </c>
      <c r="J438">
        <f t="shared" ca="1" si="44"/>
        <v>0.67878064797584181</v>
      </c>
      <c r="K438">
        <f t="shared" ca="1" si="45"/>
        <v>29.460655090211038</v>
      </c>
      <c r="L438">
        <f t="shared" ca="1" si="46"/>
        <v>23.433753388958412</v>
      </c>
      <c r="M438">
        <f t="shared" ca="1" si="47"/>
        <v>0</v>
      </c>
      <c r="N438">
        <f t="shared" ca="1" si="48"/>
        <v>0</v>
      </c>
    </row>
    <row r="439" spans="6:14" x14ac:dyDescent="0.75">
      <c r="F439">
        <v>434</v>
      </c>
      <c r="G439">
        <f t="shared" ca="1" si="42"/>
        <v>-0.12207701957527416</v>
      </c>
      <c r="H439">
        <f t="shared" ca="1" si="42"/>
        <v>-1.1641602635000741</v>
      </c>
      <c r="I439">
        <f t="shared" ca="1" si="43"/>
        <v>-0.12207701957527416</v>
      </c>
      <c r="J439">
        <f t="shared" ca="1" si="44"/>
        <v>-0.86157740054261067</v>
      </c>
      <c r="K439">
        <f t="shared" ca="1" si="45"/>
        <v>17.263639090988605</v>
      </c>
      <c r="L439">
        <f t="shared" ca="1" si="46"/>
        <v>15.944085149284446</v>
      </c>
      <c r="M439">
        <f t="shared" ca="1" si="47"/>
        <v>0</v>
      </c>
      <c r="N439">
        <f t="shared" ca="1" si="48"/>
        <v>0</v>
      </c>
    </row>
    <row r="440" spans="6:14" x14ac:dyDescent="0.75">
      <c r="F440">
        <v>435</v>
      </c>
      <c r="G440">
        <f t="shared" ca="1" si="42"/>
        <v>0.9912966872847554</v>
      </c>
      <c r="H440">
        <f t="shared" ca="1" si="42"/>
        <v>-1.0147974023786981</v>
      </c>
      <c r="I440">
        <f t="shared" ca="1" si="43"/>
        <v>0.9912966872847554</v>
      </c>
      <c r="J440">
        <f t="shared" ca="1" si="44"/>
        <v>7.2247126011471097E-2</v>
      </c>
      <c r="K440">
        <f t="shared" ca="1" si="45"/>
        <v>22.8042273695105</v>
      </c>
      <c r="L440">
        <f t="shared" ca="1" si="46"/>
        <v>20.136700689090272</v>
      </c>
      <c r="M440">
        <f t="shared" ca="1" si="47"/>
        <v>0</v>
      </c>
      <c r="N440">
        <f t="shared" ca="1" si="48"/>
        <v>0</v>
      </c>
    </row>
    <row r="441" spans="6:14" x14ac:dyDescent="0.75">
      <c r="F441">
        <v>436</v>
      </c>
      <c r="G441">
        <f t="shared" ca="1" si="42"/>
        <v>0.11238645534569647</v>
      </c>
      <c r="H441">
        <f t="shared" ca="1" si="42"/>
        <v>0.22302597918006453</v>
      </c>
      <c r="I441">
        <f t="shared" ca="1" si="43"/>
        <v>0.11238645534569647</v>
      </c>
      <c r="J441">
        <f t="shared" ca="1" si="44"/>
        <v>0.2318076607135523</v>
      </c>
      <c r="K441">
        <f t="shared" ca="1" si="45"/>
        <v>18.30580772888138</v>
      </c>
      <c r="L441">
        <f t="shared" ca="1" si="46"/>
        <v>20.956192527562713</v>
      </c>
      <c r="M441">
        <f t="shared" ca="1" si="47"/>
        <v>0</v>
      </c>
      <c r="N441">
        <f t="shared" ca="1" si="48"/>
        <v>0</v>
      </c>
    </row>
    <row r="442" spans="6:14" x14ac:dyDescent="0.75">
      <c r="F442">
        <v>437</v>
      </c>
      <c r="G442">
        <f t="shared" ca="1" si="42"/>
        <v>0.44945299083245721</v>
      </c>
      <c r="H442">
        <f t="shared" ca="1" si="42"/>
        <v>0.27957211166119822</v>
      </c>
      <c r="I442">
        <f t="shared" ca="1" si="43"/>
        <v>0.44945299083245721</v>
      </c>
      <c r="J442">
        <f t="shared" ca="1" si="44"/>
        <v>0.52200931336552081</v>
      </c>
      <c r="K442">
        <f t="shared" ca="1" si="45"/>
        <v>19.915234778734821</v>
      </c>
      <c r="L442">
        <f t="shared" ca="1" si="46"/>
        <v>22.533083384047757</v>
      </c>
      <c r="M442">
        <f t="shared" ca="1" si="47"/>
        <v>0</v>
      </c>
      <c r="N442">
        <f t="shared" ca="1" si="48"/>
        <v>0</v>
      </c>
    </row>
    <row r="443" spans="6:14" x14ac:dyDescent="0.75">
      <c r="F443">
        <v>438</v>
      </c>
      <c r="G443">
        <f t="shared" ca="1" si="42"/>
        <v>-0.54842998827867273</v>
      </c>
      <c r="H443">
        <f t="shared" ca="1" si="42"/>
        <v>-1.3789312604377442</v>
      </c>
      <c r="I443">
        <f t="shared" ca="1" si="43"/>
        <v>-0.54842998827867273</v>
      </c>
      <c r="J443">
        <f t="shared" ca="1" si="44"/>
        <v>-1.3233997887517821</v>
      </c>
      <c r="K443">
        <f t="shared" ca="1" si="45"/>
        <v>15.51821136210425</v>
      </c>
      <c r="L443">
        <f t="shared" ca="1" si="46"/>
        <v>14.205544219030536</v>
      </c>
      <c r="M443">
        <f t="shared" ca="1" si="47"/>
        <v>0</v>
      </c>
      <c r="N443">
        <f t="shared" ca="1" si="48"/>
        <v>0</v>
      </c>
    </row>
    <row r="444" spans="6:14" x14ac:dyDescent="0.75">
      <c r="F444">
        <v>439</v>
      </c>
      <c r="G444">
        <f t="shared" ca="1" si="42"/>
        <v>3.7350837205343386E-2</v>
      </c>
      <c r="H444">
        <f t="shared" ca="1" si="42"/>
        <v>-1.575551885487672</v>
      </c>
      <c r="I444">
        <f t="shared" ca="1" si="43"/>
        <v>3.7350837205343386E-2</v>
      </c>
      <c r="J444">
        <f t="shared" ca="1" si="44"/>
        <v>-1.0141164887658165</v>
      </c>
      <c r="K444">
        <f t="shared" ca="1" si="45"/>
        <v>17.965611658156604</v>
      </c>
      <c r="L444">
        <f t="shared" ca="1" si="46"/>
        <v>15.347508549220169</v>
      </c>
      <c r="M444">
        <f t="shared" ca="1" si="47"/>
        <v>0</v>
      </c>
      <c r="N444">
        <f t="shared" ca="1" si="48"/>
        <v>0</v>
      </c>
    </row>
    <row r="445" spans="6:14" x14ac:dyDescent="0.75">
      <c r="F445">
        <v>440</v>
      </c>
      <c r="G445">
        <f t="shared" ca="1" si="42"/>
        <v>1.9703956256999493</v>
      </c>
      <c r="H445">
        <f t="shared" ca="1" si="42"/>
        <v>-1.1752718660708428</v>
      </c>
      <c r="I445">
        <f t="shared" ca="1" si="43"/>
        <v>1.9703956256999493</v>
      </c>
      <c r="J445">
        <f t="shared" ca="1" si="44"/>
        <v>0.70042744914639687</v>
      </c>
      <c r="K445">
        <f t="shared" ca="1" si="45"/>
        <v>29.128604512706758</v>
      </c>
      <c r="L445">
        <f t="shared" ca="1" si="46"/>
        <v>23.560913605181078</v>
      </c>
      <c r="M445">
        <f t="shared" ca="1" si="47"/>
        <v>0</v>
      </c>
      <c r="N445">
        <f t="shared" ca="1" si="48"/>
        <v>0</v>
      </c>
    </row>
    <row r="446" spans="6:14" x14ac:dyDescent="0.75">
      <c r="F446">
        <v>441</v>
      </c>
      <c r="G446">
        <f t="shared" ca="1" si="42"/>
        <v>-0.90980148955999363</v>
      </c>
      <c r="H446">
        <f t="shared" ca="1" si="42"/>
        <v>0.4242451694131445</v>
      </c>
      <c r="I446">
        <f t="shared" ca="1" si="43"/>
        <v>-0.90980148955999363</v>
      </c>
      <c r="J446">
        <f t="shared" ca="1" si="44"/>
        <v>-0.40173931387308359</v>
      </c>
      <c r="K446">
        <f t="shared" ca="1" si="45"/>
        <v>14.17771528130268</v>
      </c>
      <c r="L446">
        <f t="shared" ca="1" si="46"/>
        <v>17.886521584143679</v>
      </c>
      <c r="M446">
        <f t="shared" ca="1" si="47"/>
        <v>0</v>
      </c>
      <c r="N446">
        <f t="shared" ca="1" si="48"/>
        <v>0</v>
      </c>
    </row>
    <row r="447" spans="6:14" x14ac:dyDescent="0.75">
      <c r="F447">
        <v>442</v>
      </c>
      <c r="G447">
        <f t="shared" ca="1" si="42"/>
        <v>-1.0026237797487236</v>
      </c>
      <c r="H447">
        <f t="shared" ca="1" si="42"/>
        <v>1.1611653173435086</v>
      </c>
      <c r="I447">
        <f t="shared" ca="1" si="43"/>
        <v>-1.0026237797487236</v>
      </c>
      <c r="J447">
        <f t="shared" ca="1" si="44"/>
        <v>1.6070830369537159E-2</v>
      </c>
      <c r="K447">
        <f t="shared" ca="1" si="45"/>
        <v>13.85250126334274</v>
      </c>
      <c r="L447">
        <f t="shared" ca="1" si="46"/>
        <v>19.855875953683441</v>
      </c>
      <c r="M447">
        <f t="shared" ca="1" si="47"/>
        <v>0</v>
      </c>
      <c r="N447">
        <f t="shared" ca="1" si="48"/>
        <v>0</v>
      </c>
    </row>
    <row r="448" spans="6:14" x14ac:dyDescent="0.75">
      <c r="F448">
        <v>443</v>
      </c>
      <c r="G448">
        <f t="shared" ca="1" si="42"/>
        <v>-0.15044657000751596</v>
      </c>
      <c r="H448">
        <f t="shared" ca="1" si="42"/>
        <v>-0.72237318749124158</v>
      </c>
      <c r="I448">
        <f t="shared" ca="1" si="43"/>
        <v>-0.15044657000751596</v>
      </c>
      <c r="J448">
        <f t="shared" ca="1" si="44"/>
        <v>-0.59063987947635188</v>
      </c>
      <c r="K448">
        <f t="shared" ca="1" si="45"/>
        <v>17.141631843806884</v>
      </c>
      <c r="L448">
        <f t="shared" ca="1" si="46"/>
        <v>17.06146315600099</v>
      </c>
      <c r="M448">
        <f t="shared" ca="1" si="47"/>
        <v>0</v>
      </c>
      <c r="N448">
        <f t="shared" ca="1" si="48"/>
        <v>0</v>
      </c>
    </row>
    <row r="449" spans="6:14" x14ac:dyDescent="0.75">
      <c r="F449">
        <v>444</v>
      </c>
      <c r="G449">
        <f t="shared" ca="1" si="42"/>
        <v>-1.8336943911726209</v>
      </c>
      <c r="H449">
        <f t="shared" ca="1" si="42"/>
        <v>-7.0879851358651907E-2</v>
      </c>
      <c r="I449">
        <f t="shared" ca="1" si="43"/>
        <v>-1.8336943911726209</v>
      </c>
      <c r="J449">
        <f t="shared" ca="1" si="44"/>
        <v>-1.4221534082945197</v>
      </c>
      <c r="K449">
        <f t="shared" ca="1" si="45"/>
        <v>11.253713466588209</v>
      </c>
      <c r="L449">
        <f t="shared" ca="1" si="46"/>
        <v>13.859125845747592</v>
      </c>
      <c r="M449">
        <f t="shared" ca="1" si="47"/>
        <v>0</v>
      </c>
      <c r="N449">
        <f t="shared" ca="1" si="48"/>
        <v>0</v>
      </c>
    </row>
    <row r="450" spans="6:14" x14ac:dyDescent="0.75">
      <c r="F450">
        <v>445</v>
      </c>
      <c r="G450">
        <f t="shared" ca="1" si="42"/>
        <v>-1.4089466198635052</v>
      </c>
      <c r="H450">
        <f t="shared" ca="1" si="42"/>
        <v>1.681152871838822</v>
      </c>
      <c r="I450">
        <f t="shared" ca="1" si="43"/>
        <v>-1.4089466198635052</v>
      </c>
      <c r="J450">
        <f t="shared" ca="1" si="44"/>
        <v>5.5268138794262178E-2</v>
      </c>
      <c r="K450">
        <f t="shared" ca="1" si="45"/>
        <v>12.514464094726922</v>
      </c>
      <c r="L450">
        <f t="shared" ca="1" si="46"/>
        <v>20.051406647065303</v>
      </c>
      <c r="M450">
        <f t="shared" ca="1" si="47"/>
        <v>0</v>
      </c>
      <c r="N450">
        <f t="shared" ca="1" si="48"/>
        <v>0</v>
      </c>
    </row>
    <row r="451" spans="6:14" x14ac:dyDescent="0.75">
      <c r="F451">
        <v>446</v>
      </c>
      <c r="G451">
        <f t="shared" ca="1" si="42"/>
        <v>0.92090057451607865</v>
      </c>
      <c r="H451">
        <f t="shared" ca="1" si="42"/>
        <v>0.29391982161271274</v>
      </c>
      <c r="I451">
        <f t="shared" ca="1" si="43"/>
        <v>0.92090057451607865</v>
      </c>
      <c r="J451">
        <f t="shared" ca="1" si="44"/>
        <v>0.8850851192319853</v>
      </c>
      <c r="K451">
        <f t="shared" ca="1" si="45"/>
        <v>22.406406031513072</v>
      </c>
      <c r="L451">
        <f t="shared" ca="1" si="46"/>
        <v>24.674086253366276</v>
      </c>
      <c r="M451">
        <f t="shared" ca="1" si="47"/>
        <v>0</v>
      </c>
      <c r="N451">
        <f t="shared" ca="1" si="48"/>
        <v>0</v>
      </c>
    </row>
    <row r="452" spans="6:14" x14ac:dyDescent="0.75">
      <c r="F452">
        <v>447</v>
      </c>
      <c r="G452">
        <f t="shared" ca="1" si="42"/>
        <v>-1.0229353535853287</v>
      </c>
      <c r="H452">
        <f t="shared" ca="1" si="42"/>
        <v>-0.70520206940478469</v>
      </c>
      <c r="I452">
        <f t="shared" ca="1" si="43"/>
        <v>-1.0229353535853287</v>
      </c>
      <c r="J452">
        <f t="shared" ca="1" si="44"/>
        <v>-1.2336488401122896</v>
      </c>
      <c r="K452">
        <f t="shared" ca="1" si="45"/>
        <v>13.782338029261631</v>
      </c>
      <c r="L452">
        <f t="shared" ca="1" si="46"/>
        <v>14.527887287375133</v>
      </c>
      <c r="M452">
        <f t="shared" ca="1" si="47"/>
        <v>0</v>
      </c>
      <c r="N452">
        <f t="shared" ca="1" si="48"/>
        <v>0</v>
      </c>
    </row>
    <row r="453" spans="6:14" x14ac:dyDescent="0.75">
      <c r="F453">
        <v>448</v>
      </c>
      <c r="G453">
        <f t="shared" ca="1" si="42"/>
        <v>-1.5387900691166114</v>
      </c>
      <c r="H453">
        <f t="shared" ca="1" si="42"/>
        <v>0.94065534375809845</v>
      </c>
      <c r="I453">
        <f t="shared" ca="1" si="43"/>
        <v>-1.5387900691166114</v>
      </c>
      <c r="J453">
        <f t="shared" ca="1" si="44"/>
        <v>-0.53190752458548296</v>
      </c>
      <c r="K453">
        <f t="shared" ca="1" si="45"/>
        <v>12.114756325562952</v>
      </c>
      <c r="L453">
        <f t="shared" ca="1" si="46"/>
        <v>17.313826334768422</v>
      </c>
      <c r="M453">
        <f t="shared" ca="1" si="47"/>
        <v>0</v>
      </c>
      <c r="N453">
        <f t="shared" ca="1" si="48"/>
        <v>0</v>
      </c>
    </row>
    <row r="454" spans="6:14" x14ac:dyDescent="0.75">
      <c r="F454">
        <v>449</v>
      </c>
      <c r="G454">
        <f t="shared" ca="1" si="42"/>
        <v>0.69988900481338456</v>
      </c>
      <c r="H454">
        <f t="shared" ca="1" si="42"/>
        <v>9.6777178162979177E-2</v>
      </c>
      <c r="I454">
        <f t="shared" ca="1" si="43"/>
        <v>0.69988900481338456</v>
      </c>
      <c r="J454">
        <f t="shared" ca="1" si="44"/>
        <v>0.58892884011149682</v>
      </c>
      <c r="K454">
        <f t="shared" ca="1" si="45"/>
        <v>21.201968032679019</v>
      </c>
      <c r="L454">
        <f t="shared" ca="1" si="46"/>
        <v>22.913230242544063</v>
      </c>
      <c r="M454">
        <f t="shared" ca="1" si="47"/>
        <v>0</v>
      </c>
      <c r="N454">
        <f t="shared" ca="1" si="48"/>
        <v>0</v>
      </c>
    </row>
    <row r="455" spans="6:14" x14ac:dyDescent="0.75">
      <c r="F455">
        <v>450</v>
      </c>
      <c r="G455">
        <f t="shared" ref="G455:H518" ca="1" si="49">NORMSINV(RAND())</f>
        <v>-1.1142655420246186</v>
      </c>
      <c r="H455">
        <f t="shared" ca="1" si="49"/>
        <v>-2.4533740779365425E-2</v>
      </c>
      <c r="I455">
        <f t="shared" ref="I455:I518" ca="1" si="50">G455</f>
        <v>-1.1142655420246186</v>
      </c>
      <c r="J455">
        <f t="shared" ref="J455:J518" ca="1" si="51">G455*$C$8+SQRT(1-$C$8^2)*H455</f>
        <v>-0.85192670072654519</v>
      </c>
      <c r="K455">
        <f t="shared" ref="K455:K518" ca="1" si="52">C$3*EXP(($C$5-0.5*C$4^2)*$C$6+C$4*SQRT($C$6)*I455)</f>
        <v>13.471217500124622</v>
      </c>
      <c r="L455">
        <f t="shared" ref="L455:L518" ca="1" si="53">D$3*EXP(($C$5-0.5*D$4^2)*$C$6+D$4*SQRT($C$6)*J455)</f>
        <v>15.982599486794909</v>
      </c>
      <c r="M455">
        <f t="shared" ref="M455:M518" ca="1" si="54">MAX(SQRT(K455*L455)-$C$7,0)</f>
        <v>0</v>
      </c>
      <c r="N455">
        <f t="shared" ref="N455:N518" ca="1" si="55">MAX((K455+L455)*0.5-$C$7,0)</f>
        <v>0</v>
      </c>
    </row>
    <row r="456" spans="6:14" x14ac:dyDescent="0.75">
      <c r="F456">
        <v>451</v>
      </c>
      <c r="G456">
        <f t="shared" ca="1" si="49"/>
        <v>-1.5685048804593724</v>
      </c>
      <c r="H456">
        <f t="shared" ca="1" si="49"/>
        <v>-5.0346764739187359E-2</v>
      </c>
      <c r="I456">
        <f t="shared" ca="1" si="50"/>
        <v>-1.5685048804593724</v>
      </c>
      <c r="J456">
        <f t="shared" ca="1" si="51"/>
        <v>-1.2096799150486708</v>
      </c>
      <c r="K456">
        <f t="shared" ca="1" si="52"/>
        <v>12.025092854877201</v>
      </c>
      <c r="L456">
        <f t="shared" ca="1" si="53"/>
        <v>14.615203094792317</v>
      </c>
      <c r="M456">
        <f t="shared" ca="1" si="54"/>
        <v>0</v>
      </c>
      <c r="N456">
        <f t="shared" ca="1" si="55"/>
        <v>0</v>
      </c>
    </row>
    <row r="457" spans="6:14" x14ac:dyDescent="0.75">
      <c r="F457">
        <v>452</v>
      </c>
      <c r="G457">
        <f t="shared" ca="1" si="49"/>
        <v>-1.2988729190117299</v>
      </c>
      <c r="H457">
        <f t="shared" ca="1" si="49"/>
        <v>1.5446353733696194</v>
      </c>
      <c r="I457">
        <f t="shared" ca="1" si="50"/>
        <v>-1.2988729190117299</v>
      </c>
      <c r="J457">
        <f t="shared" ca="1" si="51"/>
        <v>4.752557679355629E-2</v>
      </c>
      <c r="K457">
        <f t="shared" ca="1" si="52"/>
        <v>12.86362457872821</v>
      </c>
      <c r="L457">
        <f t="shared" ca="1" si="53"/>
        <v>20.012631871393289</v>
      </c>
      <c r="M457">
        <f t="shared" ca="1" si="54"/>
        <v>0</v>
      </c>
      <c r="N457">
        <f t="shared" ca="1" si="55"/>
        <v>0</v>
      </c>
    </row>
    <row r="458" spans="6:14" x14ac:dyDescent="0.75">
      <c r="F458">
        <v>453</v>
      </c>
      <c r="G458">
        <f t="shared" ca="1" si="49"/>
        <v>-0.45568615081911057</v>
      </c>
      <c r="H458">
        <f t="shared" ca="1" si="49"/>
        <v>-1.0573938500389728</v>
      </c>
      <c r="I458">
        <f t="shared" ca="1" si="50"/>
        <v>-0.45568615081911057</v>
      </c>
      <c r="J458">
        <f t="shared" ca="1" si="51"/>
        <v>-1.041164904377395</v>
      </c>
      <c r="K458">
        <f t="shared" ca="1" si="52"/>
        <v>15.882219613341491</v>
      </c>
      <c r="L458">
        <f t="shared" ca="1" si="53"/>
        <v>15.24407720264124</v>
      </c>
      <c r="M458">
        <f t="shared" ca="1" si="54"/>
        <v>0</v>
      </c>
      <c r="N458">
        <f t="shared" ca="1" si="55"/>
        <v>0</v>
      </c>
    </row>
    <row r="459" spans="6:14" x14ac:dyDescent="0.75">
      <c r="F459">
        <v>454</v>
      </c>
      <c r="G459">
        <f t="shared" ca="1" si="49"/>
        <v>-0.43606137140803042</v>
      </c>
      <c r="H459">
        <f t="shared" ca="1" si="49"/>
        <v>-1.2115931734473151</v>
      </c>
      <c r="I459">
        <f t="shared" ca="1" si="50"/>
        <v>-0.43606137140803042</v>
      </c>
      <c r="J459">
        <f t="shared" ca="1" si="51"/>
        <v>-1.1284395853373084</v>
      </c>
      <c r="K459">
        <f t="shared" ca="1" si="52"/>
        <v>15.96033233889915</v>
      </c>
      <c r="L459">
        <f t="shared" ca="1" si="53"/>
        <v>14.915073967441192</v>
      </c>
      <c r="M459">
        <f t="shared" ca="1" si="54"/>
        <v>0</v>
      </c>
      <c r="N459">
        <f t="shared" ca="1" si="55"/>
        <v>0</v>
      </c>
    </row>
    <row r="460" spans="6:14" x14ac:dyDescent="0.75">
      <c r="F460">
        <v>455</v>
      </c>
      <c r="G460">
        <f t="shared" ca="1" si="49"/>
        <v>-0.1176099308495776</v>
      </c>
      <c r="H460">
        <f t="shared" ca="1" si="49"/>
        <v>0.49890136218733405</v>
      </c>
      <c r="I460">
        <f t="shared" ca="1" si="50"/>
        <v>-0.1176099308495776</v>
      </c>
      <c r="J460">
        <f t="shared" ca="1" si="51"/>
        <v>0.24178478513757914</v>
      </c>
      <c r="K460">
        <f t="shared" ca="1" si="52"/>
        <v>17.282929412317806</v>
      </c>
      <c r="L460">
        <f t="shared" ca="1" si="53"/>
        <v>21.00852840570035</v>
      </c>
      <c r="M460">
        <f t="shared" ca="1" si="54"/>
        <v>0</v>
      </c>
      <c r="N460">
        <f t="shared" ca="1" si="55"/>
        <v>0</v>
      </c>
    </row>
    <row r="461" spans="6:14" x14ac:dyDescent="0.75">
      <c r="F461">
        <v>456</v>
      </c>
      <c r="G461">
        <f t="shared" ca="1" si="49"/>
        <v>1.6792272644880446</v>
      </c>
      <c r="H461">
        <f t="shared" ca="1" si="49"/>
        <v>0.57413276635568378</v>
      </c>
      <c r="I461">
        <f t="shared" ca="1" si="50"/>
        <v>1.6792272644880446</v>
      </c>
      <c r="J461">
        <f t="shared" ca="1" si="51"/>
        <v>1.639173578193706</v>
      </c>
      <c r="K461">
        <f t="shared" ca="1" si="52"/>
        <v>27.08360529135231</v>
      </c>
      <c r="L461">
        <f t="shared" ca="1" si="53"/>
        <v>29.793065589751578</v>
      </c>
      <c r="M461">
        <f t="shared" ca="1" si="54"/>
        <v>0</v>
      </c>
      <c r="N461">
        <f t="shared" ca="1" si="55"/>
        <v>0</v>
      </c>
    </row>
    <row r="462" spans="6:14" x14ac:dyDescent="0.75">
      <c r="F462">
        <v>457</v>
      </c>
      <c r="G462">
        <f t="shared" ca="1" si="49"/>
        <v>-1.1989778158318416</v>
      </c>
      <c r="H462">
        <f t="shared" ca="1" si="49"/>
        <v>-5.333709856387487E-2</v>
      </c>
      <c r="I462">
        <f t="shared" ca="1" si="50"/>
        <v>-1.1989778158318416</v>
      </c>
      <c r="J462">
        <f t="shared" ca="1" si="51"/>
        <v>-0.93451253648731958</v>
      </c>
      <c r="K462">
        <f t="shared" ca="1" si="52"/>
        <v>13.188922911766074</v>
      </c>
      <c r="L462">
        <f t="shared" ca="1" si="53"/>
        <v>15.655998580601835</v>
      </c>
      <c r="M462">
        <f t="shared" ca="1" si="54"/>
        <v>0</v>
      </c>
      <c r="N462">
        <f t="shared" ca="1" si="55"/>
        <v>0</v>
      </c>
    </row>
    <row r="463" spans="6:14" x14ac:dyDescent="0.75">
      <c r="F463">
        <v>458</v>
      </c>
      <c r="G463">
        <f t="shared" ca="1" si="49"/>
        <v>-0.71217962660358936</v>
      </c>
      <c r="H463">
        <f t="shared" ca="1" si="49"/>
        <v>1.6999850441825224</v>
      </c>
      <c r="I463">
        <f t="shared" ca="1" si="50"/>
        <v>-0.71217962660358936</v>
      </c>
      <c r="J463">
        <f t="shared" ca="1" si="51"/>
        <v>0.59029969490633416</v>
      </c>
      <c r="K463">
        <f t="shared" ca="1" si="52"/>
        <v>14.895763612940096</v>
      </c>
      <c r="L463">
        <f t="shared" ca="1" si="53"/>
        <v>22.921084266193738</v>
      </c>
      <c r="M463">
        <f t="shared" ca="1" si="54"/>
        <v>0</v>
      </c>
      <c r="N463">
        <f t="shared" ca="1" si="55"/>
        <v>0</v>
      </c>
    </row>
    <row r="464" spans="6:14" x14ac:dyDescent="0.75">
      <c r="F464">
        <v>459</v>
      </c>
      <c r="G464">
        <f t="shared" ca="1" si="49"/>
        <v>6.7200161990033772E-2</v>
      </c>
      <c r="H464">
        <f t="shared" ca="1" si="49"/>
        <v>-0.44464766310331605</v>
      </c>
      <c r="I464">
        <f t="shared" ca="1" si="50"/>
        <v>6.7200161990033772E-2</v>
      </c>
      <c r="J464">
        <f t="shared" ca="1" si="51"/>
        <v>-0.24370666291182591</v>
      </c>
      <c r="K464">
        <f t="shared" ca="1" si="52"/>
        <v>18.100178469086124</v>
      </c>
      <c r="L464">
        <f t="shared" ca="1" si="53"/>
        <v>18.60733034827107</v>
      </c>
      <c r="M464">
        <f t="shared" ca="1" si="54"/>
        <v>0</v>
      </c>
      <c r="N464">
        <f t="shared" ca="1" si="55"/>
        <v>0</v>
      </c>
    </row>
    <row r="465" spans="6:14" x14ac:dyDescent="0.75">
      <c r="F465">
        <v>460</v>
      </c>
      <c r="G465">
        <f t="shared" ca="1" si="49"/>
        <v>-0.91204691104786939</v>
      </c>
      <c r="H465">
        <f t="shared" ca="1" si="49"/>
        <v>-0.63285002745404839</v>
      </c>
      <c r="I465">
        <f t="shared" ca="1" si="50"/>
        <v>-0.91204691104786939</v>
      </c>
      <c r="J465">
        <f t="shared" ca="1" si="51"/>
        <v>-1.1026261307468548</v>
      </c>
      <c r="K465">
        <f t="shared" ca="1" si="52"/>
        <v>14.169758778089125</v>
      </c>
      <c r="L465">
        <f t="shared" ca="1" si="53"/>
        <v>15.011637608606833</v>
      </c>
      <c r="M465">
        <f t="shared" ca="1" si="54"/>
        <v>0</v>
      </c>
      <c r="N465">
        <f t="shared" ca="1" si="55"/>
        <v>0</v>
      </c>
    </row>
    <row r="466" spans="6:14" x14ac:dyDescent="0.75">
      <c r="F466">
        <v>461</v>
      </c>
      <c r="G466">
        <f t="shared" ca="1" si="49"/>
        <v>-1.511269209532894E-2</v>
      </c>
      <c r="H466">
        <f t="shared" ca="1" si="49"/>
        <v>0.61942359637814737</v>
      </c>
      <c r="I466">
        <f t="shared" ca="1" si="50"/>
        <v>-1.511269209532894E-2</v>
      </c>
      <c r="J466">
        <f t="shared" ca="1" si="51"/>
        <v>0.39837567898396015</v>
      </c>
      <c r="K466">
        <f t="shared" ca="1" si="52"/>
        <v>17.73151535541345</v>
      </c>
      <c r="L466">
        <f t="shared" ca="1" si="53"/>
        <v>21.84727485787527</v>
      </c>
      <c r="M466">
        <f t="shared" ca="1" si="54"/>
        <v>0</v>
      </c>
      <c r="N466">
        <f t="shared" ca="1" si="55"/>
        <v>0</v>
      </c>
    </row>
    <row r="467" spans="6:14" x14ac:dyDescent="0.75">
      <c r="F467">
        <v>462</v>
      </c>
      <c r="G467">
        <f t="shared" ca="1" si="49"/>
        <v>0.52971163715317471</v>
      </c>
      <c r="H467">
        <f t="shared" ca="1" si="49"/>
        <v>1.2703068542369738</v>
      </c>
      <c r="I467">
        <f t="shared" ca="1" si="50"/>
        <v>0.52971163715317471</v>
      </c>
      <c r="J467">
        <f t="shared" ca="1" si="51"/>
        <v>1.2375127341278334</v>
      </c>
      <c r="K467">
        <f t="shared" ca="1" si="52"/>
        <v>20.31886301552586</v>
      </c>
      <c r="L467">
        <f t="shared" ca="1" si="53"/>
        <v>26.946689658074728</v>
      </c>
      <c r="M467">
        <f t="shared" ca="1" si="54"/>
        <v>0</v>
      </c>
      <c r="N467">
        <f t="shared" ca="1" si="55"/>
        <v>0</v>
      </c>
    </row>
    <row r="468" spans="6:14" x14ac:dyDescent="0.75">
      <c r="F468">
        <v>463</v>
      </c>
      <c r="G468">
        <f t="shared" ca="1" si="49"/>
        <v>-0.80075245697437802</v>
      </c>
      <c r="H468">
        <f t="shared" ca="1" si="49"/>
        <v>2.5949486649373577</v>
      </c>
      <c r="I468">
        <f t="shared" ca="1" si="50"/>
        <v>-0.80075245697437802</v>
      </c>
      <c r="J468">
        <f t="shared" ca="1" si="51"/>
        <v>1.1158328653700473</v>
      </c>
      <c r="K468">
        <f t="shared" ca="1" si="52"/>
        <v>14.569548678590531</v>
      </c>
      <c r="L468">
        <f t="shared" ca="1" si="53"/>
        <v>26.139314662633389</v>
      </c>
      <c r="M468">
        <f t="shared" ca="1" si="54"/>
        <v>0</v>
      </c>
      <c r="N468">
        <f t="shared" ca="1" si="55"/>
        <v>0</v>
      </c>
    </row>
    <row r="469" spans="6:14" x14ac:dyDescent="0.75">
      <c r="F469">
        <v>464</v>
      </c>
      <c r="G469">
        <f t="shared" ca="1" si="49"/>
        <v>-0.94388563629562672</v>
      </c>
      <c r="H469">
        <f t="shared" ca="1" si="49"/>
        <v>-0.13850533502611831</v>
      </c>
      <c r="I469">
        <f t="shared" ca="1" si="50"/>
        <v>-0.94388563629562672</v>
      </c>
      <c r="J469">
        <f t="shared" ca="1" si="51"/>
        <v>-0.7995268951554183</v>
      </c>
      <c r="K469">
        <f t="shared" ca="1" si="52"/>
        <v>14.057419698701079</v>
      </c>
      <c r="L469">
        <f t="shared" ca="1" si="53"/>
        <v>16.193348147960407</v>
      </c>
      <c r="M469">
        <f t="shared" ca="1" si="54"/>
        <v>0</v>
      </c>
      <c r="N469">
        <f t="shared" ca="1" si="55"/>
        <v>0</v>
      </c>
    </row>
    <row r="470" spans="6:14" x14ac:dyDescent="0.75">
      <c r="F470">
        <v>465</v>
      </c>
      <c r="G470">
        <f t="shared" ca="1" si="49"/>
        <v>-0.26697933048793665</v>
      </c>
      <c r="H470">
        <f t="shared" ca="1" si="49"/>
        <v>-0.20709308583682126</v>
      </c>
      <c r="I470">
        <f t="shared" ca="1" si="50"/>
        <v>-0.26697933048793665</v>
      </c>
      <c r="J470">
        <f t="shared" ca="1" si="51"/>
        <v>-0.33721369870724793</v>
      </c>
      <c r="K470">
        <f t="shared" ca="1" si="52"/>
        <v>16.649445711541166</v>
      </c>
      <c r="L470">
        <f t="shared" ca="1" si="53"/>
        <v>18.177396085620877</v>
      </c>
      <c r="M470">
        <f t="shared" ca="1" si="54"/>
        <v>0</v>
      </c>
      <c r="N470">
        <f t="shared" ca="1" si="55"/>
        <v>0</v>
      </c>
    </row>
    <row r="471" spans="6:14" x14ac:dyDescent="0.75">
      <c r="F471">
        <v>466</v>
      </c>
      <c r="G471">
        <f t="shared" ca="1" si="49"/>
        <v>1.8041761244682535</v>
      </c>
      <c r="H471">
        <f t="shared" ca="1" si="49"/>
        <v>-0.93967985882610827</v>
      </c>
      <c r="I471">
        <f t="shared" ca="1" si="50"/>
        <v>1.8041761244682535</v>
      </c>
      <c r="J471">
        <f t="shared" ca="1" si="51"/>
        <v>0.73159228873364879</v>
      </c>
      <c r="K471">
        <f t="shared" ca="1" si="52"/>
        <v>27.942973957316521</v>
      </c>
      <c r="L471">
        <f t="shared" ca="1" si="53"/>
        <v>23.745198597749383</v>
      </c>
      <c r="M471">
        <f t="shared" ca="1" si="54"/>
        <v>0</v>
      </c>
      <c r="N471">
        <f t="shared" ca="1" si="55"/>
        <v>0</v>
      </c>
    </row>
    <row r="472" spans="6:14" x14ac:dyDescent="0.75">
      <c r="F472">
        <v>467</v>
      </c>
      <c r="G472">
        <f t="shared" ca="1" si="49"/>
        <v>-0.20243240553073799</v>
      </c>
      <c r="H472">
        <f t="shared" ca="1" si="49"/>
        <v>-0.86668069988712104</v>
      </c>
      <c r="I472">
        <f t="shared" ca="1" si="50"/>
        <v>-0.20243240553073799</v>
      </c>
      <c r="J472">
        <f t="shared" ca="1" si="51"/>
        <v>-0.72507970364823537</v>
      </c>
      <c r="K472">
        <f t="shared" ca="1" si="52"/>
        <v>16.920292758047708</v>
      </c>
      <c r="L472">
        <f t="shared" ca="1" si="53"/>
        <v>16.497557631914376</v>
      </c>
      <c r="M472">
        <f t="shared" ca="1" si="54"/>
        <v>0</v>
      </c>
      <c r="N472">
        <f t="shared" ca="1" si="55"/>
        <v>0</v>
      </c>
    </row>
    <row r="473" spans="6:14" x14ac:dyDescent="0.75">
      <c r="F473">
        <v>468</v>
      </c>
      <c r="G473">
        <f t="shared" ca="1" si="49"/>
        <v>-0.33685780449828473</v>
      </c>
      <c r="H473">
        <f t="shared" ca="1" si="49"/>
        <v>0.46864714861279427</v>
      </c>
      <c r="I473">
        <f t="shared" ca="1" si="50"/>
        <v>-0.33685780449828473</v>
      </c>
      <c r="J473">
        <f t="shared" ca="1" si="51"/>
        <v>5.7337598593532046E-2</v>
      </c>
      <c r="K473">
        <f t="shared" ca="1" si="52"/>
        <v>16.361112118564829</v>
      </c>
      <c r="L473">
        <f t="shared" ca="1" si="53"/>
        <v>20.061783226066709</v>
      </c>
      <c r="M473">
        <f t="shared" ca="1" si="54"/>
        <v>0</v>
      </c>
      <c r="N473">
        <f t="shared" ca="1" si="55"/>
        <v>0</v>
      </c>
    </row>
    <row r="474" spans="6:14" x14ac:dyDescent="0.75">
      <c r="F474">
        <v>469</v>
      </c>
      <c r="G474">
        <f t="shared" ca="1" si="49"/>
        <v>1.0347360059067499</v>
      </c>
      <c r="H474">
        <f t="shared" ca="1" si="49"/>
        <v>-0.33772059078310113</v>
      </c>
      <c r="I474">
        <f t="shared" ca="1" si="50"/>
        <v>1.0347360059067499</v>
      </c>
      <c r="J474">
        <f t="shared" ca="1" si="51"/>
        <v>0.55267083047058785</v>
      </c>
      <c r="K474">
        <f t="shared" ca="1" si="52"/>
        <v>23.053226993759033</v>
      </c>
      <c r="L474">
        <f t="shared" ca="1" si="53"/>
        <v>22.706471709091321</v>
      </c>
      <c r="M474">
        <f t="shared" ca="1" si="54"/>
        <v>0</v>
      </c>
      <c r="N474">
        <f t="shared" ca="1" si="55"/>
        <v>0</v>
      </c>
    </row>
    <row r="475" spans="6:14" x14ac:dyDescent="0.75">
      <c r="F475">
        <v>470</v>
      </c>
      <c r="G475">
        <f t="shared" ca="1" si="49"/>
        <v>-0.27976132423352101</v>
      </c>
      <c r="H475">
        <f t="shared" ca="1" si="49"/>
        <v>-0.56518378087939292</v>
      </c>
      <c r="I475">
        <f t="shared" ca="1" si="50"/>
        <v>-0.27976132423352101</v>
      </c>
      <c r="J475">
        <f t="shared" ca="1" si="51"/>
        <v>-0.58365492548866471</v>
      </c>
      <c r="K475">
        <f t="shared" ca="1" si="52"/>
        <v>16.596327348825803</v>
      </c>
      <c r="L475">
        <f t="shared" ca="1" si="53"/>
        <v>17.091282568103015</v>
      </c>
      <c r="M475">
        <f t="shared" ca="1" si="54"/>
        <v>0</v>
      </c>
      <c r="N475">
        <f t="shared" ca="1" si="55"/>
        <v>0</v>
      </c>
    </row>
    <row r="476" spans="6:14" x14ac:dyDescent="0.75">
      <c r="F476">
        <v>471</v>
      </c>
      <c r="G476">
        <f t="shared" ca="1" si="49"/>
        <v>-1.0851491014011307</v>
      </c>
      <c r="H476">
        <f t="shared" ca="1" si="49"/>
        <v>1.1279356911815051</v>
      </c>
      <c r="I476">
        <f t="shared" ca="1" si="50"/>
        <v>-1.0851491014011307</v>
      </c>
      <c r="J476">
        <f t="shared" ca="1" si="51"/>
        <v>-6.7802492615845034E-2</v>
      </c>
      <c r="K476">
        <f t="shared" ca="1" si="52"/>
        <v>13.569633732989878</v>
      </c>
      <c r="L476">
        <f t="shared" ca="1" si="53"/>
        <v>19.443866054961219</v>
      </c>
      <c r="M476">
        <f t="shared" ca="1" si="54"/>
        <v>0</v>
      </c>
      <c r="N476">
        <f t="shared" ca="1" si="55"/>
        <v>0</v>
      </c>
    </row>
    <row r="477" spans="6:14" x14ac:dyDescent="0.75">
      <c r="F477">
        <v>472</v>
      </c>
      <c r="G477">
        <f t="shared" ca="1" si="49"/>
        <v>-1.036247087377002</v>
      </c>
      <c r="H477">
        <f t="shared" ca="1" si="49"/>
        <v>0.76645020948502895</v>
      </c>
      <c r="I477">
        <f t="shared" ca="1" si="50"/>
        <v>-1.036247087377002</v>
      </c>
      <c r="J477">
        <f t="shared" ca="1" si="51"/>
        <v>-0.2702261538800651</v>
      </c>
      <c r="K477">
        <f t="shared" ca="1" si="52"/>
        <v>13.736547561619282</v>
      </c>
      <c r="L477">
        <f t="shared" ca="1" si="53"/>
        <v>18.484374158318808</v>
      </c>
      <c r="M477">
        <f t="shared" ca="1" si="54"/>
        <v>0</v>
      </c>
      <c r="N477">
        <f t="shared" ca="1" si="55"/>
        <v>0</v>
      </c>
    </row>
    <row r="478" spans="6:14" x14ac:dyDescent="0.75">
      <c r="F478">
        <v>473</v>
      </c>
      <c r="G478">
        <f t="shared" ca="1" si="49"/>
        <v>2.6391658465983316E-2</v>
      </c>
      <c r="H478">
        <f t="shared" ca="1" si="49"/>
        <v>1.0998552446934777</v>
      </c>
      <c r="I478">
        <f t="shared" ca="1" si="50"/>
        <v>2.6391658465983316E-2</v>
      </c>
      <c r="J478">
        <f t="shared" ca="1" si="51"/>
        <v>0.74727960775674629</v>
      </c>
      <c r="K478">
        <f t="shared" ca="1" si="52"/>
        <v>17.916456938493738</v>
      </c>
      <c r="L478">
        <f t="shared" ca="1" si="53"/>
        <v>23.838506072587563</v>
      </c>
      <c r="M478">
        <f t="shared" ca="1" si="54"/>
        <v>0</v>
      </c>
      <c r="N478">
        <f t="shared" ca="1" si="55"/>
        <v>0</v>
      </c>
    </row>
    <row r="479" spans="6:14" x14ac:dyDescent="0.75">
      <c r="F479">
        <v>474</v>
      </c>
      <c r="G479">
        <f t="shared" ca="1" si="49"/>
        <v>1.6189261137003736</v>
      </c>
      <c r="H479">
        <f t="shared" ca="1" si="49"/>
        <v>0.29214102853279567</v>
      </c>
      <c r="I479">
        <f t="shared" ca="1" si="50"/>
        <v>1.6189261137003736</v>
      </c>
      <c r="J479">
        <f t="shared" ca="1" si="51"/>
        <v>1.4074277125893808</v>
      </c>
      <c r="K479">
        <f t="shared" ca="1" si="52"/>
        <v>26.678374311036883</v>
      </c>
      <c r="L479">
        <f t="shared" ca="1" si="53"/>
        <v>28.116011032374097</v>
      </c>
      <c r="M479">
        <f t="shared" ca="1" si="54"/>
        <v>0</v>
      </c>
      <c r="N479">
        <f t="shared" ca="1" si="55"/>
        <v>0</v>
      </c>
    </row>
    <row r="480" spans="6:14" x14ac:dyDescent="0.75">
      <c r="F480">
        <v>475</v>
      </c>
      <c r="G480">
        <f t="shared" ca="1" si="49"/>
        <v>-1.8110564066636092E-2</v>
      </c>
      <c r="H480">
        <f t="shared" ca="1" si="49"/>
        <v>9.5300184184890321E-2</v>
      </c>
      <c r="I480">
        <f t="shared" ca="1" si="50"/>
        <v>-1.8110564066636092E-2</v>
      </c>
      <c r="J480">
        <f t="shared" ca="1" si="51"/>
        <v>4.945222376299057E-2</v>
      </c>
      <c r="K480">
        <f t="shared" ca="1" si="52"/>
        <v>17.71823113086262</v>
      </c>
      <c r="L480">
        <f t="shared" ca="1" si="53"/>
        <v>20.022273512348029</v>
      </c>
      <c r="M480">
        <f t="shared" ca="1" si="54"/>
        <v>0</v>
      </c>
      <c r="N480">
        <f t="shared" ca="1" si="55"/>
        <v>0</v>
      </c>
    </row>
    <row r="481" spans="6:14" x14ac:dyDescent="0.75">
      <c r="F481">
        <v>476</v>
      </c>
      <c r="G481">
        <f t="shared" ca="1" si="49"/>
        <v>0.34033635325507039</v>
      </c>
      <c r="H481">
        <f t="shared" ca="1" si="49"/>
        <v>-0.44245224275658657</v>
      </c>
      <c r="I481">
        <f t="shared" ca="1" si="50"/>
        <v>0.34033635325507039</v>
      </c>
      <c r="J481">
        <f t="shared" ca="1" si="51"/>
        <v>-3.7402385397874049E-2</v>
      </c>
      <c r="K481">
        <f t="shared" ca="1" si="52"/>
        <v>19.379306978694288</v>
      </c>
      <c r="L481">
        <f t="shared" ca="1" si="53"/>
        <v>19.592202926261727</v>
      </c>
      <c r="M481">
        <f t="shared" ca="1" si="54"/>
        <v>0</v>
      </c>
      <c r="N481">
        <f t="shared" ca="1" si="55"/>
        <v>0</v>
      </c>
    </row>
    <row r="482" spans="6:14" x14ac:dyDescent="0.75">
      <c r="F482">
        <v>477</v>
      </c>
      <c r="G482">
        <f t="shared" ca="1" si="49"/>
        <v>-1.2955613428081116</v>
      </c>
      <c r="H482">
        <f t="shared" ca="1" si="49"/>
        <v>0.69550935624955679</v>
      </c>
      <c r="I482">
        <f t="shared" ca="1" si="50"/>
        <v>-1.2955613428081116</v>
      </c>
      <c r="J482">
        <f t="shared" ca="1" si="51"/>
        <v>-0.51163480931734506</v>
      </c>
      <c r="K482">
        <f t="shared" ca="1" si="52"/>
        <v>12.874278706626026</v>
      </c>
      <c r="L482">
        <f t="shared" ca="1" si="53"/>
        <v>17.401798644029405</v>
      </c>
      <c r="M482">
        <f t="shared" ca="1" si="54"/>
        <v>0</v>
      </c>
      <c r="N482">
        <f t="shared" ca="1" si="55"/>
        <v>0</v>
      </c>
    </row>
    <row r="483" spans="6:14" x14ac:dyDescent="0.75">
      <c r="F483">
        <v>478</v>
      </c>
      <c r="G483">
        <f t="shared" ca="1" si="49"/>
        <v>-1.4052808884368047</v>
      </c>
      <c r="H483">
        <f t="shared" ca="1" si="49"/>
        <v>-0.84846132555257148</v>
      </c>
      <c r="I483">
        <f t="shared" ca="1" si="50"/>
        <v>-1.4052808884368047</v>
      </c>
      <c r="J483">
        <f t="shared" ca="1" si="51"/>
        <v>-1.6151650824446828</v>
      </c>
      <c r="K483">
        <f t="shared" ca="1" si="52"/>
        <v>12.525938017543913</v>
      </c>
      <c r="L483">
        <f t="shared" ca="1" si="53"/>
        <v>13.206260572407531</v>
      </c>
      <c r="M483">
        <f t="shared" ca="1" si="54"/>
        <v>0</v>
      </c>
      <c r="N483">
        <f t="shared" ca="1" si="55"/>
        <v>0</v>
      </c>
    </row>
    <row r="484" spans="6:14" x14ac:dyDescent="0.75">
      <c r="F484">
        <v>479</v>
      </c>
      <c r="G484">
        <f t="shared" ca="1" si="49"/>
        <v>-1.1287071087170237</v>
      </c>
      <c r="H484">
        <f t="shared" ca="1" si="49"/>
        <v>1.5440682681194546</v>
      </c>
      <c r="I484">
        <f t="shared" ca="1" si="50"/>
        <v>-1.1287071087170237</v>
      </c>
      <c r="J484">
        <f t="shared" ca="1" si="51"/>
        <v>0.17477482964980207</v>
      </c>
      <c r="K484">
        <f t="shared" ca="1" si="52"/>
        <v>13.422668821244322</v>
      </c>
      <c r="L484">
        <f t="shared" ca="1" si="53"/>
        <v>20.659514852596761</v>
      </c>
      <c r="M484">
        <f t="shared" ca="1" si="54"/>
        <v>0</v>
      </c>
      <c r="N484">
        <f t="shared" ca="1" si="55"/>
        <v>0</v>
      </c>
    </row>
    <row r="485" spans="6:14" x14ac:dyDescent="0.75">
      <c r="F485">
        <v>480</v>
      </c>
      <c r="G485">
        <f t="shared" ca="1" si="49"/>
        <v>-0.91977159016962218</v>
      </c>
      <c r="H485">
        <f t="shared" ca="1" si="49"/>
        <v>1.1935193851721175</v>
      </c>
      <c r="I485">
        <f t="shared" ca="1" si="50"/>
        <v>-0.91977159016962218</v>
      </c>
      <c r="J485">
        <f t="shared" ca="1" si="51"/>
        <v>9.9610176897816927E-2</v>
      </c>
      <c r="K485">
        <f t="shared" ca="1" si="52"/>
        <v>14.142420973607891</v>
      </c>
      <c r="L485">
        <f t="shared" ca="1" si="53"/>
        <v>20.274923315573055</v>
      </c>
      <c r="M485">
        <f t="shared" ca="1" si="54"/>
        <v>0</v>
      </c>
      <c r="N485">
        <f t="shared" ca="1" si="55"/>
        <v>0</v>
      </c>
    </row>
    <row r="486" spans="6:14" x14ac:dyDescent="0.75">
      <c r="F486">
        <v>481</v>
      </c>
      <c r="G486">
        <f t="shared" ca="1" si="49"/>
        <v>-0.24811119085139594</v>
      </c>
      <c r="H486">
        <f t="shared" ca="1" si="49"/>
        <v>-1.6516695405590132</v>
      </c>
      <c r="I486">
        <f t="shared" ca="1" si="50"/>
        <v>-0.24811119085139594</v>
      </c>
      <c r="J486">
        <f t="shared" ca="1" si="51"/>
        <v>-1.2785601062334115</v>
      </c>
      <c r="K486">
        <f t="shared" ca="1" si="52"/>
        <v>16.728167248333293</v>
      </c>
      <c r="L486">
        <f t="shared" ca="1" si="53"/>
        <v>14.365683137560421</v>
      </c>
      <c r="M486">
        <f t="shared" ca="1" si="54"/>
        <v>0</v>
      </c>
      <c r="N486">
        <f t="shared" ca="1" si="55"/>
        <v>0</v>
      </c>
    </row>
    <row r="487" spans="6:14" x14ac:dyDescent="0.75">
      <c r="F487">
        <v>482</v>
      </c>
      <c r="G487">
        <f t="shared" ca="1" si="49"/>
        <v>0.15763890708227213</v>
      </c>
      <c r="H487">
        <f t="shared" ca="1" si="49"/>
        <v>-0.76872131888180273</v>
      </c>
      <c r="I487">
        <f t="shared" ca="1" si="50"/>
        <v>0.15763890708227213</v>
      </c>
      <c r="J487">
        <f t="shared" ca="1" si="51"/>
        <v>-0.39023217900700363</v>
      </c>
      <c r="K487">
        <f t="shared" ca="1" si="52"/>
        <v>18.51407927751973</v>
      </c>
      <c r="L487">
        <f t="shared" ca="1" si="53"/>
        <v>17.93805132260054</v>
      </c>
      <c r="M487">
        <f t="shared" ca="1" si="54"/>
        <v>0</v>
      </c>
      <c r="N487">
        <f t="shared" ca="1" si="55"/>
        <v>0</v>
      </c>
    </row>
    <row r="488" spans="6:14" x14ac:dyDescent="0.75">
      <c r="F488">
        <v>483</v>
      </c>
      <c r="G488">
        <f t="shared" ca="1" si="49"/>
        <v>2.4009437742987902</v>
      </c>
      <c r="H488">
        <f t="shared" ca="1" si="49"/>
        <v>0.80060603977338551</v>
      </c>
      <c r="I488">
        <f t="shared" ca="1" si="50"/>
        <v>2.4009437742987902</v>
      </c>
      <c r="J488">
        <f t="shared" ca="1" si="51"/>
        <v>2.3302589505682589</v>
      </c>
      <c r="K488">
        <f t="shared" ca="1" si="52"/>
        <v>32.438879938271938</v>
      </c>
      <c r="L488">
        <f t="shared" ca="1" si="53"/>
        <v>35.411867752265067</v>
      </c>
      <c r="M488">
        <f t="shared" ca="1" si="54"/>
        <v>0</v>
      </c>
      <c r="N488">
        <f t="shared" ca="1" si="55"/>
        <v>0</v>
      </c>
    </row>
    <row r="489" spans="6:14" x14ac:dyDescent="0.75">
      <c r="F489">
        <v>484</v>
      </c>
      <c r="G489">
        <f t="shared" ca="1" si="49"/>
        <v>-0.89543718314409837</v>
      </c>
      <c r="H489">
        <f t="shared" ca="1" si="49"/>
        <v>-0.50980224081687808</v>
      </c>
      <c r="I489">
        <f t="shared" ca="1" si="50"/>
        <v>-0.89543718314409837</v>
      </c>
      <c r="J489">
        <f t="shared" ca="1" si="51"/>
        <v>-1.0087803741143042</v>
      </c>
      <c r="K489">
        <f t="shared" ca="1" si="52"/>
        <v>14.22872006918498</v>
      </c>
      <c r="L489">
        <f t="shared" ca="1" si="53"/>
        <v>15.367996228065625</v>
      </c>
      <c r="M489">
        <f t="shared" ca="1" si="54"/>
        <v>0</v>
      </c>
      <c r="N489">
        <f t="shared" ca="1" si="55"/>
        <v>0</v>
      </c>
    </row>
    <row r="490" spans="6:14" x14ac:dyDescent="0.75">
      <c r="F490">
        <v>485</v>
      </c>
      <c r="G490">
        <f t="shared" ca="1" si="49"/>
        <v>0.84477271175327562</v>
      </c>
      <c r="H490">
        <f t="shared" ca="1" si="49"/>
        <v>-1.1474662929799877</v>
      </c>
      <c r="I490">
        <f t="shared" ca="1" si="50"/>
        <v>0.84477271175327562</v>
      </c>
      <c r="J490">
        <f t="shared" ca="1" si="51"/>
        <v>-0.1253980784486004</v>
      </c>
      <c r="K490">
        <f t="shared" ca="1" si="52"/>
        <v>21.984000435163274</v>
      </c>
      <c r="L490">
        <f t="shared" ca="1" si="53"/>
        <v>19.16590183238791</v>
      </c>
      <c r="M490">
        <f t="shared" ca="1" si="54"/>
        <v>0</v>
      </c>
      <c r="N490">
        <f t="shared" ca="1" si="55"/>
        <v>0</v>
      </c>
    </row>
    <row r="491" spans="6:14" x14ac:dyDescent="0.75">
      <c r="F491">
        <v>486</v>
      </c>
      <c r="G491">
        <f t="shared" ca="1" si="49"/>
        <v>0.51763348130265452</v>
      </c>
      <c r="H491">
        <f t="shared" ca="1" si="49"/>
        <v>-1.6898107561232691</v>
      </c>
      <c r="I491">
        <f t="shared" ca="1" si="50"/>
        <v>0.51763348130265452</v>
      </c>
      <c r="J491">
        <f t="shared" ca="1" si="51"/>
        <v>-0.72947964488905581</v>
      </c>
      <c r="K491">
        <f t="shared" ca="1" si="52"/>
        <v>20.257601953602048</v>
      </c>
      <c r="L491">
        <f t="shared" ca="1" si="53"/>
        <v>16.479420537962241</v>
      </c>
      <c r="M491">
        <f t="shared" ca="1" si="54"/>
        <v>0</v>
      </c>
      <c r="N491">
        <f t="shared" ca="1" si="55"/>
        <v>0</v>
      </c>
    </row>
    <row r="492" spans="6:14" x14ac:dyDescent="0.75">
      <c r="F492">
        <v>487</v>
      </c>
      <c r="G492">
        <f t="shared" ca="1" si="49"/>
        <v>0.18962722185951031</v>
      </c>
      <c r="H492">
        <f t="shared" ca="1" si="49"/>
        <v>1.5450448973600108</v>
      </c>
      <c r="I492">
        <f t="shared" ca="1" si="50"/>
        <v>0.18962722185951031</v>
      </c>
      <c r="J492">
        <f t="shared" ca="1" si="51"/>
        <v>1.164171557105609</v>
      </c>
      <c r="K492">
        <f t="shared" ca="1" si="52"/>
        <v>18.662731425686523</v>
      </c>
      <c r="L492">
        <f t="shared" ca="1" si="53"/>
        <v>26.457116126807193</v>
      </c>
      <c r="M492">
        <f t="shared" ca="1" si="54"/>
        <v>0</v>
      </c>
      <c r="N492">
        <f t="shared" ca="1" si="55"/>
        <v>0</v>
      </c>
    </row>
    <row r="493" spans="6:14" x14ac:dyDescent="0.75">
      <c r="F493">
        <v>488</v>
      </c>
      <c r="G493">
        <f t="shared" ca="1" si="49"/>
        <v>0.43834444876617146</v>
      </c>
      <c r="H493">
        <f t="shared" ca="1" si="49"/>
        <v>-1.7523033889097133</v>
      </c>
      <c r="I493">
        <f t="shared" ca="1" si="50"/>
        <v>0.43834444876617146</v>
      </c>
      <c r="J493">
        <f t="shared" ca="1" si="51"/>
        <v>-0.83028141057307125</v>
      </c>
      <c r="K493">
        <f t="shared" ca="1" si="52"/>
        <v>19.860004199808166</v>
      </c>
      <c r="L493">
        <f t="shared" ca="1" si="53"/>
        <v>16.069320914810898</v>
      </c>
      <c r="M493">
        <f t="shared" ca="1" si="54"/>
        <v>0</v>
      </c>
      <c r="N493">
        <f t="shared" ca="1" si="55"/>
        <v>0</v>
      </c>
    </row>
    <row r="494" spans="6:14" x14ac:dyDescent="0.75">
      <c r="F494">
        <v>489</v>
      </c>
      <c r="G494">
        <f t="shared" ca="1" si="49"/>
        <v>-0.79813884925546286</v>
      </c>
      <c r="H494">
        <f t="shared" ca="1" si="49"/>
        <v>-1.2251432450931323</v>
      </c>
      <c r="I494">
        <f t="shared" ca="1" si="50"/>
        <v>-0.79813884925546286</v>
      </c>
      <c r="J494">
        <f t="shared" ca="1" si="51"/>
        <v>-1.4089602236783676</v>
      </c>
      <c r="K494">
        <f t="shared" ca="1" si="52"/>
        <v>14.579071560608339</v>
      </c>
      <c r="L494">
        <f t="shared" ca="1" si="53"/>
        <v>13.904912815206815</v>
      </c>
      <c r="M494">
        <f t="shared" ca="1" si="54"/>
        <v>0</v>
      </c>
      <c r="N494">
        <f t="shared" ca="1" si="55"/>
        <v>0</v>
      </c>
    </row>
    <row r="495" spans="6:14" x14ac:dyDescent="0.75">
      <c r="F495">
        <v>490</v>
      </c>
      <c r="G495">
        <f t="shared" ca="1" si="49"/>
        <v>-8.8609560667129023E-3</v>
      </c>
      <c r="H495">
        <f t="shared" ca="1" si="49"/>
        <v>0.6905837379437173</v>
      </c>
      <c r="I495">
        <f t="shared" ca="1" si="50"/>
        <v>-8.8609560667129023E-3</v>
      </c>
      <c r="J495">
        <f t="shared" ca="1" si="51"/>
        <v>0.45013249046608428</v>
      </c>
      <c r="K495">
        <f t="shared" ca="1" si="52"/>
        <v>17.759250211990256</v>
      </c>
      <c r="L495">
        <f t="shared" ca="1" si="53"/>
        <v>22.131797960874241</v>
      </c>
      <c r="M495">
        <f t="shared" ca="1" si="54"/>
        <v>0</v>
      </c>
      <c r="N495">
        <f t="shared" ca="1" si="55"/>
        <v>0</v>
      </c>
    </row>
    <row r="496" spans="6:14" x14ac:dyDescent="0.75">
      <c r="F496">
        <v>491</v>
      </c>
      <c r="G496">
        <f t="shared" ca="1" si="49"/>
        <v>-0.17370005861873564</v>
      </c>
      <c r="H496">
        <f t="shared" ca="1" si="49"/>
        <v>1.046320716158778</v>
      </c>
      <c r="I496">
        <f t="shared" ca="1" si="50"/>
        <v>-0.17370005861873564</v>
      </c>
      <c r="J496">
        <f t="shared" ca="1" si="51"/>
        <v>0.56180105767873034</v>
      </c>
      <c r="K496">
        <f t="shared" ca="1" si="52"/>
        <v>17.042270251379076</v>
      </c>
      <c r="L496">
        <f t="shared" ca="1" si="53"/>
        <v>22.758359716675145</v>
      </c>
      <c r="M496">
        <f t="shared" ca="1" si="54"/>
        <v>0</v>
      </c>
      <c r="N496">
        <f t="shared" ca="1" si="55"/>
        <v>0</v>
      </c>
    </row>
    <row r="497" spans="6:14" x14ac:dyDescent="0.75">
      <c r="F497">
        <v>492</v>
      </c>
      <c r="G497">
        <f t="shared" ca="1" si="49"/>
        <v>-0.65629481347454444</v>
      </c>
      <c r="H497">
        <f t="shared" ca="1" si="49"/>
        <v>1.6486520027656679</v>
      </c>
      <c r="I497">
        <f t="shared" ca="1" si="50"/>
        <v>-0.65629481347454444</v>
      </c>
      <c r="J497">
        <f t="shared" ca="1" si="51"/>
        <v>0.59825968934572404</v>
      </c>
      <c r="K497">
        <f t="shared" ca="1" si="52"/>
        <v>15.105335934236255</v>
      </c>
      <c r="L497">
        <f t="shared" ca="1" si="53"/>
        <v>22.966742606969387</v>
      </c>
      <c r="M497">
        <f t="shared" ca="1" si="54"/>
        <v>0</v>
      </c>
      <c r="N497">
        <f t="shared" ca="1" si="55"/>
        <v>0</v>
      </c>
    </row>
    <row r="498" spans="6:14" x14ac:dyDescent="0.75">
      <c r="F498">
        <v>493</v>
      </c>
      <c r="G498">
        <f t="shared" ca="1" si="49"/>
        <v>0.70807234648965889</v>
      </c>
      <c r="H498">
        <f t="shared" ca="1" si="49"/>
        <v>-0.75626200164155433</v>
      </c>
      <c r="I498">
        <f t="shared" ca="1" si="50"/>
        <v>0.70807234648965889</v>
      </c>
      <c r="J498">
        <f t="shared" ca="1" si="51"/>
        <v>3.0833964279375681E-2</v>
      </c>
      <c r="K498">
        <f t="shared" ca="1" si="52"/>
        <v>21.245388169917192</v>
      </c>
      <c r="L498">
        <f t="shared" ca="1" si="53"/>
        <v>19.929295096320846</v>
      </c>
      <c r="M498">
        <f t="shared" ca="1" si="54"/>
        <v>0</v>
      </c>
      <c r="N498">
        <f t="shared" ca="1" si="55"/>
        <v>0</v>
      </c>
    </row>
    <row r="499" spans="6:14" x14ac:dyDescent="0.75">
      <c r="F499">
        <v>494</v>
      </c>
      <c r="G499">
        <f t="shared" ca="1" si="49"/>
        <v>3.3246546914551069E-2</v>
      </c>
      <c r="H499">
        <f t="shared" ca="1" si="49"/>
        <v>0.49371467150009879</v>
      </c>
      <c r="I499">
        <f t="shared" ca="1" si="50"/>
        <v>3.3246546914551069E-2</v>
      </c>
      <c r="J499">
        <f t="shared" ca="1" si="51"/>
        <v>0.35149647003921586</v>
      </c>
      <c r="K499">
        <f t="shared" ca="1" si="52"/>
        <v>17.947187090870489</v>
      </c>
      <c r="L499">
        <f t="shared" ca="1" si="53"/>
        <v>21.592723675523043</v>
      </c>
      <c r="M499">
        <f t="shared" ca="1" si="54"/>
        <v>0</v>
      </c>
      <c r="N499">
        <f t="shared" ca="1" si="55"/>
        <v>0</v>
      </c>
    </row>
    <row r="500" spans="6:14" x14ac:dyDescent="0.75">
      <c r="F500">
        <v>495</v>
      </c>
      <c r="G500">
        <f t="shared" ca="1" si="49"/>
        <v>0.78133302134661942</v>
      </c>
      <c r="H500">
        <f t="shared" ca="1" si="49"/>
        <v>-2.3861865091694061</v>
      </c>
      <c r="I500">
        <f t="shared" ca="1" si="50"/>
        <v>0.78133302134661942</v>
      </c>
      <c r="J500">
        <f t="shared" ca="1" si="51"/>
        <v>-0.99231425525993422</v>
      </c>
      <c r="K500">
        <f t="shared" ca="1" si="52"/>
        <v>21.638086226897226</v>
      </c>
      <c r="L500">
        <f t="shared" ca="1" si="53"/>
        <v>15.431389431659175</v>
      </c>
      <c r="M500">
        <f t="shared" ca="1" si="54"/>
        <v>0</v>
      </c>
      <c r="N500">
        <f t="shared" ca="1" si="55"/>
        <v>0</v>
      </c>
    </row>
    <row r="501" spans="6:14" x14ac:dyDescent="0.75">
      <c r="F501">
        <v>496</v>
      </c>
      <c r="G501">
        <f t="shared" ca="1" si="49"/>
        <v>-0.55833423561593931</v>
      </c>
      <c r="H501">
        <f t="shared" ca="1" si="49"/>
        <v>1.2105507169961431</v>
      </c>
      <c r="I501">
        <f t="shared" ca="1" si="50"/>
        <v>-0.55833423561593931</v>
      </c>
      <c r="J501">
        <f t="shared" ca="1" si="51"/>
        <v>0.38195335993872698</v>
      </c>
      <c r="K501">
        <f t="shared" ca="1" si="52"/>
        <v>15.479834842138718</v>
      </c>
      <c r="L501">
        <f t="shared" ca="1" si="53"/>
        <v>21.757763003141314</v>
      </c>
      <c r="M501">
        <f t="shared" ca="1" si="54"/>
        <v>0</v>
      </c>
      <c r="N501">
        <f t="shared" ca="1" si="55"/>
        <v>0</v>
      </c>
    </row>
    <row r="502" spans="6:14" x14ac:dyDescent="0.75">
      <c r="F502">
        <v>497</v>
      </c>
      <c r="G502">
        <f t="shared" ca="1" si="49"/>
        <v>0.15047158037967229</v>
      </c>
      <c r="H502">
        <f t="shared" ca="1" si="49"/>
        <v>-0.10826256825533973</v>
      </c>
      <c r="I502">
        <f t="shared" ca="1" si="50"/>
        <v>0.15047158037967229</v>
      </c>
      <c r="J502">
        <f t="shared" ca="1" si="51"/>
        <v>4.1244727309558013E-2</v>
      </c>
      <c r="K502">
        <f t="shared" ca="1" si="52"/>
        <v>18.480934867294788</v>
      </c>
      <c r="L502">
        <f t="shared" ca="1" si="53"/>
        <v>19.981232447585867</v>
      </c>
      <c r="M502">
        <f t="shared" ca="1" si="54"/>
        <v>0</v>
      </c>
      <c r="N502">
        <f t="shared" ca="1" si="55"/>
        <v>0</v>
      </c>
    </row>
    <row r="503" spans="6:14" x14ac:dyDescent="0.75">
      <c r="F503">
        <v>498</v>
      </c>
      <c r="G503">
        <f t="shared" ca="1" si="49"/>
        <v>-1.94496198054445</v>
      </c>
      <c r="H503">
        <f t="shared" ca="1" si="49"/>
        <v>1.6119644629992238E-2</v>
      </c>
      <c r="I503">
        <f t="shared" ca="1" si="50"/>
        <v>-1.94496198054445</v>
      </c>
      <c r="J503">
        <f t="shared" ca="1" si="51"/>
        <v>-1.4480593426799131</v>
      </c>
      <c r="K503">
        <f t="shared" ca="1" si="52"/>
        <v>10.944983930401095</v>
      </c>
      <c r="L503">
        <f t="shared" ca="1" si="53"/>
        <v>13.769657477485413</v>
      </c>
      <c r="M503">
        <f t="shared" ca="1" si="54"/>
        <v>0</v>
      </c>
      <c r="N503">
        <f t="shared" ca="1" si="55"/>
        <v>0</v>
      </c>
    </row>
    <row r="504" spans="6:14" x14ac:dyDescent="0.75">
      <c r="F504">
        <v>499</v>
      </c>
      <c r="G504">
        <f t="shared" ca="1" si="49"/>
        <v>-5.306971147260154E-2</v>
      </c>
      <c r="H504">
        <f t="shared" ca="1" si="49"/>
        <v>6.1609516522790488E-2</v>
      </c>
      <c r="I504">
        <f t="shared" ca="1" si="50"/>
        <v>-5.306971147260154E-2</v>
      </c>
      <c r="J504">
        <f t="shared" ca="1" si="51"/>
        <v>9.4858117410596965E-4</v>
      </c>
      <c r="K504">
        <f t="shared" ca="1" si="52"/>
        <v>17.564052293876383</v>
      </c>
      <c r="L504">
        <f t="shared" ca="1" si="53"/>
        <v>19.780951295550359</v>
      </c>
      <c r="M504">
        <f t="shared" ca="1" si="54"/>
        <v>0</v>
      </c>
      <c r="N504">
        <f t="shared" ca="1" si="55"/>
        <v>0</v>
      </c>
    </row>
    <row r="505" spans="6:14" x14ac:dyDescent="0.75">
      <c r="F505">
        <v>500</v>
      </c>
      <c r="G505">
        <f t="shared" ca="1" si="49"/>
        <v>1.1086218639876571</v>
      </c>
      <c r="H505">
        <f t="shared" ca="1" si="49"/>
        <v>0.35485816247884794</v>
      </c>
      <c r="I505">
        <f t="shared" ca="1" si="50"/>
        <v>1.1086218639876571</v>
      </c>
      <c r="J505">
        <f t="shared" ca="1" si="51"/>
        <v>1.0661830101458387</v>
      </c>
      <c r="K505">
        <f t="shared" ca="1" si="52"/>
        <v>23.483011008396215</v>
      </c>
      <c r="L505">
        <f t="shared" ca="1" si="53"/>
        <v>25.816866692281764</v>
      </c>
      <c r="M505">
        <f t="shared" ca="1" si="54"/>
        <v>0</v>
      </c>
      <c r="N505">
        <f t="shared" ca="1" si="55"/>
        <v>0</v>
      </c>
    </row>
    <row r="506" spans="6:14" x14ac:dyDescent="0.75">
      <c r="F506">
        <v>501</v>
      </c>
      <c r="G506">
        <f t="shared" ca="1" si="49"/>
        <v>-0.12145797397184818</v>
      </c>
      <c r="H506">
        <f t="shared" ca="1" si="49"/>
        <v>0.24718898727463204</v>
      </c>
      <c r="I506">
        <f t="shared" ca="1" si="50"/>
        <v>-0.12145797397184818</v>
      </c>
      <c r="J506">
        <f t="shared" ca="1" si="51"/>
        <v>7.2406666311760404E-2</v>
      </c>
      <c r="K506">
        <f t="shared" ca="1" si="52"/>
        <v>17.26631104271037</v>
      </c>
      <c r="L506">
        <f t="shared" ca="1" si="53"/>
        <v>20.137503858926102</v>
      </c>
      <c r="M506">
        <f t="shared" ca="1" si="54"/>
        <v>0</v>
      </c>
      <c r="N506">
        <f t="shared" ca="1" si="55"/>
        <v>0</v>
      </c>
    </row>
    <row r="507" spans="6:14" x14ac:dyDescent="0.75">
      <c r="F507">
        <v>502</v>
      </c>
      <c r="G507">
        <f t="shared" ca="1" si="49"/>
        <v>-0.10609840621573499</v>
      </c>
      <c r="H507">
        <f t="shared" ca="1" si="49"/>
        <v>1.3439361823477718</v>
      </c>
      <c r="I507">
        <f t="shared" ca="1" si="50"/>
        <v>-0.10609840621573499</v>
      </c>
      <c r="J507">
        <f t="shared" ca="1" si="51"/>
        <v>0.80935642444663825</v>
      </c>
      <c r="K507">
        <f t="shared" ca="1" si="52"/>
        <v>17.332739268281586</v>
      </c>
      <c r="L507">
        <f t="shared" ca="1" si="53"/>
        <v>24.211346324440036</v>
      </c>
      <c r="M507">
        <f t="shared" ca="1" si="54"/>
        <v>0</v>
      </c>
      <c r="N507">
        <f t="shared" ca="1" si="55"/>
        <v>0</v>
      </c>
    </row>
    <row r="508" spans="6:14" x14ac:dyDescent="0.75">
      <c r="F508">
        <v>503</v>
      </c>
      <c r="G508">
        <f t="shared" ca="1" si="49"/>
        <v>-0.33981679500347323</v>
      </c>
      <c r="H508">
        <f t="shared" ca="1" si="49"/>
        <v>-0.20255109200198509</v>
      </c>
      <c r="I508">
        <f t="shared" ca="1" si="50"/>
        <v>-0.33981679500347323</v>
      </c>
      <c r="J508">
        <f t="shared" ca="1" si="51"/>
        <v>-0.38883755055805908</v>
      </c>
      <c r="K508">
        <f t="shared" ca="1" si="52"/>
        <v>16.349013500225364</v>
      </c>
      <c r="L508">
        <f t="shared" ca="1" si="53"/>
        <v>17.944306642191286</v>
      </c>
      <c r="M508">
        <f t="shared" ca="1" si="54"/>
        <v>0</v>
      </c>
      <c r="N508">
        <f t="shared" ca="1" si="55"/>
        <v>0</v>
      </c>
    </row>
    <row r="509" spans="6:14" x14ac:dyDescent="0.75">
      <c r="F509">
        <v>504</v>
      </c>
      <c r="G509">
        <f t="shared" ca="1" si="49"/>
        <v>0.34877676298617621</v>
      </c>
      <c r="H509">
        <f t="shared" ca="1" si="49"/>
        <v>0.79695468913825251</v>
      </c>
      <c r="I509">
        <f t="shared" ca="1" si="50"/>
        <v>0.34877676298617621</v>
      </c>
      <c r="J509">
        <f t="shared" ca="1" si="51"/>
        <v>0.78871855065128349</v>
      </c>
      <c r="K509">
        <f t="shared" ca="1" si="52"/>
        <v>19.420242475352214</v>
      </c>
      <c r="L509">
        <f t="shared" ca="1" si="53"/>
        <v>24.086750347876624</v>
      </c>
      <c r="M509">
        <f t="shared" ca="1" si="54"/>
        <v>0</v>
      </c>
      <c r="N509">
        <f t="shared" ca="1" si="55"/>
        <v>0</v>
      </c>
    </row>
    <row r="510" spans="6:14" x14ac:dyDescent="0.75">
      <c r="F510">
        <v>505</v>
      </c>
      <c r="G510">
        <f t="shared" ca="1" si="49"/>
        <v>1.011153481400638</v>
      </c>
      <c r="H510">
        <f t="shared" ca="1" si="49"/>
        <v>1.1340194481282015</v>
      </c>
      <c r="I510">
        <f t="shared" ca="1" si="50"/>
        <v>1.011153481400638</v>
      </c>
      <c r="J510">
        <f t="shared" ca="1" si="51"/>
        <v>1.5084484714649617</v>
      </c>
      <c r="K510">
        <f t="shared" ca="1" si="52"/>
        <v>22.917713532338102</v>
      </c>
      <c r="L510">
        <f t="shared" ca="1" si="53"/>
        <v>28.835128729901935</v>
      </c>
      <c r="M510">
        <f t="shared" ca="1" si="54"/>
        <v>0</v>
      </c>
      <c r="N510">
        <f t="shared" ca="1" si="55"/>
        <v>0</v>
      </c>
    </row>
    <row r="511" spans="6:14" x14ac:dyDescent="0.75">
      <c r="F511">
        <v>506</v>
      </c>
      <c r="G511">
        <f t="shared" ca="1" si="49"/>
        <v>-0.70181943131356717</v>
      </c>
      <c r="H511">
        <f t="shared" ca="1" si="49"/>
        <v>2.9780776926735034E-2</v>
      </c>
      <c r="I511">
        <f t="shared" ca="1" si="50"/>
        <v>-0.70181943131356717</v>
      </c>
      <c r="J511">
        <f t="shared" ca="1" si="51"/>
        <v>-0.50666644108556758</v>
      </c>
      <c r="K511">
        <f t="shared" ca="1" si="52"/>
        <v>14.934394374129148</v>
      </c>
      <c r="L511">
        <f t="shared" ca="1" si="53"/>
        <v>17.423426709162431</v>
      </c>
      <c r="M511">
        <f t="shared" ca="1" si="54"/>
        <v>0</v>
      </c>
      <c r="N511">
        <f t="shared" ca="1" si="55"/>
        <v>0</v>
      </c>
    </row>
    <row r="512" spans="6:14" x14ac:dyDescent="0.75">
      <c r="F512">
        <v>507</v>
      </c>
      <c r="G512">
        <f t="shared" ca="1" si="49"/>
        <v>-1.4036327046305341</v>
      </c>
      <c r="H512">
        <f t="shared" ca="1" si="49"/>
        <v>-2.3621522028402526</v>
      </c>
      <c r="I512">
        <f t="shared" ca="1" si="50"/>
        <v>-1.4036327046305341</v>
      </c>
      <c r="J512">
        <f t="shared" ca="1" si="51"/>
        <v>-2.615141350372578</v>
      </c>
      <c r="K512">
        <f t="shared" ca="1" si="52"/>
        <v>12.531100343078258</v>
      </c>
      <c r="L512">
        <f t="shared" ca="1" si="53"/>
        <v>10.28510709678079</v>
      </c>
      <c r="M512">
        <f t="shared" ca="1" si="54"/>
        <v>0</v>
      </c>
      <c r="N512">
        <f t="shared" ca="1" si="55"/>
        <v>0</v>
      </c>
    </row>
    <row r="513" spans="6:14" x14ac:dyDescent="0.75">
      <c r="F513">
        <v>508</v>
      </c>
      <c r="G513">
        <f t="shared" ca="1" si="49"/>
        <v>-1.0023145786703889</v>
      </c>
      <c r="H513">
        <f t="shared" ca="1" si="49"/>
        <v>-0.3455672797337257</v>
      </c>
      <c r="I513">
        <f t="shared" ca="1" si="50"/>
        <v>-1.0023145786703889</v>
      </c>
      <c r="J513">
        <f t="shared" ca="1" si="51"/>
        <v>-0.9803072048569238</v>
      </c>
      <c r="K513">
        <f t="shared" ca="1" si="52"/>
        <v>13.853572106812516</v>
      </c>
      <c r="L513">
        <f t="shared" ca="1" si="53"/>
        <v>15.477780391823284</v>
      </c>
      <c r="M513">
        <f t="shared" ca="1" si="54"/>
        <v>0</v>
      </c>
      <c r="N513">
        <f t="shared" ca="1" si="55"/>
        <v>0</v>
      </c>
    </row>
    <row r="514" spans="6:14" x14ac:dyDescent="0.75">
      <c r="F514">
        <v>509</v>
      </c>
      <c r="G514">
        <f t="shared" ca="1" si="49"/>
        <v>-0.61811835303714935</v>
      </c>
      <c r="H514">
        <f t="shared" ca="1" si="49"/>
        <v>0.25340568421181314</v>
      </c>
      <c r="I514">
        <f t="shared" ca="1" si="50"/>
        <v>-0.61811835303714935</v>
      </c>
      <c r="J514">
        <f t="shared" ca="1" si="51"/>
        <v>-0.29597665946920598</v>
      </c>
      <c r="K514">
        <f t="shared" ca="1" si="52"/>
        <v>15.250193166621091</v>
      </c>
      <c r="L514">
        <f t="shared" ca="1" si="53"/>
        <v>18.365760866968582</v>
      </c>
      <c r="M514">
        <f t="shared" ca="1" si="54"/>
        <v>0</v>
      </c>
      <c r="N514">
        <f t="shared" ca="1" si="55"/>
        <v>0</v>
      </c>
    </row>
    <row r="515" spans="6:14" x14ac:dyDescent="0.75">
      <c r="F515">
        <v>510</v>
      </c>
      <c r="G515">
        <f t="shared" ca="1" si="49"/>
        <v>0.34412638541891161</v>
      </c>
      <c r="H515">
        <f t="shared" ca="1" si="49"/>
        <v>0.4083538455956035</v>
      </c>
      <c r="I515">
        <f t="shared" ca="1" si="50"/>
        <v>0.34412638541891161</v>
      </c>
      <c r="J515">
        <f t="shared" ca="1" si="51"/>
        <v>0.5281954696548925</v>
      </c>
      <c r="K515">
        <f t="shared" ca="1" si="52"/>
        <v>19.397677729727612</v>
      </c>
      <c r="L515">
        <f t="shared" ca="1" si="53"/>
        <v>22.567958638942557</v>
      </c>
      <c r="M515">
        <f t="shared" ca="1" si="54"/>
        <v>0</v>
      </c>
      <c r="N515">
        <f t="shared" ca="1" si="55"/>
        <v>0</v>
      </c>
    </row>
    <row r="516" spans="6:14" x14ac:dyDescent="0.75">
      <c r="F516">
        <v>511</v>
      </c>
      <c r="G516">
        <f t="shared" ca="1" si="49"/>
        <v>1.2607669572512101</v>
      </c>
      <c r="H516">
        <f t="shared" ca="1" si="49"/>
        <v>0.15114383485800936</v>
      </c>
      <c r="I516">
        <f t="shared" ca="1" si="50"/>
        <v>1.2607669572512101</v>
      </c>
      <c r="J516">
        <f t="shared" ca="1" si="51"/>
        <v>1.0455474677471346</v>
      </c>
      <c r="K516">
        <f t="shared" ca="1" si="52"/>
        <v>24.393421790697271</v>
      </c>
      <c r="L516">
        <f t="shared" ca="1" si="53"/>
        <v>25.684023386807304</v>
      </c>
      <c r="M516">
        <f t="shared" ca="1" si="54"/>
        <v>0</v>
      </c>
      <c r="N516">
        <f t="shared" ca="1" si="55"/>
        <v>0</v>
      </c>
    </row>
    <row r="517" spans="6:14" x14ac:dyDescent="0.75">
      <c r="F517">
        <v>512</v>
      </c>
      <c r="G517">
        <f t="shared" ca="1" si="49"/>
        <v>-0.50795954738959026</v>
      </c>
      <c r="H517">
        <f t="shared" ca="1" si="49"/>
        <v>-0.73765570081761822</v>
      </c>
      <c r="I517">
        <f t="shared" ca="1" si="50"/>
        <v>-0.50795954738959026</v>
      </c>
      <c r="J517">
        <f t="shared" ca="1" si="51"/>
        <v>-0.86888304493031343</v>
      </c>
      <c r="K517">
        <f t="shared" ca="1" si="52"/>
        <v>15.676015530399319</v>
      </c>
      <c r="L517">
        <f t="shared" ca="1" si="53"/>
        <v>15.914991272015172</v>
      </c>
      <c r="M517">
        <f t="shared" ca="1" si="54"/>
        <v>0</v>
      </c>
      <c r="N517">
        <f t="shared" ca="1" si="55"/>
        <v>0</v>
      </c>
    </row>
    <row r="518" spans="6:14" x14ac:dyDescent="0.75">
      <c r="F518">
        <v>513</v>
      </c>
      <c r="G518">
        <f t="shared" ca="1" si="49"/>
        <v>-0.38680499870194751</v>
      </c>
      <c r="H518">
        <f t="shared" ca="1" si="49"/>
        <v>-1.038297930471602</v>
      </c>
      <c r="I518">
        <f t="shared" ca="1" si="50"/>
        <v>-0.38680499870194751</v>
      </c>
      <c r="J518">
        <f t="shared" ca="1" si="51"/>
        <v>-0.97687327673168367</v>
      </c>
      <c r="K518">
        <f t="shared" ca="1" si="52"/>
        <v>16.15808442840693</v>
      </c>
      <c r="L518">
        <f t="shared" ca="1" si="53"/>
        <v>15.491073493302199</v>
      </c>
      <c r="M518">
        <f t="shared" ca="1" si="54"/>
        <v>0</v>
      </c>
      <c r="N518">
        <f t="shared" ca="1" si="55"/>
        <v>0</v>
      </c>
    </row>
    <row r="519" spans="6:14" x14ac:dyDescent="0.75">
      <c r="F519">
        <v>514</v>
      </c>
      <c r="G519">
        <f t="shared" ref="G519:H582" ca="1" si="56">NORMSINV(RAND())</f>
        <v>-0.11514867778757243</v>
      </c>
      <c r="H519">
        <f t="shared" ca="1" si="56"/>
        <v>-1.1012559167028217</v>
      </c>
      <c r="I519">
        <f t="shared" ref="I519:I582" ca="1" si="57">G519</f>
        <v>-0.11514867778757243</v>
      </c>
      <c r="J519">
        <f t="shared" ref="J519:J582" ca="1" si="58">G519*$C$8+SQRT(1-$C$8^2)*H519</f>
        <v>-0.81477382969921142</v>
      </c>
      <c r="K519">
        <f t="shared" ref="K519:K582" ca="1" si="59">C$3*EXP(($C$5-0.5*C$4^2)*$C$6+C$4*SQRT($C$6)*I519)</f>
        <v>17.29356710047162</v>
      </c>
      <c r="L519">
        <f t="shared" ref="L519:L582" ca="1" si="60">D$3*EXP(($C$5-0.5*D$4^2)*$C$6+D$4*SQRT($C$6)*J519)</f>
        <v>16.131740907933278</v>
      </c>
      <c r="M519">
        <f t="shared" ref="M519:M582" ca="1" si="61">MAX(SQRT(K519*L519)-$C$7,0)</f>
        <v>0</v>
      </c>
      <c r="N519">
        <f t="shared" ref="N519:N582" ca="1" si="62">MAX((K519+L519)*0.5-$C$7,0)</f>
        <v>0</v>
      </c>
    </row>
    <row r="520" spans="6:14" x14ac:dyDescent="0.75">
      <c r="F520">
        <v>515</v>
      </c>
      <c r="G520">
        <f t="shared" ca="1" si="56"/>
        <v>1.4631764430937033</v>
      </c>
      <c r="H520">
        <f t="shared" ca="1" si="56"/>
        <v>0.87636579514807766</v>
      </c>
      <c r="I520">
        <f t="shared" ca="1" si="57"/>
        <v>1.4631764430937033</v>
      </c>
      <c r="J520">
        <f t="shared" ca="1" si="58"/>
        <v>1.6770438201915749</v>
      </c>
      <c r="K520">
        <f t="shared" ca="1" si="59"/>
        <v>25.659551197235597</v>
      </c>
      <c r="L520">
        <f t="shared" ca="1" si="60"/>
        <v>30.07647271079648</v>
      </c>
      <c r="M520">
        <f t="shared" ca="1" si="61"/>
        <v>0</v>
      </c>
      <c r="N520">
        <f t="shared" ca="1" si="62"/>
        <v>0</v>
      </c>
    </row>
    <row r="521" spans="6:14" x14ac:dyDescent="0.75">
      <c r="F521">
        <v>516</v>
      </c>
      <c r="G521">
        <f t="shared" ca="1" si="56"/>
        <v>1.4265007462547767</v>
      </c>
      <c r="H521">
        <f t="shared" ca="1" si="56"/>
        <v>-1.9280439632848796</v>
      </c>
      <c r="I521">
        <f t="shared" ca="1" si="57"/>
        <v>1.4265007462547767</v>
      </c>
      <c r="J521">
        <f t="shared" ca="1" si="58"/>
        <v>-0.2054056512217024</v>
      </c>
      <c r="K521">
        <f t="shared" ca="1" si="59"/>
        <v>25.425356016696664</v>
      </c>
      <c r="L521">
        <f t="shared" ca="1" si="60"/>
        <v>18.786355982597655</v>
      </c>
      <c r="M521">
        <f t="shared" ca="1" si="61"/>
        <v>0</v>
      </c>
      <c r="N521">
        <f t="shared" ca="1" si="62"/>
        <v>0</v>
      </c>
    </row>
    <row r="522" spans="6:14" x14ac:dyDescent="0.75">
      <c r="F522">
        <v>517</v>
      </c>
      <c r="G522">
        <f t="shared" ca="1" si="56"/>
        <v>2.6297373798660262E-2</v>
      </c>
      <c r="H522">
        <f t="shared" ca="1" si="56"/>
        <v>3.4165494055452938E-2</v>
      </c>
      <c r="I522">
        <f t="shared" ca="1" si="57"/>
        <v>2.6297373798660262E-2</v>
      </c>
      <c r="J522">
        <f t="shared" ca="1" si="58"/>
        <v>4.232138052159122E-2</v>
      </c>
      <c r="K522">
        <f t="shared" ca="1" si="59"/>
        <v>17.916034631675377</v>
      </c>
      <c r="L522">
        <f t="shared" ca="1" si="60"/>
        <v>19.986611385983572</v>
      </c>
      <c r="M522">
        <f t="shared" ca="1" si="61"/>
        <v>0</v>
      </c>
      <c r="N522">
        <f t="shared" ca="1" si="62"/>
        <v>0</v>
      </c>
    </row>
    <row r="523" spans="6:14" x14ac:dyDescent="0.75">
      <c r="F523">
        <v>518</v>
      </c>
      <c r="G523">
        <f t="shared" ca="1" si="56"/>
        <v>-0.92687168352903182</v>
      </c>
      <c r="H523">
        <f t="shared" ca="1" si="56"/>
        <v>-0.97213698271576332</v>
      </c>
      <c r="I523">
        <f t="shared" ca="1" si="57"/>
        <v>-0.92687168352903182</v>
      </c>
      <c r="J523">
        <f t="shared" ca="1" si="58"/>
        <v>-1.3381619367854254</v>
      </c>
      <c r="K523">
        <f t="shared" ca="1" si="59"/>
        <v>14.117340112439901</v>
      </c>
      <c r="L523">
        <f t="shared" ca="1" si="60"/>
        <v>14.153214753674057</v>
      </c>
      <c r="M523">
        <f t="shared" ca="1" si="61"/>
        <v>0</v>
      </c>
      <c r="N523">
        <f t="shared" ca="1" si="62"/>
        <v>0</v>
      </c>
    </row>
    <row r="524" spans="6:14" x14ac:dyDescent="0.75">
      <c r="F524">
        <v>519</v>
      </c>
      <c r="G524">
        <f t="shared" ca="1" si="56"/>
        <v>-0.95897942662855973</v>
      </c>
      <c r="H524">
        <f t="shared" ca="1" si="56"/>
        <v>-2.3644143857889874</v>
      </c>
      <c r="I524">
        <f t="shared" ca="1" si="57"/>
        <v>-0.95897942662855973</v>
      </c>
      <c r="J524">
        <f t="shared" ca="1" si="58"/>
        <v>-2.2831476852467176</v>
      </c>
      <c r="K524">
        <f t="shared" ca="1" si="59"/>
        <v>14.004474717691043</v>
      </c>
      <c r="L524">
        <f t="shared" ca="1" si="60"/>
        <v>11.175181167692955</v>
      </c>
      <c r="M524">
        <f t="shared" ca="1" si="61"/>
        <v>0</v>
      </c>
      <c r="N524">
        <f t="shared" ca="1" si="62"/>
        <v>0</v>
      </c>
    </row>
    <row r="525" spans="6:14" x14ac:dyDescent="0.75">
      <c r="F525">
        <v>520</v>
      </c>
      <c r="G525">
        <f t="shared" ca="1" si="56"/>
        <v>-1.6438673032290396</v>
      </c>
      <c r="H525">
        <f t="shared" ca="1" si="56"/>
        <v>1.5159457172093558</v>
      </c>
      <c r="I525">
        <f t="shared" ca="1" si="57"/>
        <v>-1.6438673032290396</v>
      </c>
      <c r="J525">
        <f t="shared" ca="1" si="58"/>
        <v>-0.23019663521942868</v>
      </c>
      <c r="K525">
        <f t="shared" ca="1" si="59"/>
        <v>11.800653745392754</v>
      </c>
      <c r="L525">
        <f t="shared" ca="1" si="60"/>
        <v>18.670282986984674</v>
      </c>
      <c r="M525">
        <f t="shared" ca="1" si="61"/>
        <v>0</v>
      </c>
      <c r="N525">
        <f t="shared" ca="1" si="62"/>
        <v>0</v>
      </c>
    </row>
    <row r="526" spans="6:14" x14ac:dyDescent="0.75">
      <c r="F526">
        <v>521</v>
      </c>
      <c r="G526">
        <f t="shared" ca="1" si="56"/>
        <v>-0.80623082609130026</v>
      </c>
      <c r="H526">
        <f t="shared" ca="1" si="56"/>
        <v>-1.6737005180327553</v>
      </c>
      <c r="I526">
        <f t="shared" ca="1" si="57"/>
        <v>-0.80623082609130026</v>
      </c>
      <c r="J526">
        <f t="shared" ca="1" si="58"/>
        <v>-1.7117219545471369</v>
      </c>
      <c r="K526">
        <f t="shared" ca="1" si="59"/>
        <v>14.549607995628207</v>
      </c>
      <c r="L526">
        <f t="shared" ca="1" si="60"/>
        <v>12.891288651494028</v>
      </c>
      <c r="M526">
        <f t="shared" ca="1" si="61"/>
        <v>0</v>
      </c>
      <c r="N526">
        <f t="shared" ca="1" si="62"/>
        <v>0</v>
      </c>
    </row>
    <row r="527" spans="6:14" x14ac:dyDescent="0.75">
      <c r="F527">
        <v>522</v>
      </c>
      <c r="G527">
        <f t="shared" ca="1" si="56"/>
        <v>-0.82807840737010674</v>
      </c>
      <c r="H527">
        <f t="shared" ca="1" si="56"/>
        <v>0.81856756805297548</v>
      </c>
      <c r="I527">
        <f t="shared" ca="1" si="57"/>
        <v>-0.82807840737010674</v>
      </c>
      <c r="J527">
        <f t="shared" ca="1" si="58"/>
        <v>-7.962725143480176E-2</v>
      </c>
      <c r="K527">
        <f t="shared" ca="1" si="59"/>
        <v>14.470356189370108</v>
      </c>
      <c r="L527">
        <f t="shared" ca="1" si="60"/>
        <v>19.386471175183658</v>
      </c>
      <c r="M527">
        <f t="shared" ca="1" si="61"/>
        <v>0</v>
      </c>
      <c r="N527">
        <f t="shared" ca="1" si="62"/>
        <v>0</v>
      </c>
    </row>
    <row r="528" spans="6:14" x14ac:dyDescent="0.75">
      <c r="F528">
        <v>523</v>
      </c>
      <c r="G528">
        <f t="shared" ca="1" si="56"/>
        <v>1.2617476072096945</v>
      </c>
      <c r="H528">
        <f t="shared" ca="1" si="56"/>
        <v>1.1753473341173346</v>
      </c>
      <c r="I528">
        <f t="shared" ca="1" si="57"/>
        <v>1.2617476072096945</v>
      </c>
      <c r="J528">
        <f t="shared" ca="1" si="58"/>
        <v>1.7237298929565732</v>
      </c>
      <c r="K528">
        <f t="shared" ca="1" si="59"/>
        <v>24.399402875852765</v>
      </c>
      <c r="L528">
        <f t="shared" ca="1" si="60"/>
        <v>30.429567376243206</v>
      </c>
      <c r="M528">
        <f t="shared" ca="1" si="61"/>
        <v>0</v>
      </c>
      <c r="N528">
        <f t="shared" ca="1" si="62"/>
        <v>0</v>
      </c>
    </row>
    <row r="529" spans="6:14" x14ac:dyDescent="0.75">
      <c r="F529">
        <v>524</v>
      </c>
      <c r="G529">
        <f t="shared" ca="1" si="56"/>
        <v>-1.3369975428177243</v>
      </c>
      <c r="H529">
        <f t="shared" ca="1" si="56"/>
        <v>0.10399348596144697</v>
      </c>
      <c r="I529">
        <f t="shared" ca="1" si="57"/>
        <v>-1.3369975428177243</v>
      </c>
      <c r="J529">
        <f t="shared" ca="1" si="58"/>
        <v>-0.93396293165712441</v>
      </c>
      <c r="K529">
        <f t="shared" ca="1" si="59"/>
        <v>12.741601799576557</v>
      </c>
      <c r="L529">
        <f t="shared" ca="1" si="60"/>
        <v>15.65814988150448</v>
      </c>
      <c r="M529">
        <f t="shared" ca="1" si="61"/>
        <v>0</v>
      </c>
      <c r="N529">
        <f t="shared" ca="1" si="62"/>
        <v>0</v>
      </c>
    </row>
    <row r="530" spans="6:14" x14ac:dyDescent="0.75">
      <c r="F530">
        <v>525</v>
      </c>
      <c r="G530">
        <f t="shared" ca="1" si="56"/>
        <v>-0.7780509536505088</v>
      </c>
      <c r="H530">
        <f t="shared" ca="1" si="56"/>
        <v>1.3359798160492362</v>
      </c>
      <c r="I530">
        <f t="shared" ca="1" si="57"/>
        <v>-0.7780509536505088</v>
      </c>
      <c r="J530">
        <f t="shared" ca="1" si="58"/>
        <v>0.30012937222914271</v>
      </c>
      <c r="K530">
        <f t="shared" ca="1" si="59"/>
        <v>14.652471429339215</v>
      </c>
      <c r="L530">
        <f t="shared" ca="1" si="60"/>
        <v>21.317207632006575</v>
      </c>
      <c r="M530">
        <f t="shared" ca="1" si="61"/>
        <v>0</v>
      </c>
      <c r="N530">
        <f t="shared" ca="1" si="62"/>
        <v>0</v>
      </c>
    </row>
    <row r="531" spans="6:14" x14ac:dyDescent="0.75">
      <c r="F531">
        <v>526</v>
      </c>
      <c r="G531">
        <f t="shared" ca="1" si="56"/>
        <v>0.84874732110542928</v>
      </c>
      <c r="H531">
        <f t="shared" ca="1" si="56"/>
        <v>0.40938701994997134</v>
      </c>
      <c r="I531">
        <f t="shared" ca="1" si="57"/>
        <v>0.84874732110542928</v>
      </c>
      <c r="J531">
        <f t="shared" ca="1" si="58"/>
        <v>0.90734455202043751</v>
      </c>
      <c r="K531">
        <f t="shared" ca="1" si="59"/>
        <v>22.005855745086787</v>
      </c>
      <c r="L531">
        <f t="shared" ca="1" si="60"/>
        <v>24.811776803373355</v>
      </c>
      <c r="M531">
        <f t="shared" ca="1" si="61"/>
        <v>0</v>
      </c>
      <c r="N531">
        <f t="shared" ca="1" si="62"/>
        <v>0</v>
      </c>
    </row>
    <row r="532" spans="6:14" x14ac:dyDescent="0.75">
      <c r="F532">
        <v>527</v>
      </c>
      <c r="G532">
        <f t="shared" ca="1" si="56"/>
        <v>-1.2027355447673995</v>
      </c>
      <c r="H532">
        <f t="shared" ca="1" si="56"/>
        <v>-7.5927342223038569E-2</v>
      </c>
      <c r="I532">
        <f t="shared" ca="1" si="57"/>
        <v>-1.2027355447673995</v>
      </c>
      <c r="J532">
        <f t="shared" ca="1" si="58"/>
        <v>-0.95227287488361312</v>
      </c>
      <c r="K532">
        <f t="shared" ca="1" si="59"/>
        <v>13.176538630459801</v>
      </c>
      <c r="L532">
        <f t="shared" ca="1" si="60"/>
        <v>15.586638718198103</v>
      </c>
      <c r="M532">
        <f t="shared" ca="1" si="61"/>
        <v>0</v>
      </c>
      <c r="N532">
        <f t="shared" ca="1" si="62"/>
        <v>0</v>
      </c>
    </row>
    <row r="533" spans="6:14" x14ac:dyDescent="0.75">
      <c r="F533">
        <v>528</v>
      </c>
      <c r="G533">
        <f t="shared" ca="1" si="56"/>
        <v>0.89912365690739726</v>
      </c>
      <c r="H533">
        <f t="shared" ca="1" si="56"/>
        <v>0.28476123292964128</v>
      </c>
      <c r="I533">
        <f t="shared" ca="1" si="57"/>
        <v>0.89912365690739726</v>
      </c>
      <c r="J533">
        <f t="shared" ca="1" si="58"/>
        <v>0.86269459402153992</v>
      </c>
      <c r="K533">
        <f t="shared" ca="1" si="59"/>
        <v>22.284751874051722</v>
      </c>
      <c r="L533">
        <f t="shared" ca="1" si="60"/>
        <v>24.5363556579685</v>
      </c>
      <c r="M533">
        <f t="shared" ca="1" si="61"/>
        <v>0</v>
      </c>
      <c r="N533">
        <f t="shared" ca="1" si="62"/>
        <v>0</v>
      </c>
    </row>
    <row r="534" spans="6:14" x14ac:dyDescent="0.75">
      <c r="F534">
        <v>529</v>
      </c>
      <c r="G534">
        <f t="shared" ca="1" si="56"/>
        <v>-1.6213424952946496</v>
      </c>
      <c r="H534">
        <f t="shared" ca="1" si="56"/>
        <v>7.4232620439984381E-2</v>
      </c>
      <c r="I534">
        <f t="shared" ca="1" si="57"/>
        <v>-1.6213424952946496</v>
      </c>
      <c r="J534">
        <f t="shared" ca="1" si="58"/>
        <v>-1.1669066082577748</v>
      </c>
      <c r="K534">
        <f t="shared" ca="1" si="59"/>
        <v>11.867293063805848</v>
      </c>
      <c r="L534">
        <f t="shared" ca="1" si="60"/>
        <v>14.772326826718059</v>
      </c>
      <c r="M534">
        <f t="shared" ca="1" si="61"/>
        <v>0</v>
      </c>
      <c r="N534">
        <f t="shared" ca="1" si="62"/>
        <v>0</v>
      </c>
    </row>
    <row r="535" spans="6:14" x14ac:dyDescent="0.75">
      <c r="F535">
        <v>530</v>
      </c>
      <c r="G535">
        <f t="shared" ca="1" si="56"/>
        <v>-0.64927025152892059</v>
      </c>
      <c r="H535">
        <f t="shared" ca="1" si="56"/>
        <v>0.63831751259476477</v>
      </c>
      <c r="I535">
        <f t="shared" ca="1" si="57"/>
        <v>-0.64927025152892059</v>
      </c>
      <c r="J535">
        <f t="shared" ca="1" si="58"/>
        <v>-6.4745339690918613E-2</v>
      </c>
      <c r="K535">
        <f t="shared" ca="1" si="59"/>
        <v>15.131886332522294</v>
      </c>
      <c r="L535">
        <f t="shared" ca="1" si="60"/>
        <v>19.458732453339664</v>
      </c>
      <c r="M535">
        <f t="shared" ca="1" si="61"/>
        <v>0</v>
      </c>
      <c r="N535">
        <f t="shared" ca="1" si="62"/>
        <v>0</v>
      </c>
    </row>
    <row r="536" spans="6:14" x14ac:dyDescent="0.75">
      <c r="F536">
        <v>531</v>
      </c>
      <c r="G536">
        <f t="shared" ca="1" si="56"/>
        <v>-1.6326536877647317</v>
      </c>
      <c r="H536">
        <f t="shared" ca="1" si="56"/>
        <v>-0.67337168818190429</v>
      </c>
      <c r="I536">
        <f t="shared" ca="1" si="57"/>
        <v>-1.6326536877647317</v>
      </c>
      <c r="J536">
        <f t="shared" ca="1" si="58"/>
        <v>-1.6698837725338114</v>
      </c>
      <c r="K536">
        <f t="shared" ca="1" si="59"/>
        <v>11.83378215818853</v>
      </c>
      <c r="L536">
        <f t="shared" ca="1" si="60"/>
        <v>13.026833303733031</v>
      </c>
      <c r="M536">
        <f t="shared" ca="1" si="61"/>
        <v>0</v>
      </c>
      <c r="N536">
        <f t="shared" ca="1" si="62"/>
        <v>0</v>
      </c>
    </row>
    <row r="537" spans="6:14" x14ac:dyDescent="0.75">
      <c r="F537">
        <v>532</v>
      </c>
      <c r="G537">
        <f t="shared" ca="1" si="56"/>
        <v>0.93394104257291344</v>
      </c>
      <c r="H537">
        <f t="shared" ca="1" si="56"/>
        <v>-0.65936358346089874</v>
      </c>
      <c r="I537">
        <f t="shared" ca="1" si="57"/>
        <v>0.93394104257291344</v>
      </c>
      <c r="J537">
        <f t="shared" ca="1" si="58"/>
        <v>0.26432776557720516</v>
      </c>
      <c r="K537">
        <f t="shared" ca="1" si="59"/>
        <v>22.479572738252919</v>
      </c>
      <c r="L537">
        <f t="shared" ca="1" si="60"/>
        <v>21.127261377047951</v>
      </c>
      <c r="M537">
        <f t="shared" ca="1" si="61"/>
        <v>0</v>
      </c>
      <c r="N537">
        <f t="shared" ca="1" si="62"/>
        <v>0</v>
      </c>
    </row>
    <row r="538" spans="6:14" x14ac:dyDescent="0.75">
      <c r="F538">
        <v>533</v>
      </c>
      <c r="G538">
        <f t="shared" ca="1" si="56"/>
        <v>-1.761252128405929</v>
      </c>
      <c r="H538">
        <f t="shared" ca="1" si="56"/>
        <v>-0.54148967652985869</v>
      </c>
      <c r="I538">
        <f t="shared" ca="1" si="57"/>
        <v>-1.761252128405929</v>
      </c>
      <c r="J538">
        <f t="shared" ca="1" si="58"/>
        <v>-1.6791008517061505</v>
      </c>
      <c r="K538">
        <f t="shared" ca="1" si="59"/>
        <v>11.459381342962102</v>
      </c>
      <c r="L538">
        <f t="shared" ca="1" si="60"/>
        <v>12.996850522726511</v>
      </c>
      <c r="M538">
        <f t="shared" ca="1" si="61"/>
        <v>0</v>
      </c>
      <c r="N538">
        <f t="shared" ca="1" si="62"/>
        <v>0</v>
      </c>
    </row>
    <row r="539" spans="6:14" x14ac:dyDescent="0.75">
      <c r="F539">
        <v>534</v>
      </c>
      <c r="G539">
        <f t="shared" ca="1" si="56"/>
        <v>-0.71172554404129684</v>
      </c>
      <c r="H539">
        <f t="shared" ca="1" si="56"/>
        <v>-0.11044095626556957</v>
      </c>
      <c r="I539">
        <f t="shared" ca="1" si="57"/>
        <v>-0.71172554404129684</v>
      </c>
      <c r="J539">
        <f t="shared" ca="1" si="58"/>
        <v>-0.60684398423968711</v>
      </c>
      <c r="K539">
        <f t="shared" ca="1" si="59"/>
        <v>14.897454685551269</v>
      </c>
      <c r="L539">
        <f t="shared" ca="1" si="60"/>
        <v>16.992486529292947</v>
      </c>
      <c r="M539">
        <f t="shared" ca="1" si="61"/>
        <v>0</v>
      </c>
      <c r="N539">
        <f t="shared" ca="1" si="62"/>
        <v>0</v>
      </c>
    </row>
    <row r="540" spans="6:14" x14ac:dyDescent="0.75">
      <c r="F540">
        <v>535</v>
      </c>
      <c r="G540">
        <f t="shared" ca="1" si="56"/>
        <v>-1.4401817516922324</v>
      </c>
      <c r="H540">
        <f t="shared" ca="1" si="56"/>
        <v>1.2179651082548095</v>
      </c>
      <c r="I540">
        <f t="shared" ca="1" si="57"/>
        <v>-1.4401817516922324</v>
      </c>
      <c r="J540">
        <f t="shared" ca="1" si="58"/>
        <v>-0.27452811827015211</v>
      </c>
      <c r="K540">
        <f t="shared" ca="1" si="59"/>
        <v>12.417121917389856</v>
      </c>
      <c r="L540">
        <f t="shared" ca="1" si="60"/>
        <v>18.464505064900003</v>
      </c>
      <c r="M540">
        <f t="shared" ca="1" si="61"/>
        <v>0</v>
      </c>
      <c r="N540">
        <f t="shared" ca="1" si="62"/>
        <v>0</v>
      </c>
    </row>
    <row r="541" spans="6:14" x14ac:dyDescent="0.75">
      <c r="F541">
        <v>536</v>
      </c>
      <c r="G541">
        <f t="shared" ca="1" si="56"/>
        <v>-2.5136116403994321E-2</v>
      </c>
      <c r="H541">
        <f t="shared" ca="1" si="56"/>
        <v>0.42630826964719443</v>
      </c>
      <c r="I541">
        <f t="shared" ca="1" si="57"/>
        <v>-2.5136116403994321E-2</v>
      </c>
      <c r="J541">
        <f t="shared" ca="1" si="58"/>
        <v>0.26312432853118967</v>
      </c>
      <c r="K541">
        <f t="shared" ca="1" si="59"/>
        <v>17.687138354313092</v>
      </c>
      <c r="L541">
        <f t="shared" ca="1" si="60"/>
        <v>21.120906000877284</v>
      </c>
      <c r="M541">
        <f t="shared" ca="1" si="61"/>
        <v>0</v>
      </c>
      <c r="N541">
        <f t="shared" ca="1" si="62"/>
        <v>0</v>
      </c>
    </row>
    <row r="542" spans="6:14" x14ac:dyDescent="0.75">
      <c r="F542">
        <v>537</v>
      </c>
      <c r="G542">
        <f t="shared" ca="1" si="56"/>
        <v>-5.6244527380760953E-2</v>
      </c>
      <c r="H542">
        <f t="shared" ca="1" si="56"/>
        <v>0.54154631568655875</v>
      </c>
      <c r="I542">
        <f t="shared" ca="1" si="57"/>
        <v>-5.6244527380760953E-2</v>
      </c>
      <c r="J542">
        <f t="shared" ca="1" si="58"/>
        <v>0.31601582314690718</v>
      </c>
      <c r="K542">
        <f t="shared" ca="1" si="59"/>
        <v>17.550117166632308</v>
      </c>
      <c r="L542">
        <f t="shared" ca="1" si="60"/>
        <v>21.402039673692684</v>
      </c>
      <c r="M542">
        <f t="shared" ca="1" si="61"/>
        <v>0</v>
      </c>
      <c r="N542">
        <f t="shared" ca="1" si="62"/>
        <v>0</v>
      </c>
    </row>
    <row r="543" spans="6:14" x14ac:dyDescent="0.75">
      <c r="F543">
        <v>538</v>
      </c>
      <c r="G543">
        <f t="shared" ca="1" si="56"/>
        <v>-0.34327089262522081</v>
      </c>
      <c r="H543">
        <f t="shared" ca="1" si="56"/>
        <v>-0.3235674597570658</v>
      </c>
      <c r="I543">
        <f t="shared" ca="1" si="57"/>
        <v>-0.34327089262522081</v>
      </c>
      <c r="J543">
        <f t="shared" ca="1" si="58"/>
        <v>-0.47147292718643963</v>
      </c>
      <c r="K543">
        <f t="shared" ca="1" si="59"/>
        <v>16.334901821829344</v>
      </c>
      <c r="L543">
        <f t="shared" ca="1" si="60"/>
        <v>17.577400980354067</v>
      </c>
      <c r="M543">
        <f t="shared" ca="1" si="61"/>
        <v>0</v>
      </c>
      <c r="N543">
        <f t="shared" ca="1" si="62"/>
        <v>0</v>
      </c>
    </row>
    <row r="544" spans="6:14" x14ac:dyDescent="0.75">
      <c r="F544">
        <v>539</v>
      </c>
      <c r="G544">
        <f t="shared" ca="1" si="56"/>
        <v>-0.64592827322702884</v>
      </c>
      <c r="H544">
        <f t="shared" ca="1" si="56"/>
        <v>2.5500352124227863</v>
      </c>
      <c r="I544">
        <f t="shared" ca="1" si="57"/>
        <v>-0.64592827322702884</v>
      </c>
      <c r="J544">
        <f t="shared" ca="1" si="58"/>
        <v>1.2022435467118431</v>
      </c>
      <c r="K544">
        <f t="shared" ca="1" si="59"/>
        <v>15.144534224356558</v>
      </c>
      <c r="L544">
        <f t="shared" ca="1" si="60"/>
        <v>26.710137105722186</v>
      </c>
      <c r="M544">
        <f t="shared" ca="1" si="61"/>
        <v>0</v>
      </c>
      <c r="N544">
        <f t="shared" ca="1" si="62"/>
        <v>0</v>
      </c>
    </row>
    <row r="545" spans="6:14" x14ac:dyDescent="0.75">
      <c r="F545">
        <v>540</v>
      </c>
      <c r="G545">
        <f t="shared" ca="1" si="56"/>
        <v>-2.5842753120626807E-2</v>
      </c>
      <c r="H545">
        <f t="shared" ca="1" si="56"/>
        <v>1.4308287851458723</v>
      </c>
      <c r="I545">
        <f t="shared" ca="1" si="57"/>
        <v>-2.5842753120626807E-2</v>
      </c>
      <c r="J545">
        <f t="shared" ca="1" si="58"/>
        <v>0.92702221871169166</v>
      </c>
      <c r="K545">
        <f t="shared" ca="1" si="59"/>
        <v>17.684014034947737</v>
      </c>
      <c r="L545">
        <f t="shared" ca="1" si="60"/>
        <v>24.934136995480213</v>
      </c>
      <c r="M545">
        <f t="shared" ca="1" si="61"/>
        <v>0</v>
      </c>
      <c r="N545">
        <f t="shared" ca="1" si="62"/>
        <v>0</v>
      </c>
    </row>
    <row r="546" spans="6:14" x14ac:dyDescent="0.75">
      <c r="F546">
        <v>541</v>
      </c>
      <c r="G546">
        <f t="shared" ca="1" si="56"/>
        <v>-1.1439931047839984</v>
      </c>
      <c r="H546">
        <f t="shared" ca="1" si="56"/>
        <v>-0.86184806861338681</v>
      </c>
      <c r="I546">
        <f t="shared" ca="1" si="57"/>
        <v>-1.1439931047839984</v>
      </c>
      <c r="J546">
        <f t="shared" ca="1" si="58"/>
        <v>-1.4280537429560871</v>
      </c>
      <c r="K546">
        <f t="shared" ca="1" si="59"/>
        <v>13.371471992163762</v>
      </c>
      <c r="L546">
        <f t="shared" ca="1" si="60"/>
        <v>13.838697546025649</v>
      </c>
      <c r="M546">
        <f t="shared" ca="1" si="61"/>
        <v>0</v>
      </c>
      <c r="N546">
        <f t="shared" ca="1" si="62"/>
        <v>0</v>
      </c>
    </row>
    <row r="547" spans="6:14" x14ac:dyDescent="0.75">
      <c r="F547">
        <v>542</v>
      </c>
      <c r="G547">
        <f t="shared" ca="1" si="56"/>
        <v>0.27249725904052696</v>
      </c>
      <c r="H547">
        <f t="shared" ca="1" si="56"/>
        <v>-1.7299599149433751</v>
      </c>
      <c r="I547">
        <f t="shared" ca="1" si="57"/>
        <v>0.27249725904052696</v>
      </c>
      <c r="J547">
        <f t="shared" ca="1" si="58"/>
        <v>-0.93988798398226048</v>
      </c>
      <c r="K547">
        <f t="shared" ca="1" si="59"/>
        <v>19.053409704252452</v>
      </c>
      <c r="L547">
        <f t="shared" ca="1" si="60"/>
        <v>15.634973211774142</v>
      </c>
      <c r="M547">
        <f t="shared" ca="1" si="61"/>
        <v>0</v>
      </c>
      <c r="N547">
        <f t="shared" ca="1" si="62"/>
        <v>0</v>
      </c>
    </row>
    <row r="548" spans="6:14" x14ac:dyDescent="0.75">
      <c r="F548">
        <v>543</v>
      </c>
      <c r="G548">
        <f t="shared" ca="1" si="56"/>
        <v>-1.3340492664292098</v>
      </c>
      <c r="H548">
        <f t="shared" ca="1" si="56"/>
        <v>-0.78915174003377142</v>
      </c>
      <c r="I548">
        <f t="shared" ca="1" si="57"/>
        <v>-1.3340492664292098</v>
      </c>
      <c r="J548">
        <f t="shared" ca="1" si="58"/>
        <v>-1.5225117625277209</v>
      </c>
      <c r="K548">
        <f t="shared" ca="1" si="59"/>
        <v>12.750996702431895</v>
      </c>
      <c r="L548">
        <f t="shared" ca="1" si="60"/>
        <v>13.515731900229365</v>
      </c>
      <c r="M548">
        <f t="shared" ca="1" si="61"/>
        <v>0</v>
      </c>
      <c r="N548">
        <f t="shared" ca="1" si="62"/>
        <v>0</v>
      </c>
    </row>
    <row r="549" spans="6:14" x14ac:dyDescent="0.75">
      <c r="F549">
        <v>544</v>
      </c>
      <c r="G549">
        <f t="shared" ca="1" si="56"/>
        <v>0.42319099101558766</v>
      </c>
      <c r="H549">
        <f t="shared" ca="1" si="56"/>
        <v>-2.2086515092231278</v>
      </c>
      <c r="I549">
        <f t="shared" ca="1" si="57"/>
        <v>0.42319099101558766</v>
      </c>
      <c r="J549">
        <f t="shared" ca="1" si="58"/>
        <v>-1.1434924132912787</v>
      </c>
      <c r="K549">
        <f t="shared" ca="1" si="59"/>
        <v>19.784909598835284</v>
      </c>
      <c r="L549">
        <f t="shared" ca="1" si="60"/>
        <v>14.859050936099788</v>
      </c>
      <c r="M549">
        <f t="shared" ca="1" si="61"/>
        <v>0</v>
      </c>
      <c r="N549">
        <f t="shared" ca="1" si="62"/>
        <v>0</v>
      </c>
    </row>
    <row r="550" spans="6:14" x14ac:dyDescent="0.75">
      <c r="F550">
        <v>545</v>
      </c>
      <c r="G550">
        <f t="shared" ca="1" si="56"/>
        <v>-1.1270110159569844</v>
      </c>
      <c r="H550">
        <f t="shared" ca="1" si="56"/>
        <v>1.259304781692562</v>
      </c>
      <c r="I550">
        <f t="shared" ca="1" si="57"/>
        <v>-1.1270110159569844</v>
      </c>
      <c r="J550">
        <f t="shared" ca="1" si="58"/>
        <v>-1.2306442669487216E-2</v>
      </c>
      <c r="K550">
        <f t="shared" ca="1" si="59"/>
        <v>13.428361550935758</v>
      </c>
      <c r="L550">
        <f t="shared" ca="1" si="60"/>
        <v>19.715510537517119</v>
      </c>
      <c r="M550">
        <f t="shared" ca="1" si="61"/>
        <v>0</v>
      </c>
      <c r="N550">
        <f t="shared" ca="1" si="62"/>
        <v>0</v>
      </c>
    </row>
    <row r="551" spans="6:14" x14ac:dyDescent="0.75">
      <c r="F551">
        <v>546</v>
      </c>
      <c r="G551">
        <f t="shared" ca="1" si="56"/>
        <v>-0.20824431326967646</v>
      </c>
      <c r="H551">
        <f t="shared" ca="1" si="56"/>
        <v>-1.0419171573404329</v>
      </c>
      <c r="I551">
        <f t="shared" ca="1" si="57"/>
        <v>-0.20824431326967646</v>
      </c>
      <c r="J551">
        <f t="shared" ca="1" si="58"/>
        <v>-0.84534665621579275</v>
      </c>
      <c r="K551">
        <f t="shared" ca="1" si="59"/>
        <v>16.895725814864235</v>
      </c>
      <c r="L551">
        <f t="shared" ca="1" si="60"/>
        <v>16.008912677612159</v>
      </c>
      <c r="M551">
        <f t="shared" ca="1" si="61"/>
        <v>0</v>
      </c>
      <c r="N551">
        <f t="shared" ca="1" si="62"/>
        <v>0</v>
      </c>
    </row>
    <row r="552" spans="6:14" x14ac:dyDescent="0.75">
      <c r="F552">
        <v>547</v>
      </c>
      <c r="G552">
        <f t="shared" ca="1" si="56"/>
        <v>-0.31208569978265538</v>
      </c>
      <c r="H552">
        <f t="shared" ca="1" si="56"/>
        <v>0.62564798176796677</v>
      </c>
      <c r="I552">
        <f t="shared" ca="1" si="57"/>
        <v>-0.31208569978265538</v>
      </c>
      <c r="J552">
        <f t="shared" ca="1" si="58"/>
        <v>0.17976296716988677</v>
      </c>
      <c r="K552">
        <f t="shared" ca="1" si="59"/>
        <v>16.46275131648591</v>
      </c>
      <c r="L552">
        <f t="shared" ca="1" si="60"/>
        <v>20.685294048323431</v>
      </c>
      <c r="M552">
        <f t="shared" ca="1" si="61"/>
        <v>0</v>
      </c>
      <c r="N552">
        <f t="shared" ca="1" si="62"/>
        <v>0</v>
      </c>
    </row>
    <row r="553" spans="6:14" x14ac:dyDescent="0.75">
      <c r="F553">
        <v>548</v>
      </c>
      <c r="G553">
        <f t="shared" ca="1" si="56"/>
        <v>0.33991094370946201</v>
      </c>
      <c r="H553">
        <f t="shared" ca="1" si="56"/>
        <v>-0.6221785003759116</v>
      </c>
      <c r="I553">
        <f t="shared" ca="1" si="57"/>
        <v>0.33991094370946201</v>
      </c>
      <c r="J553">
        <f t="shared" ca="1" si="58"/>
        <v>-0.1565991879893458</v>
      </c>
      <c r="K553">
        <f t="shared" ca="1" si="59"/>
        <v>19.377246052744429</v>
      </c>
      <c r="L553">
        <f t="shared" ca="1" si="60"/>
        <v>19.016984036880466</v>
      </c>
      <c r="M553">
        <f t="shared" ca="1" si="61"/>
        <v>0</v>
      </c>
      <c r="N553">
        <f t="shared" ca="1" si="62"/>
        <v>0</v>
      </c>
    </row>
    <row r="554" spans="6:14" x14ac:dyDescent="0.75">
      <c r="F554">
        <v>549</v>
      </c>
      <c r="G554">
        <f t="shared" ca="1" si="56"/>
        <v>0.90108381298013418</v>
      </c>
      <c r="H554">
        <f t="shared" ca="1" si="56"/>
        <v>-0.11307130901182399</v>
      </c>
      <c r="I554">
        <f t="shared" ca="1" si="57"/>
        <v>0.90108381298013418</v>
      </c>
      <c r="J554">
        <f t="shared" ca="1" si="58"/>
        <v>0.60102321871964492</v>
      </c>
      <c r="K554">
        <f t="shared" ca="1" si="59"/>
        <v>22.295674948128223</v>
      </c>
      <c r="L554">
        <f t="shared" ca="1" si="60"/>
        <v>22.982615406410865</v>
      </c>
      <c r="M554">
        <f t="shared" ca="1" si="61"/>
        <v>0</v>
      </c>
      <c r="N554">
        <f t="shared" ca="1" si="62"/>
        <v>0</v>
      </c>
    </row>
    <row r="555" spans="6:14" x14ac:dyDescent="0.75">
      <c r="F555">
        <v>550</v>
      </c>
      <c r="G555">
        <f t="shared" ca="1" si="56"/>
        <v>0.51235785462528449</v>
      </c>
      <c r="H555">
        <f t="shared" ca="1" si="56"/>
        <v>1.7138233932244245</v>
      </c>
      <c r="I555">
        <f t="shared" ca="1" si="57"/>
        <v>0.51235785462528449</v>
      </c>
      <c r="J555">
        <f t="shared" ca="1" si="58"/>
        <v>1.5178560133581351</v>
      </c>
      <c r="K555">
        <f t="shared" ca="1" si="59"/>
        <v>20.230901678736316</v>
      </c>
      <c r="L555">
        <f t="shared" ca="1" si="60"/>
        <v>28.903025461654082</v>
      </c>
      <c r="M555">
        <f t="shared" ca="1" si="61"/>
        <v>0</v>
      </c>
      <c r="N555">
        <f t="shared" ca="1" si="62"/>
        <v>0</v>
      </c>
    </row>
    <row r="556" spans="6:14" x14ac:dyDescent="0.75">
      <c r="F556">
        <v>551</v>
      </c>
      <c r="G556">
        <f t="shared" ca="1" si="56"/>
        <v>0.17516801834317247</v>
      </c>
      <c r="H556">
        <f t="shared" ca="1" si="56"/>
        <v>-7.0733335326215244E-2</v>
      </c>
      <c r="I556">
        <f t="shared" ca="1" si="57"/>
        <v>0.17516801834317247</v>
      </c>
      <c r="J556">
        <f t="shared" ca="1" si="58"/>
        <v>8.4590310088553014E-2</v>
      </c>
      <c r="K556">
        <f t="shared" ca="1" si="59"/>
        <v>18.595391151890016</v>
      </c>
      <c r="L556">
        <f t="shared" ca="1" si="60"/>
        <v>20.198934410820133</v>
      </c>
      <c r="M556">
        <f t="shared" ca="1" si="61"/>
        <v>0</v>
      </c>
      <c r="N556">
        <f t="shared" ca="1" si="62"/>
        <v>0</v>
      </c>
    </row>
    <row r="557" spans="6:14" x14ac:dyDescent="0.75">
      <c r="F557">
        <v>552</v>
      </c>
      <c r="G557">
        <f t="shared" ca="1" si="56"/>
        <v>0.60534208965900971</v>
      </c>
      <c r="H557">
        <f t="shared" ca="1" si="56"/>
        <v>-0.90957133977664373</v>
      </c>
      <c r="I557">
        <f t="shared" ca="1" si="57"/>
        <v>0.60534208965900971</v>
      </c>
      <c r="J557">
        <f t="shared" ca="1" si="58"/>
        <v>-0.14761832393595065</v>
      </c>
      <c r="K557">
        <f t="shared" ca="1" si="59"/>
        <v>20.706699190623322</v>
      </c>
      <c r="L557">
        <f t="shared" ca="1" si="60"/>
        <v>19.059729242118784</v>
      </c>
      <c r="M557">
        <f t="shared" ca="1" si="61"/>
        <v>0</v>
      </c>
      <c r="N557">
        <f t="shared" ca="1" si="62"/>
        <v>0</v>
      </c>
    </row>
    <row r="558" spans="6:14" x14ac:dyDescent="0.75">
      <c r="F558">
        <v>553</v>
      </c>
      <c r="G558">
        <f t="shared" ca="1" si="56"/>
        <v>2.121988615145582</v>
      </c>
      <c r="H558">
        <f t="shared" ca="1" si="56"/>
        <v>-0.14676666595695947</v>
      </c>
      <c r="I558">
        <f t="shared" ca="1" si="57"/>
        <v>2.121988615145582</v>
      </c>
      <c r="J558">
        <f t="shared" ca="1" si="58"/>
        <v>1.4944144366401353</v>
      </c>
      <c r="K558">
        <f t="shared" ca="1" si="59"/>
        <v>30.253712725794291</v>
      </c>
      <c r="L558">
        <f t="shared" ca="1" si="60"/>
        <v>28.734137697263975</v>
      </c>
      <c r="M558">
        <f t="shared" ca="1" si="61"/>
        <v>0</v>
      </c>
      <c r="N558">
        <f t="shared" ca="1" si="62"/>
        <v>0</v>
      </c>
    </row>
    <row r="559" spans="6:14" x14ac:dyDescent="0.75">
      <c r="F559">
        <v>554</v>
      </c>
      <c r="G559">
        <f t="shared" ca="1" si="56"/>
        <v>0.59388138182350048</v>
      </c>
      <c r="H559">
        <f t="shared" ca="1" si="56"/>
        <v>-6.5952514705633222E-2</v>
      </c>
      <c r="I559">
        <f t="shared" ca="1" si="57"/>
        <v>0.59388138182350048</v>
      </c>
      <c r="J559">
        <f t="shared" ca="1" si="58"/>
        <v>0.4017875483050164</v>
      </c>
      <c r="K559">
        <f t="shared" ca="1" si="59"/>
        <v>20.647455745213946</v>
      </c>
      <c r="L559">
        <f t="shared" ca="1" si="60"/>
        <v>21.865917819372569</v>
      </c>
      <c r="M559">
        <f t="shared" ca="1" si="61"/>
        <v>0</v>
      </c>
      <c r="N559">
        <f t="shared" ca="1" si="62"/>
        <v>0</v>
      </c>
    </row>
    <row r="560" spans="6:14" x14ac:dyDescent="0.75">
      <c r="F560">
        <v>555</v>
      </c>
      <c r="G560">
        <f t="shared" ca="1" si="56"/>
        <v>1.0651698191494223</v>
      </c>
      <c r="H560">
        <f t="shared" ca="1" si="56"/>
        <v>1.4011243208645863</v>
      </c>
      <c r="I560">
        <f t="shared" ca="1" si="57"/>
        <v>1.0651698191494223</v>
      </c>
      <c r="J560">
        <f t="shared" ca="1" si="58"/>
        <v>1.7256339915850578</v>
      </c>
      <c r="K560">
        <f t="shared" ca="1" si="59"/>
        <v>23.229295349572453</v>
      </c>
      <c r="L560">
        <f t="shared" ca="1" si="60"/>
        <v>30.444056048828934</v>
      </c>
      <c r="M560">
        <f t="shared" ca="1" si="61"/>
        <v>0</v>
      </c>
      <c r="N560">
        <f t="shared" ca="1" si="62"/>
        <v>0</v>
      </c>
    </row>
    <row r="561" spans="6:14" x14ac:dyDescent="0.75">
      <c r="F561">
        <v>556</v>
      </c>
      <c r="G561">
        <f t="shared" ca="1" si="56"/>
        <v>0.73982436859074618</v>
      </c>
      <c r="H561">
        <f t="shared" ca="1" si="56"/>
        <v>0.53462589687798023</v>
      </c>
      <c r="I561">
        <f t="shared" ca="1" si="57"/>
        <v>0.73982436859074618</v>
      </c>
      <c r="J561">
        <f t="shared" ca="1" si="58"/>
        <v>0.90849006834155943</v>
      </c>
      <c r="K561">
        <f t="shared" ca="1" si="59"/>
        <v>21.414705309709735</v>
      </c>
      <c r="L561">
        <f t="shared" ca="1" si="60"/>
        <v>24.818883394735408</v>
      </c>
      <c r="M561">
        <f t="shared" ca="1" si="61"/>
        <v>0</v>
      </c>
      <c r="N561">
        <f t="shared" ca="1" si="62"/>
        <v>0</v>
      </c>
    </row>
    <row r="562" spans="6:14" x14ac:dyDescent="0.75">
      <c r="F562">
        <v>557</v>
      </c>
      <c r="G562">
        <f t="shared" ca="1" si="56"/>
        <v>0.91092441234674448</v>
      </c>
      <c r="H562">
        <f t="shared" ca="1" si="56"/>
        <v>-0.17720913297417254</v>
      </c>
      <c r="I562">
        <f t="shared" ca="1" si="57"/>
        <v>0.91092441234674448</v>
      </c>
      <c r="J562">
        <f t="shared" ca="1" si="58"/>
        <v>0.56598048528529932</v>
      </c>
      <c r="K562">
        <f t="shared" ca="1" si="59"/>
        <v>22.350593175156526</v>
      </c>
      <c r="L562">
        <f t="shared" ca="1" si="60"/>
        <v>22.782151373168912</v>
      </c>
      <c r="M562">
        <f t="shared" ca="1" si="61"/>
        <v>0</v>
      </c>
      <c r="N562">
        <f t="shared" ca="1" si="62"/>
        <v>0</v>
      </c>
    </row>
    <row r="563" spans="6:14" x14ac:dyDescent="0.75">
      <c r="F563">
        <v>558</v>
      </c>
      <c r="G563">
        <f t="shared" ca="1" si="56"/>
        <v>-0.42403311253735243</v>
      </c>
      <c r="H563">
        <f t="shared" ca="1" si="56"/>
        <v>-0.63281084441709057</v>
      </c>
      <c r="I563">
        <f t="shared" ca="1" si="57"/>
        <v>-0.42403311253735243</v>
      </c>
      <c r="J563">
        <f t="shared" ca="1" si="58"/>
        <v>-0.73658986472111643</v>
      </c>
      <c r="K563">
        <f t="shared" ca="1" si="59"/>
        <v>16.008398323701773</v>
      </c>
      <c r="L563">
        <f t="shared" ca="1" si="60"/>
        <v>16.45015348188635</v>
      </c>
      <c r="M563">
        <f t="shared" ca="1" si="61"/>
        <v>0</v>
      </c>
      <c r="N563">
        <f t="shared" ca="1" si="62"/>
        <v>0</v>
      </c>
    </row>
    <row r="564" spans="6:14" x14ac:dyDescent="0.75">
      <c r="F564">
        <v>559</v>
      </c>
      <c r="G564">
        <f t="shared" ca="1" si="56"/>
        <v>-0.33181241122162919</v>
      </c>
      <c r="H564">
        <f t="shared" ca="1" si="56"/>
        <v>-0.69521769920926646</v>
      </c>
      <c r="I564">
        <f t="shared" ca="1" si="57"/>
        <v>-0.33181241122162919</v>
      </c>
      <c r="J564">
        <f t="shared" ca="1" si="58"/>
        <v>-0.70870259320577822</v>
      </c>
      <c r="K564">
        <f t="shared" ca="1" si="59"/>
        <v>16.381762200570495</v>
      </c>
      <c r="L564">
        <f t="shared" ca="1" si="60"/>
        <v>16.565241676841854</v>
      </c>
      <c r="M564">
        <f t="shared" ca="1" si="61"/>
        <v>0</v>
      </c>
      <c r="N564">
        <f t="shared" ca="1" si="62"/>
        <v>0</v>
      </c>
    </row>
    <row r="565" spans="6:14" x14ac:dyDescent="0.75">
      <c r="F565">
        <v>560</v>
      </c>
      <c r="G565">
        <f t="shared" ca="1" si="56"/>
        <v>-2.2322298634078099</v>
      </c>
      <c r="H565">
        <f t="shared" ca="1" si="56"/>
        <v>-0.65277581306841537</v>
      </c>
      <c r="I565">
        <f t="shared" ca="1" si="57"/>
        <v>-2.2322298634078099</v>
      </c>
      <c r="J565">
        <f t="shared" ca="1" si="58"/>
        <v>-2.1059430133701111</v>
      </c>
      <c r="K565">
        <f t="shared" ca="1" si="59"/>
        <v>10.186509960409325</v>
      </c>
      <c r="L565">
        <f t="shared" ca="1" si="60"/>
        <v>11.681384662106193</v>
      </c>
      <c r="M565">
        <f t="shared" ca="1" si="61"/>
        <v>0</v>
      </c>
      <c r="N565">
        <f t="shared" ca="1" si="62"/>
        <v>0</v>
      </c>
    </row>
    <row r="566" spans="6:14" x14ac:dyDescent="0.75">
      <c r="F566">
        <v>561</v>
      </c>
      <c r="G566">
        <f t="shared" ca="1" si="56"/>
        <v>-0.19239968083825645</v>
      </c>
      <c r="H566">
        <f t="shared" ca="1" si="56"/>
        <v>-0.39455337381716982</v>
      </c>
      <c r="I566">
        <f t="shared" ca="1" si="57"/>
        <v>-0.19239968083825645</v>
      </c>
      <c r="J566">
        <f t="shared" ca="1" si="58"/>
        <v>-0.405272287144126</v>
      </c>
      <c r="K566">
        <f t="shared" ca="1" si="59"/>
        <v>16.962785184863044</v>
      </c>
      <c r="L566">
        <f t="shared" ca="1" si="60"/>
        <v>17.87073040822839</v>
      </c>
      <c r="M566">
        <f t="shared" ca="1" si="61"/>
        <v>0</v>
      </c>
      <c r="N566">
        <f t="shared" ca="1" si="62"/>
        <v>0</v>
      </c>
    </row>
    <row r="567" spans="6:14" x14ac:dyDescent="0.75">
      <c r="F567">
        <v>562</v>
      </c>
      <c r="G567">
        <f t="shared" ca="1" si="56"/>
        <v>-5.671940748015511E-2</v>
      </c>
      <c r="H567">
        <f t="shared" ca="1" si="56"/>
        <v>-0.14981103567562556</v>
      </c>
      <c r="I567">
        <f t="shared" ca="1" si="57"/>
        <v>-5.671940748015511E-2</v>
      </c>
      <c r="J567">
        <f t="shared" ca="1" si="58"/>
        <v>-0.14163024162279897</v>
      </c>
      <c r="K567">
        <f t="shared" ca="1" si="59"/>
        <v>17.548033739960871</v>
      </c>
      <c r="L567">
        <f t="shared" ca="1" si="60"/>
        <v>19.088283416771702</v>
      </c>
      <c r="M567">
        <f t="shared" ca="1" si="61"/>
        <v>0</v>
      </c>
      <c r="N567">
        <f t="shared" ca="1" si="62"/>
        <v>0</v>
      </c>
    </row>
    <row r="568" spans="6:14" x14ac:dyDescent="0.75">
      <c r="F568">
        <v>563</v>
      </c>
      <c r="G568">
        <f t="shared" ca="1" si="56"/>
        <v>-1.9097656689124201</v>
      </c>
      <c r="H568">
        <f t="shared" ca="1" si="56"/>
        <v>6.943342723134685E-2</v>
      </c>
      <c r="I568">
        <f t="shared" ca="1" si="57"/>
        <v>-1.9097656689124201</v>
      </c>
      <c r="J568">
        <f t="shared" ca="1" si="58"/>
        <v>-1.3863983564020541</v>
      </c>
      <c r="K568">
        <f t="shared" ca="1" si="59"/>
        <v>11.041714643141418</v>
      </c>
      <c r="L568">
        <f t="shared" ca="1" si="60"/>
        <v>13.98356462249318</v>
      </c>
      <c r="M568">
        <f t="shared" ca="1" si="61"/>
        <v>0</v>
      </c>
      <c r="N568">
        <f t="shared" ca="1" si="62"/>
        <v>0</v>
      </c>
    </row>
    <row r="569" spans="6:14" x14ac:dyDescent="0.75">
      <c r="F569">
        <v>564</v>
      </c>
      <c r="G569">
        <f t="shared" ca="1" si="56"/>
        <v>-0.32171373333780351</v>
      </c>
      <c r="H569">
        <f t="shared" ca="1" si="56"/>
        <v>-0.33624019890148837</v>
      </c>
      <c r="I569">
        <f t="shared" ca="1" si="57"/>
        <v>-0.32171373333780351</v>
      </c>
      <c r="J569">
        <f t="shared" ca="1" si="58"/>
        <v>-0.46368728677241056</v>
      </c>
      <c r="K569">
        <f t="shared" ca="1" si="59"/>
        <v>16.423172987757958</v>
      </c>
      <c r="L569">
        <f t="shared" ca="1" si="60"/>
        <v>17.611647128928595</v>
      </c>
      <c r="M569">
        <f t="shared" ca="1" si="61"/>
        <v>0</v>
      </c>
      <c r="N569">
        <f t="shared" ca="1" si="62"/>
        <v>0</v>
      </c>
    </row>
    <row r="570" spans="6:14" x14ac:dyDescent="0.75">
      <c r="F570">
        <v>565</v>
      </c>
      <c r="G570">
        <f t="shared" ca="1" si="56"/>
        <v>6.463214965742764E-2</v>
      </c>
      <c r="H570">
        <f t="shared" ca="1" si="56"/>
        <v>0.33078996490577589</v>
      </c>
      <c r="I570">
        <f t="shared" ca="1" si="57"/>
        <v>6.463214965742764E-2</v>
      </c>
      <c r="J570">
        <f t="shared" ca="1" si="58"/>
        <v>0.26727110807718735</v>
      </c>
      <c r="K570">
        <f t="shared" ca="1" si="59"/>
        <v>18.088561828062058</v>
      </c>
      <c r="L570">
        <f t="shared" ca="1" si="60"/>
        <v>21.142813289751757</v>
      </c>
      <c r="M570">
        <f t="shared" ca="1" si="61"/>
        <v>0</v>
      </c>
      <c r="N570">
        <f t="shared" ca="1" si="62"/>
        <v>0</v>
      </c>
    </row>
    <row r="571" spans="6:14" x14ac:dyDescent="0.75">
      <c r="F571">
        <v>566</v>
      </c>
      <c r="G571">
        <f t="shared" ca="1" si="56"/>
        <v>0.2569472221151381</v>
      </c>
      <c r="H571">
        <f t="shared" ca="1" si="56"/>
        <v>-2.0263794774124175</v>
      </c>
      <c r="I571">
        <f t="shared" ca="1" si="57"/>
        <v>0.2569472221151381</v>
      </c>
      <c r="J571">
        <f t="shared" ca="1" si="58"/>
        <v>-1.1476136231832175</v>
      </c>
      <c r="K571">
        <f t="shared" ca="1" si="59"/>
        <v>18.979483186251706</v>
      </c>
      <c r="L571">
        <f t="shared" ca="1" si="60"/>
        <v>14.843749503079826</v>
      </c>
      <c r="M571">
        <f t="shared" ca="1" si="61"/>
        <v>0</v>
      </c>
      <c r="N571">
        <f t="shared" ca="1" si="62"/>
        <v>0</v>
      </c>
    </row>
    <row r="572" spans="6:14" x14ac:dyDescent="0.75">
      <c r="F572">
        <v>567</v>
      </c>
      <c r="G572">
        <f t="shared" ca="1" si="56"/>
        <v>-0.13655026152814154</v>
      </c>
      <c r="H572">
        <f t="shared" ca="1" si="56"/>
        <v>0.78182276330728639</v>
      </c>
      <c r="I572">
        <f t="shared" ca="1" si="57"/>
        <v>-0.13655026152814154</v>
      </c>
      <c r="J572">
        <f t="shared" ca="1" si="58"/>
        <v>0.41471445411399244</v>
      </c>
      <c r="K572">
        <f t="shared" ca="1" si="59"/>
        <v>17.20128675767895</v>
      </c>
      <c r="L572">
        <f t="shared" ca="1" si="60"/>
        <v>21.93669679192935</v>
      </c>
      <c r="M572">
        <f t="shared" ca="1" si="61"/>
        <v>0</v>
      </c>
      <c r="N572">
        <f t="shared" ca="1" si="62"/>
        <v>0</v>
      </c>
    </row>
    <row r="573" spans="6:14" x14ac:dyDescent="0.75">
      <c r="F573">
        <v>568</v>
      </c>
      <c r="G573">
        <f t="shared" ca="1" si="56"/>
        <v>0.50069845683010894</v>
      </c>
      <c r="H573">
        <f t="shared" ca="1" si="56"/>
        <v>-1.8341808219897324</v>
      </c>
      <c r="I573">
        <f t="shared" ca="1" si="57"/>
        <v>0.50069845683010894</v>
      </c>
      <c r="J573">
        <f t="shared" ca="1" si="58"/>
        <v>-0.8376727360046341</v>
      </c>
      <c r="K573">
        <f t="shared" ca="1" si="59"/>
        <v>20.172017507068801</v>
      </c>
      <c r="L573">
        <f t="shared" ca="1" si="60"/>
        <v>16.039654937027667</v>
      </c>
      <c r="M573">
        <f t="shared" ca="1" si="61"/>
        <v>0</v>
      </c>
      <c r="N573">
        <f t="shared" ca="1" si="62"/>
        <v>0</v>
      </c>
    </row>
    <row r="574" spans="6:14" x14ac:dyDescent="0.75">
      <c r="F574">
        <v>569</v>
      </c>
      <c r="G574">
        <f t="shared" ca="1" si="56"/>
        <v>-1.4458718009767419</v>
      </c>
      <c r="H574">
        <f t="shared" ca="1" si="56"/>
        <v>0.42381146541379555</v>
      </c>
      <c r="I574">
        <f t="shared" ca="1" si="57"/>
        <v>-1.4458718009767419</v>
      </c>
      <c r="J574">
        <f t="shared" ca="1" si="58"/>
        <v>-0.80407891566686773</v>
      </c>
      <c r="K574">
        <f t="shared" ca="1" si="59"/>
        <v>12.399470965793943</v>
      </c>
      <c r="L574">
        <f t="shared" ca="1" si="60"/>
        <v>16.174930516398003</v>
      </c>
      <c r="M574">
        <f t="shared" ca="1" si="61"/>
        <v>0</v>
      </c>
      <c r="N574">
        <f t="shared" ca="1" si="62"/>
        <v>0</v>
      </c>
    </row>
    <row r="575" spans="6:14" x14ac:dyDescent="0.75">
      <c r="F575">
        <v>570</v>
      </c>
      <c r="G575">
        <f t="shared" ca="1" si="56"/>
        <v>-1.3647873581791494</v>
      </c>
      <c r="H575">
        <f t="shared" ca="1" si="56"/>
        <v>2.4760992542076252</v>
      </c>
      <c r="I575">
        <f t="shared" ca="1" si="57"/>
        <v>-1.3647873581791494</v>
      </c>
      <c r="J575">
        <f t="shared" ca="1" si="58"/>
        <v>0.61419519340210771</v>
      </c>
      <c r="K575">
        <f t="shared" ca="1" si="59"/>
        <v>12.653386898521301</v>
      </c>
      <c r="L575">
        <f t="shared" ca="1" si="60"/>
        <v>23.058421759897037</v>
      </c>
      <c r="M575">
        <f t="shared" ca="1" si="61"/>
        <v>0</v>
      </c>
      <c r="N575">
        <f t="shared" ca="1" si="62"/>
        <v>0</v>
      </c>
    </row>
    <row r="576" spans="6:14" x14ac:dyDescent="0.75">
      <c r="F576">
        <v>571</v>
      </c>
      <c r="G576">
        <f t="shared" ca="1" si="56"/>
        <v>1.7453184010422569</v>
      </c>
      <c r="H576">
        <f t="shared" ca="1" si="56"/>
        <v>-0.2384913828592605</v>
      </c>
      <c r="I576">
        <f t="shared" ca="1" si="57"/>
        <v>1.7453184010422569</v>
      </c>
      <c r="J576">
        <f t="shared" ca="1" si="58"/>
        <v>1.1512415785623189</v>
      </c>
      <c r="K576">
        <f t="shared" ca="1" si="59"/>
        <v>27.534819245496578</v>
      </c>
      <c r="L576">
        <f t="shared" ca="1" si="60"/>
        <v>26.371731717519072</v>
      </c>
      <c r="M576">
        <f t="shared" ca="1" si="61"/>
        <v>0</v>
      </c>
      <c r="N576">
        <f t="shared" ca="1" si="62"/>
        <v>0</v>
      </c>
    </row>
    <row r="577" spans="6:14" x14ac:dyDescent="0.75">
      <c r="F577">
        <v>572</v>
      </c>
      <c r="G577">
        <f t="shared" ca="1" si="56"/>
        <v>0.63609152347380948</v>
      </c>
      <c r="H577">
        <f t="shared" ca="1" si="56"/>
        <v>1.8591115157213927</v>
      </c>
      <c r="I577">
        <f t="shared" ca="1" si="57"/>
        <v>0.63609152347380948</v>
      </c>
      <c r="J577">
        <f t="shared" ca="1" si="58"/>
        <v>1.7067553251391452</v>
      </c>
      <c r="K577">
        <f t="shared" ca="1" si="59"/>
        <v>20.866492416677485</v>
      </c>
      <c r="L577">
        <f t="shared" ca="1" si="60"/>
        <v>30.300708795690809</v>
      </c>
      <c r="M577">
        <f t="shared" ca="1" si="61"/>
        <v>0</v>
      </c>
      <c r="N577">
        <f t="shared" ca="1" si="62"/>
        <v>0</v>
      </c>
    </row>
    <row r="578" spans="6:14" x14ac:dyDescent="0.75">
      <c r="F578">
        <v>573</v>
      </c>
      <c r="G578">
        <f t="shared" ca="1" si="56"/>
        <v>1.4752693523450489</v>
      </c>
      <c r="H578">
        <f t="shared" ca="1" si="56"/>
        <v>-0.78541500816111209</v>
      </c>
      <c r="I578">
        <f t="shared" ca="1" si="57"/>
        <v>1.4752693523450489</v>
      </c>
      <c r="J578">
        <f t="shared" ca="1" si="58"/>
        <v>0.58694881736576943</v>
      </c>
      <c r="K578">
        <f t="shared" ca="1" si="59"/>
        <v>25.737243234419804</v>
      </c>
      <c r="L578">
        <f t="shared" ca="1" si="60"/>
        <v>22.90189087003796</v>
      </c>
      <c r="M578">
        <f t="shared" ca="1" si="61"/>
        <v>0</v>
      </c>
      <c r="N578">
        <f t="shared" ca="1" si="62"/>
        <v>0</v>
      </c>
    </row>
    <row r="579" spans="6:14" x14ac:dyDescent="0.75">
      <c r="F579">
        <v>574</v>
      </c>
      <c r="G579">
        <f t="shared" ca="1" si="56"/>
        <v>-6.4077775689808325E-2</v>
      </c>
      <c r="H579">
        <f t="shared" ca="1" si="56"/>
        <v>-0.70443862673440327</v>
      </c>
      <c r="I579">
        <f t="shared" ca="1" si="57"/>
        <v>-6.4077775689808325E-2</v>
      </c>
      <c r="J579">
        <f t="shared" ca="1" si="58"/>
        <v>-0.51400068682912803</v>
      </c>
      <c r="K579">
        <f t="shared" ca="1" si="59"/>
        <v>17.515782190499596</v>
      </c>
      <c r="L579">
        <f t="shared" ca="1" si="60"/>
        <v>17.391509056298283</v>
      </c>
      <c r="M579">
        <f t="shared" ca="1" si="61"/>
        <v>0</v>
      </c>
      <c r="N579">
        <f t="shared" ca="1" si="62"/>
        <v>0</v>
      </c>
    </row>
    <row r="580" spans="6:14" x14ac:dyDescent="0.75">
      <c r="F580">
        <v>575</v>
      </c>
      <c r="G580">
        <f t="shared" ca="1" si="56"/>
        <v>0.36718017191292712</v>
      </c>
      <c r="H580">
        <f t="shared" ca="1" si="56"/>
        <v>-0.46467820436730134</v>
      </c>
      <c r="I580">
        <f t="shared" ca="1" si="57"/>
        <v>0.36718017191292712</v>
      </c>
      <c r="J580">
        <f t="shared" ca="1" si="58"/>
        <v>-3.1970613172286499E-2</v>
      </c>
      <c r="K580">
        <f t="shared" ca="1" si="59"/>
        <v>19.509797999175973</v>
      </c>
      <c r="L580">
        <f t="shared" ca="1" si="60"/>
        <v>19.61882609446705</v>
      </c>
      <c r="M580">
        <f t="shared" ca="1" si="61"/>
        <v>0</v>
      </c>
      <c r="N580">
        <f t="shared" ca="1" si="62"/>
        <v>0</v>
      </c>
    </row>
    <row r="581" spans="6:14" x14ac:dyDescent="0.75">
      <c r="F581">
        <v>576</v>
      </c>
      <c r="G581">
        <f t="shared" ca="1" si="56"/>
        <v>-0.66828459176607036</v>
      </c>
      <c r="H581">
        <f t="shared" ca="1" si="56"/>
        <v>-0.50476311259964768</v>
      </c>
      <c r="I581">
        <f t="shared" ca="1" si="57"/>
        <v>-0.66828459176607036</v>
      </c>
      <c r="J581">
        <f t="shared" ca="1" si="58"/>
        <v>-0.8350828605589431</v>
      </c>
      <c r="K581">
        <f t="shared" ca="1" si="59"/>
        <v>15.060126317528216</v>
      </c>
      <c r="L581">
        <f t="shared" ca="1" si="60"/>
        <v>16.050043476912485</v>
      </c>
      <c r="M581">
        <f t="shared" ca="1" si="61"/>
        <v>0</v>
      </c>
      <c r="N581">
        <f t="shared" ca="1" si="62"/>
        <v>0</v>
      </c>
    </row>
    <row r="582" spans="6:14" x14ac:dyDescent="0.75">
      <c r="F582">
        <v>577</v>
      </c>
      <c r="G582">
        <f t="shared" ca="1" si="56"/>
        <v>-1.1598753564738524</v>
      </c>
      <c r="H582">
        <f t="shared" ca="1" si="56"/>
        <v>0.96445422952914295</v>
      </c>
      <c r="I582">
        <f t="shared" ca="1" si="57"/>
        <v>-1.1598753564738524</v>
      </c>
      <c r="J582">
        <f t="shared" ca="1" si="58"/>
        <v>-0.23198000679575936</v>
      </c>
      <c r="K582">
        <f t="shared" ca="1" si="59"/>
        <v>13.318484984989244</v>
      </c>
      <c r="L582">
        <f t="shared" ca="1" si="60"/>
        <v>18.661960829309699</v>
      </c>
      <c r="M582">
        <f t="shared" ca="1" si="61"/>
        <v>0</v>
      </c>
      <c r="N582">
        <f t="shared" ca="1" si="62"/>
        <v>0</v>
      </c>
    </row>
    <row r="583" spans="6:14" x14ac:dyDescent="0.75">
      <c r="F583">
        <v>578</v>
      </c>
      <c r="G583">
        <f t="shared" ref="G583:H646" ca="1" si="63">NORMSINV(RAND())</f>
        <v>2.1390747928189215</v>
      </c>
      <c r="H583">
        <f t="shared" ca="1" si="63"/>
        <v>-0.4525480225686776</v>
      </c>
      <c r="I583">
        <f t="shared" ref="I583:I646" ca="1" si="64">G583</f>
        <v>2.1390747928189215</v>
      </c>
      <c r="J583">
        <f t="shared" ref="J583:J646" ca="1" si="65">G583*$C$8+SQRT(1-$C$8^2)*H583</f>
        <v>1.3049737136064996</v>
      </c>
      <c r="K583">
        <f t="shared" ref="K583:K646" ca="1" si="66">C$3*EXP(($C$5-0.5*C$4^2)*$C$6+C$4*SQRT($C$6)*I583)</f>
        <v>30.383219202941333</v>
      </c>
      <c r="L583">
        <f t="shared" ref="L583:L646" ca="1" si="67">D$3*EXP(($C$5-0.5*D$4^2)*$C$6+D$4*SQRT($C$6)*J583)</f>
        <v>27.405006123854463</v>
      </c>
      <c r="M583">
        <f t="shared" ref="M583:M646" ca="1" si="68">MAX(SQRT(K583*L583)-$C$7,0)</f>
        <v>0</v>
      </c>
      <c r="N583">
        <f t="shared" ref="N583:N646" ca="1" si="69">MAX((K583+L583)*0.5-$C$7,0)</f>
        <v>0</v>
      </c>
    </row>
    <row r="584" spans="6:14" x14ac:dyDescent="0.75">
      <c r="F584">
        <v>579</v>
      </c>
      <c r="G584">
        <f t="shared" ca="1" si="63"/>
        <v>-1.8082580458557815</v>
      </c>
      <c r="H584">
        <f t="shared" ca="1" si="63"/>
        <v>1.7847871811333067</v>
      </c>
      <c r="I584">
        <f t="shared" ca="1" si="64"/>
        <v>-1.8082580458557815</v>
      </c>
      <c r="J584">
        <f t="shared" ca="1" si="65"/>
        <v>-0.17566777827815572</v>
      </c>
      <c r="K584">
        <f t="shared" ca="1" si="66"/>
        <v>11.325504823841046</v>
      </c>
      <c r="L584">
        <f t="shared" ca="1" si="67"/>
        <v>18.926543011733038</v>
      </c>
      <c r="M584">
        <f t="shared" ca="1" si="68"/>
        <v>0</v>
      </c>
      <c r="N584">
        <f t="shared" ca="1" si="69"/>
        <v>0</v>
      </c>
    </row>
    <row r="585" spans="6:14" x14ac:dyDescent="0.75">
      <c r="F585">
        <v>580</v>
      </c>
      <c r="G585">
        <f t="shared" ca="1" si="63"/>
        <v>-0.38167017871640913</v>
      </c>
      <c r="H585">
        <f t="shared" ca="1" si="63"/>
        <v>1.6286932216837329</v>
      </c>
      <c r="I585">
        <f t="shared" ca="1" si="64"/>
        <v>-0.38167017871640913</v>
      </c>
      <c r="J585">
        <f t="shared" ca="1" si="65"/>
        <v>0.79102667261063031</v>
      </c>
      <c r="K585">
        <f t="shared" ca="1" si="66"/>
        <v>16.178839961260042</v>
      </c>
      <c r="L585">
        <f t="shared" ca="1" si="67"/>
        <v>24.100653148012459</v>
      </c>
      <c r="M585">
        <f t="shared" ca="1" si="68"/>
        <v>0</v>
      </c>
      <c r="N585">
        <f t="shared" ca="1" si="69"/>
        <v>0</v>
      </c>
    </row>
    <row r="586" spans="6:14" x14ac:dyDescent="0.75">
      <c r="F586">
        <v>581</v>
      </c>
      <c r="G586">
        <f t="shared" ca="1" si="63"/>
        <v>-0.29376513810169436</v>
      </c>
      <c r="H586">
        <f t="shared" ca="1" si="63"/>
        <v>-0.57712071626997852</v>
      </c>
      <c r="I586">
        <f t="shared" ca="1" si="64"/>
        <v>-0.29376513810169436</v>
      </c>
      <c r="J586">
        <f t="shared" ca="1" si="65"/>
        <v>-0.60205332650472854</v>
      </c>
      <c r="K586">
        <f t="shared" ca="1" si="66"/>
        <v>16.538325968362752</v>
      </c>
      <c r="L586">
        <f t="shared" ca="1" si="67"/>
        <v>17.012850017928805</v>
      </c>
      <c r="M586">
        <f t="shared" ca="1" si="68"/>
        <v>0</v>
      </c>
      <c r="N586">
        <f t="shared" ca="1" si="69"/>
        <v>0</v>
      </c>
    </row>
    <row r="587" spans="6:14" x14ac:dyDescent="0.75">
      <c r="F587">
        <v>582</v>
      </c>
      <c r="G587">
        <f t="shared" ca="1" si="63"/>
        <v>-0.64576706539601836</v>
      </c>
      <c r="H587">
        <f t="shared" ca="1" si="63"/>
        <v>0.12448145816008167</v>
      </c>
      <c r="I587">
        <f t="shared" ca="1" si="64"/>
        <v>-0.64576706539601836</v>
      </c>
      <c r="J587">
        <f t="shared" ca="1" si="65"/>
        <v>-0.40198855376444675</v>
      </c>
      <c r="K587">
        <f t="shared" ca="1" si="66"/>
        <v>15.145144591034455</v>
      </c>
      <c r="L587">
        <f t="shared" ca="1" si="67"/>
        <v>17.885407110191338</v>
      </c>
      <c r="M587">
        <f t="shared" ca="1" si="68"/>
        <v>0</v>
      </c>
      <c r="N587">
        <f t="shared" ca="1" si="69"/>
        <v>0</v>
      </c>
    </row>
    <row r="588" spans="6:14" x14ac:dyDescent="0.75">
      <c r="F588">
        <v>583</v>
      </c>
      <c r="G588">
        <f t="shared" ca="1" si="63"/>
        <v>-0.21210259463836556</v>
      </c>
      <c r="H588">
        <f t="shared" ca="1" si="63"/>
        <v>0.42903300244192449</v>
      </c>
      <c r="I588">
        <f t="shared" ca="1" si="64"/>
        <v>-0.21210259463836556</v>
      </c>
      <c r="J588">
        <f t="shared" ca="1" si="65"/>
        <v>0.12470171119640069</v>
      </c>
      <c r="K588">
        <f t="shared" ca="1" si="66"/>
        <v>16.879436556164617</v>
      </c>
      <c r="L588">
        <f t="shared" ca="1" si="67"/>
        <v>20.402505284081499</v>
      </c>
      <c r="M588">
        <f t="shared" ca="1" si="68"/>
        <v>0</v>
      </c>
      <c r="N588">
        <f t="shared" ca="1" si="69"/>
        <v>0</v>
      </c>
    </row>
    <row r="589" spans="6:14" x14ac:dyDescent="0.75">
      <c r="F589">
        <v>584</v>
      </c>
      <c r="G589">
        <f t="shared" ca="1" si="63"/>
        <v>-0.35008049981873052</v>
      </c>
      <c r="H589">
        <f t="shared" ca="1" si="63"/>
        <v>-1.5750548201346084</v>
      </c>
      <c r="I589">
        <f t="shared" ca="1" si="64"/>
        <v>-0.35008049981873052</v>
      </c>
      <c r="J589">
        <f t="shared" ca="1" si="65"/>
        <v>-1.3043612137064837</v>
      </c>
      <c r="K589">
        <f t="shared" ca="1" si="66"/>
        <v>16.307116912841511</v>
      </c>
      <c r="L589">
        <f t="shared" ca="1" si="67"/>
        <v>14.273318712222636</v>
      </c>
      <c r="M589">
        <f t="shared" ca="1" si="68"/>
        <v>0</v>
      </c>
      <c r="N589">
        <f t="shared" ca="1" si="69"/>
        <v>0</v>
      </c>
    </row>
    <row r="590" spans="6:14" x14ac:dyDescent="0.75">
      <c r="F590">
        <v>585</v>
      </c>
      <c r="G590">
        <f t="shared" ca="1" si="63"/>
        <v>0.22116914848799246</v>
      </c>
      <c r="H590">
        <f t="shared" ca="1" si="63"/>
        <v>1.1798170960194454</v>
      </c>
      <c r="I590">
        <f t="shared" ca="1" si="64"/>
        <v>0.22116914848799246</v>
      </c>
      <c r="J590">
        <f t="shared" ca="1" si="65"/>
        <v>0.94625251851846082</v>
      </c>
      <c r="K590">
        <f t="shared" ca="1" si="66"/>
        <v>18.810477812143855</v>
      </c>
      <c r="L590">
        <f t="shared" ca="1" si="67"/>
        <v>25.054298338835544</v>
      </c>
      <c r="M590">
        <f t="shared" ca="1" si="68"/>
        <v>0</v>
      </c>
      <c r="N590">
        <f t="shared" ca="1" si="69"/>
        <v>0</v>
      </c>
    </row>
    <row r="591" spans="6:14" x14ac:dyDescent="0.75">
      <c r="F591">
        <v>586</v>
      </c>
      <c r="G591">
        <f t="shared" ca="1" si="63"/>
        <v>-0.59352985442080675</v>
      </c>
      <c r="H591">
        <f t="shared" ca="1" si="63"/>
        <v>-1.0831213090099716</v>
      </c>
      <c r="I591">
        <f t="shared" ca="1" si="64"/>
        <v>-0.59352985442080675</v>
      </c>
      <c r="J591">
        <f t="shared" ca="1" si="65"/>
        <v>-1.1615647966543872</v>
      </c>
      <c r="K591">
        <f t="shared" ca="1" si="66"/>
        <v>15.344226726918839</v>
      </c>
      <c r="L591">
        <f t="shared" ca="1" si="67"/>
        <v>14.792067752035161</v>
      </c>
      <c r="M591">
        <f t="shared" ca="1" si="68"/>
        <v>0</v>
      </c>
      <c r="N591">
        <f t="shared" ca="1" si="69"/>
        <v>0</v>
      </c>
    </row>
    <row r="592" spans="6:14" x14ac:dyDescent="0.75">
      <c r="F592">
        <v>587</v>
      </c>
      <c r="G592">
        <f t="shared" ca="1" si="63"/>
        <v>-0.16497776185045371</v>
      </c>
      <c r="H592">
        <f t="shared" ca="1" si="63"/>
        <v>-0.37041238040685587</v>
      </c>
      <c r="I592">
        <f t="shared" ca="1" si="64"/>
        <v>-0.16497776185045371</v>
      </c>
      <c r="J592">
        <f t="shared" ca="1" si="65"/>
        <v>-0.36873808166183897</v>
      </c>
      <c r="K592">
        <f t="shared" ca="1" si="66"/>
        <v>17.079472732707675</v>
      </c>
      <c r="L592">
        <f t="shared" ca="1" si="67"/>
        <v>18.034701320925176</v>
      </c>
      <c r="M592">
        <f t="shared" ca="1" si="68"/>
        <v>0</v>
      </c>
      <c r="N592">
        <f t="shared" ca="1" si="69"/>
        <v>0</v>
      </c>
    </row>
    <row r="593" spans="6:14" x14ac:dyDescent="0.75">
      <c r="F593">
        <v>588</v>
      </c>
      <c r="G593">
        <f t="shared" ca="1" si="63"/>
        <v>-0.88361121530599429</v>
      </c>
      <c r="H593">
        <f t="shared" ca="1" si="63"/>
        <v>0.55990166549787557</v>
      </c>
      <c r="I593">
        <f t="shared" ca="1" si="64"/>
        <v>-0.88361121530599429</v>
      </c>
      <c r="J593">
        <f t="shared" ca="1" si="65"/>
        <v>-0.2923682700899326</v>
      </c>
      <c r="K593">
        <f t="shared" ca="1" si="66"/>
        <v>14.270849412509106</v>
      </c>
      <c r="L593">
        <f t="shared" ca="1" si="67"/>
        <v>18.382336046170774</v>
      </c>
      <c r="M593">
        <f t="shared" ca="1" si="68"/>
        <v>0</v>
      </c>
      <c r="N593">
        <f t="shared" ca="1" si="69"/>
        <v>0</v>
      </c>
    </row>
    <row r="594" spans="6:14" x14ac:dyDescent="0.75">
      <c r="F594">
        <v>589</v>
      </c>
      <c r="G594">
        <f t="shared" ca="1" si="63"/>
        <v>-1.9078917945397842</v>
      </c>
      <c r="H594">
        <f t="shared" ca="1" si="63"/>
        <v>1.5666076498956953</v>
      </c>
      <c r="I594">
        <f t="shared" ca="1" si="64"/>
        <v>-1.9078917945397842</v>
      </c>
      <c r="J594">
        <f t="shared" ca="1" si="65"/>
        <v>-0.39470528499599977</v>
      </c>
      <c r="K594">
        <f t="shared" ca="1" si="66"/>
        <v>11.04688855147851</v>
      </c>
      <c r="L594">
        <f t="shared" ca="1" si="67"/>
        <v>17.918002833366476</v>
      </c>
      <c r="M594">
        <f t="shared" ca="1" si="68"/>
        <v>0</v>
      </c>
      <c r="N594">
        <f t="shared" ca="1" si="69"/>
        <v>0</v>
      </c>
    </row>
    <row r="595" spans="6:14" x14ac:dyDescent="0.75">
      <c r="F595">
        <v>590</v>
      </c>
      <c r="G595">
        <f t="shared" ca="1" si="63"/>
        <v>1.2195849041975733</v>
      </c>
      <c r="H595">
        <f t="shared" ca="1" si="63"/>
        <v>0.57003548038885088</v>
      </c>
      <c r="I595">
        <f t="shared" ca="1" si="64"/>
        <v>1.2195849041975733</v>
      </c>
      <c r="J595">
        <f t="shared" ca="1" si="65"/>
        <v>1.2917317080462141</v>
      </c>
      <c r="K595">
        <f t="shared" ca="1" si="66"/>
        <v>24.143567389753834</v>
      </c>
      <c r="L595">
        <f t="shared" ca="1" si="67"/>
        <v>27.314431818887911</v>
      </c>
      <c r="M595">
        <f t="shared" ca="1" si="68"/>
        <v>0</v>
      </c>
      <c r="N595">
        <f t="shared" ca="1" si="69"/>
        <v>0</v>
      </c>
    </row>
    <row r="596" spans="6:14" x14ac:dyDescent="0.75">
      <c r="F596">
        <v>591</v>
      </c>
      <c r="G596">
        <f t="shared" ca="1" si="63"/>
        <v>0.64569990723273529</v>
      </c>
      <c r="H596">
        <f t="shared" ca="1" si="63"/>
        <v>0.35528546442428593</v>
      </c>
      <c r="I596">
        <f t="shared" ca="1" si="64"/>
        <v>0.64569990723273529</v>
      </c>
      <c r="J596">
        <f t="shared" ca="1" si="65"/>
        <v>0.71927417625023815</v>
      </c>
      <c r="K596">
        <f t="shared" ca="1" si="66"/>
        <v>20.916675982127224</v>
      </c>
      <c r="L596">
        <f t="shared" ca="1" si="67"/>
        <v>23.672187069160451</v>
      </c>
      <c r="M596">
        <f t="shared" ca="1" si="68"/>
        <v>0</v>
      </c>
      <c r="N596">
        <f t="shared" ca="1" si="69"/>
        <v>0</v>
      </c>
    </row>
    <row r="597" spans="6:14" x14ac:dyDescent="0.75">
      <c r="F597">
        <v>592</v>
      </c>
      <c r="G597">
        <f t="shared" ca="1" si="63"/>
        <v>2.8286298210470018</v>
      </c>
      <c r="H597">
        <f t="shared" ca="1" si="63"/>
        <v>0.21755075295205262</v>
      </c>
      <c r="I597">
        <f t="shared" ca="1" si="64"/>
        <v>2.8286298210470018</v>
      </c>
      <c r="J597">
        <f t="shared" ca="1" si="65"/>
        <v>2.2653686632467469</v>
      </c>
      <c r="K597">
        <f t="shared" ca="1" si="66"/>
        <v>36.099507159632964</v>
      </c>
      <c r="L597">
        <f t="shared" ca="1" si="67"/>
        <v>34.842030791551309</v>
      </c>
      <c r="M597">
        <f t="shared" ca="1" si="68"/>
        <v>0</v>
      </c>
      <c r="N597">
        <f t="shared" ca="1" si="69"/>
        <v>0</v>
      </c>
    </row>
    <row r="598" spans="6:14" x14ac:dyDescent="0.75">
      <c r="F598">
        <v>593</v>
      </c>
      <c r="G598">
        <f t="shared" ca="1" si="63"/>
        <v>-0.83602787672598744</v>
      </c>
      <c r="H598">
        <f t="shared" ca="1" si="63"/>
        <v>0.93830206017140549</v>
      </c>
      <c r="I598">
        <f t="shared" ca="1" si="64"/>
        <v>-0.83602787672598744</v>
      </c>
      <c r="J598">
        <f t="shared" ca="1" si="65"/>
        <v>-6.3924310762148995E-3</v>
      </c>
      <c r="K598">
        <f t="shared" ca="1" si="66"/>
        <v>14.441626833443765</v>
      </c>
      <c r="L598">
        <f t="shared" ca="1" si="67"/>
        <v>19.744681536377929</v>
      </c>
      <c r="M598">
        <f t="shared" ca="1" si="68"/>
        <v>0</v>
      </c>
      <c r="N598">
        <f t="shared" ca="1" si="69"/>
        <v>0</v>
      </c>
    </row>
    <row r="599" spans="6:14" x14ac:dyDescent="0.75">
      <c r="F599">
        <v>594</v>
      </c>
      <c r="G599">
        <f t="shared" ca="1" si="63"/>
        <v>0.37904914634095138</v>
      </c>
      <c r="H599">
        <f t="shared" ca="1" si="63"/>
        <v>-0.16268827634995325</v>
      </c>
      <c r="I599">
        <f t="shared" ca="1" si="64"/>
        <v>0.37904914634095138</v>
      </c>
      <c r="J599">
        <f t="shared" ca="1" si="65"/>
        <v>0.17667867964378173</v>
      </c>
      <c r="K599">
        <f t="shared" ca="1" si="66"/>
        <v>19.567774294921609</v>
      </c>
      <c r="L599">
        <f t="shared" ca="1" si="67"/>
        <v>20.669350347381354</v>
      </c>
      <c r="M599">
        <f t="shared" ca="1" si="68"/>
        <v>0</v>
      </c>
      <c r="N599">
        <f t="shared" ca="1" si="69"/>
        <v>0</v>
      </c>
    </row>
    <row r="600" spans="6:14" x14ac:dyDescent="0.75">
      <c r="F600">
        <v>595</v>
      </c>
      <c r="G600">
        <f t="shared" ca="1" si="63"/>
        <v>-0.60657484506677373</v>
      </c>
      <c r="H600">
        <f t="shared" ca="1" si="63"/>
        <v>0.11880247933684443</v>
      </c>
      <c r="I600">
        <f t="shared" ca="1" si="64"/>
        <v>-0.60657484506677373</v>
      </c>
      <c r="J600">
        <f t="shared" ca="1" si="65"/>
        <v>-0.37635067993428528</v>
      </c>
      <c r="K600">
        <f t="shared" ca="1" si="66"/>
        <v>15.294266913330834</v>
      </c>
      <c r="L600">
        <f t="shared" ca="1" si="67"/>
        <v>18.00041122683395</v>
      </c>
      <c r="M600">
        <f t="shared" ca="1" si="68"/>
        <v>0</v>
      </c>
      <c r="N600">
        <f t="shared" ca="1" si="69"/>
        <v>0</v>
      </c>
    </row>
    <row r="601" spans="6:14" x14ac:dyDescent="0.75">
      <c r="F601">
        <v>596</v>
      </c>
      <c r="G601">
        <f t="shared" ca="1" si="63"/>
        <v>-0.73495173468177211</v>
      </c>
      <c r="H601">
        <f t="shared" ca="1" si="63"/>
        <v>-0.42987211333952147</v>
      </c>
      <c r="I601">
        <f t="shared" ca="1" si="64"/>
        <v>-0.73495173468177211</v>
      </c>
      <c r="J601">
        <f t="shared" ca="1" si="65"/>
        <v>-0.83554747787586536</v>
      </c>
      <c r="K601">
        <f t="shared" ca="1" si="66"/>
        <v>14.811202560781339</v>
      </c>
      <c r="L601">
        <f t="shared" ca="1" si="67"/>
        <v>16.048179303146323</v>
      </c>
      <c r="M601">
        <f t="shared" ca="1" si="68"/>
        <v>0</v>
      </c>
      <c r="N601">
        <f t="shared" ca="1" si="69"/>
        <v>0</v>
      </c>
    </row>
    <row r="602" spans="6:14" x14ac:dyDescent="0.75">
      <c r="F602">
        <v>597</v>
      </c>
      <c r="G602">
        <f t="shared" ca="1" si="63"/>
        <v>-0.19160387086765635</v>
      </c>
      <c r="H602">
        <f t="shared" ca="1" si="63"/>
        <v>-1.7753701943426874</v>
      </c>
      <c r="I602">
        <f t="shared" ca="1" si="64"/>
        <v>-0.19160387086765635</v>
      </c>
      <c r="J602">
        <f t="shared" ca="1" si="65"/>
        <v>-1.3179999079775329</v>
      </c>
      <c r="K602">
        <f t="shared" ca="1" si="66"/>
        <v>16.966160308991405</v>
      </c>
      <c r="L602">
        <f t="shared" ca="1" si="67"/>
        <v>14.224734230366863</v>
      </c>
      <c r="M602">
        <f t="shared" ca="1" si="68"/>
        <v>0</v>
      </c>
      <c r="N602">
        <f t="shared" ca="1" si="69"/>
        <v>0</v>
      </c>
    </row>
    <row r="603" spans="6:14" x14ac:dyDescent="0.75">
      <c r="F603">
        <v>598</v>
      </c>
      <c r="G603">
        <f t="shared" ca="1" si="63"/>
        <v>0.99147795015004392</v>
      </c>
      <c r="H603">
        <f t="shared" ca="1" si="63"/>
        <v>0.12976860259471873</v>
      </c>
      <c r="I603">
        <f t="shared" ca="1" si="64"/>
        <v>0.99147795015004392</v>
      </c>
      <c r="J603">
        <f t="shared" ca="1" si="65"/>
        <v>0.82944232522503225</v>
      </c>
      <c r="K603">
        <f t="shared" ca="1" si="66"/>
        <v>22.80526078282368</v>
      </c>
      <c r="L603">
        <f t="shared" ca="1" si="67"/>
        <v>24.33322875813726</v>
      </c>
      <c r="M603">
        <f t="shared" ca="1" si="68"/>
        <v>0</v>
      </c>
      <c r="N603">
        <f t="shared" ca="1" si="69"/>
        <v>0</v>
      </c>
    </row>
    <row r="604" spans="6:14" x14ac:dyDescent="0.75">
      <c r="F604">
        <v>599</v>
      </c>
      <c r="G604">
        <f t="shared" ca="1" si="63"/>
        <v>0.3288119891908059</v>
      </c>
      <c r="H604">
        <f t="shared" ca="1" si="63"/>
        <v>-0.18364340505487661</v>
      </c>
      <c r="I604">
        <f t="shared" ca="1" si="64"/>
        <v>0.3288119891908059</v>
      </c>
      <c r="J604">
        <f t="shared" ca="1" si="65"/>
        <v>0.12514029697002804</v>
      </c>
      <c r="K604">
        <f t="shared" ca="1" si="66"/>
        <v>19.323553785038872</v>
      </c>
      <c r="L604">
        <f t="shared" ca="1" si="67"/>
        <v>20.404742468869927</v>
      </c>
      <c r="M604">
        <f t="shared" ca="1" si="68"/>
        <v>0</v>
      </c>
      <c r="N604">
        <f t="shared" ca="1" si="69"/>
        <v>0</v>
      </c>
    </row>
    <row r="605" spans="6:14" x14ac:dyDescent="0.75">
      <c r="F605">
        <v>600</v>
      </c>
      <c r="G605">
        <f t="shared" ca="1" si="63"/>
        <v>-1.9367229405873132</v>
      </c>
      <c r="H605">
        <f t="shared" ca="1" si="63"/>
        <v>0.5686626552334515</v>
      </c>
      <c r="I605">
        <f t="shared" ca="1" si="64"/>
        <v>-1.9367229405873132</v>
      </c>
      <c r="J605">
        <f t="shared" ca="1" si="65"/>
        <v>-1.0764072140311409</v>
      </c>
      <c r="K605">
        <f t="shared" ca="1" si="66"/>
        <v>10.967551203989215</v>
      </c>
      <c r="L605">
        <f t="shared" ca="1" si="67"/>
        <v>15.110358016978502</v>
      </c>
      <c r="M605">
        <f t="shared" ca="1" si="68"/>
        <v>0</v>
      </c>
      <c r="N605">
        <f t="shared" ca="1" si="69"/>
        <v>0</v>
      </c>
    </row>
    <row r="606" spans="6:14" x14ac:dyDescent="0.75">
      <c r="F606">
        <v>601</v>
      </c>
      <c r="G606">
        <f t="shared" ca="1" si="63"/>
        <v>0.41320020744357061</v>
      </c>
      <c r="H606">
        <f t="shared" ca="1" si="63"/>
        <v>-1.2886204579557818</v>
      </c>
      <c r="I606">
        <f t="shared" ca="1" si="64"/>
        <v>0.41320020744357061</v>
      </c>
      <c r="J606">
        <f t="shared" ca="1" si="65"/>
        <v>-0.54244216094261288</v>
      </c>
      <c r="K606">
        <f t="shared" ca="1" si="66"/>
        <v>19.735554573966649</v>
      </c>
      <c r="L606">
        <f t="shared" ca="1" si="67"/>
        <v>17.268287611729512</v>
      </c>
      <c r="M606">
        <f t="shared" ca="1" si="68"/>
        <v>0</v>
      </c>
      <c r="N606">
        <f t="shared" ca="1" si="69"/>
        <v>0</v>
      </c>
    </row>
    <row r="607" spans="6:14" x14ac:dyDescent="0.75">
      <c r="F607">
        <v>602</v>
      </c>
      <c r="G607">
        <f t="shared" ca="1" si="63"/>
        <v>-0.18886258086740718</v>
      </c>
      <c r="H607">
        <f t="shared" ca="1" si="63"/>
        <v>8.368339242863386E-2</v>
      </c>
      <c r="I607">
        <f t="shared" ca="1" si="64"/>
        <v>-0.18886258086740718</v>
      </c>
      <c r="J607">
        <f t="shared" ca="1" si="65"/>
        <v>-8.6295574342457715E-2</v>
      </c>
      <c r="K607">
        <f t="shared" ca="1" si="66"/>
        <v>16.977791585523342</v>
      </c>
      <c r="L607">
        <f t="shared" ca="1" si="67"/>
        <v>19.354179286795709</v>
      </c>
      <c r="M607">
        <f t="shared" ca="1" si="68"/>
        <v>0</v>
      </c>
      <c r="N607">
        <f t="shared" ca="1" si="69"/>
        <v>0</v>
      </c>
    </row>
    <row r="608" spans="6:14" x14ac:dyDescent="0.75">
      <c r="F608">
        <v>603</v>
      </c>
      <c r="G608">
        <f t="shared" ca="1" si="63"/>
        <v>1.3154186279610096</v>
      </c>
      <c r="H608">
        <f t="shared" ca="1" si="63"/>
        <v>0.34495854009119237</v>
      </c>
      <c r="I608">
        <f t="shared" ca="1" si="64"/>
        <v>1.3154186279610096</v>
      </c>
      <c r="J608">
        <f t="shared" ca="1" si="65"/>
        <v>1.214732598398057</v>
      </c>
      <c r="K608">
        <f t="shared" ca="1" si="66"/>
        <v>24.728994334270638</v>
      </c>
      <c r="L608">
        <f t="shared" ca="1" si="67"/>
        <v>26.793663504270647</v>
      </c>
      <c r="M608">
        <f t="shared" ca="1" si="68"/>
        <v>0</v>
      </c>
      <c r="N608">
        <f t="shared" ca="1" si="69"/>
        <v>0</v>
      </c>
    </row>
    <row r="609" spans="6:14" x14ac:dyDescent="0.75">
      <c r="F609">
        <v>604</v>
      </c>
      <c r="G609">
        <f t="shared" ca="1" si="63"/>
        <v>1.2293691099890312</v>
      </c>
      <c r="H609">
        <f t="shared" ca="1" si="63"/>
        <v>-1.0163876575344584</v>
      </c>
      <c r="I609">
        <f t="shared" ca="1" si="64"/>
        <v>1.2293691099890312</v>
      </c>
      <c r="J609">
        <f t="shared" ca="1" si="65"/>
        <v>0.24974958812385795</v>
      </c>
      <c r="K609">
        <f t="shared" ca="1" si="66"/>
        <v>24.202696084157026</v>
      </c>
      <c r="L609">
        <f t="shared" ca="1" si="67"/>
        <v>21.050402278954547</v>
      </c>
      <c r="M609">
        <f t="shared" ca="1" si="68"/>
        <v>0</v>
      </c>
      <c r="N609">
        <f t="shared" ca="1" si="69"/>
        <v>0</v>
      </c>
    </row>
    <row r="610" spans="6:14" x14ac:dyDescent="0.75">
      <c r="F610">
        <v>605</v>
      </c>
      <c r="G610">
        <f t="shared" ca="1" si="63"/>
        <v>0.47697701085813532</v>
      </c>
      <c r="H610">
        <f t="shared" ca="1" si="63"/>
        <v>-0.51392980048934345</v>
      </c>
      <c r="I610">
        <f t="shared" ca="1" si="64"/>
        <v>0.47697701085813532</v>
      </c>
      <c r="J610">
        <f t="shared" ca="1" si="65"/>
        <v>1.7800147283640488E-2</v>
      </c>
      <c r="K610">
        <f t="shared" ca="1" si="66"/>
        <v>20.052744167780119</v>
      </c>
      <c r="L610">
        <f t="shared" ca="1" si="67"/>
        <v>19.864462085100254</v>
      </c>
      <c r="M610">
        <f t="shared" ca="1" si="68"/>
        <v>0</v>
      </c>
      <c r="N610">
        <f t="shared" ca="1" si="69"/>
        <v>0</v>
      </c>
    </row>
    <row r="611" spans="6:14" x14ac:dyDescent="0.75">
      <c r="F611">
        <v>606</v>
      </c>
      <c r="G611">
        <f t="shared" ca="1" si="63"/>
        <v>-0.43263453667380969</v>
      </c>
      <c r="H611">
        <f t="shared" ca="1" si="63"/>
        <v>-0.966923273567593</v>
      </c>
      <c r="I611">
        <f t="shared" ca="1" si="64"/>
        <v>-0.43263453667380969</v>
      </c>
      <c r="J611">
        <f t="shared" ca="1" si="65"/>
        <v>-0.96403553219043858</v>
      </c>
      <c r="K611">
        <f t="shared" ca="1" si="66"/>
        <v>15.974011552920373</v>
      </c>
      <c r="L611">
        <f t="shared" ca="1" si="67"/>
        <v>15.54087097251616</v>
      </c>
      <c r="M611">
        <f t="shared" ca="1" si="68"/>
        <v>0</v>
      </c>
      <c r="N611">
        <f t="shared" ca="1" si="69"/>
        <v>0</v>
      </c>
    </row>
    <row r="612" spans="6:14" x14ac:dyDescent="0.75">
      <c r="F612">
        <v>607</v>
      </c>
      <c r="G612">
        <f t="shared" ca="1" si="63"/>
        <v>-8.6937233131554825E-2</v>
      </c>
      <c r="H612">
        <f t="shared" ca="1" si="63"/>
        <v>4.1189164696803206E-2</v>
      </c>
      <c r="I612">
        <f t="shared" ca="1" si="64"/>
        <v>-8.6937233131554825E-2</v>
      </c>
      <c r="J612">
        <f t="shared" ca="1" si="65"/>
        <v>-3.7958853224110509E-2</v>
      </c>
      <c r="K612">
        <f t="shared" ca="1" si="66"/>
        <v>17.415967356891404</v>
      </c>
      <c r="L612">
        <f t="shared" ca="1" si="67"/>
        <v>19.589477508198666</v>
      </c>
      <c r="M612">
        <f t="shared" ca="1" si="68"/>
        <v>0</v>
      </c>
      <c r="N612">
        <f t="shared" ca="1" si="69"/>
        <v>0</v>
      </c>
    </row>
    <row r="613" spans="6:14" x14ac:dyDescent="0.75">
      <c r="F613">
        <v>608</v>
      </c>
      <c r="G613">
        <f t="shared" ca="1" si="63"/>
        <v>0.46923893114658854</v>
      </c>
      <c r="H613">
        <f t="shared" ca="1" si="63"/>
        <v>0.21923717027395836</v>
      </c>
      <c r="I613">
        <f t="shared" ca="1" si="64"/>
        <v>0.46923893114658854</v>
      </c>
      <c r="J613">
        <f t="shared" ca="1" si="65"/>
        <v>0.49694095603154548</v>
      </c>
      <c r="K613">
        <f t="shared" ca="1" si="66"/>
        <v>20.01398923276205</v>
      </c>
      <c r="L613">
        <f t="shared" ca="1" si="67"/>
        <v>22.39230812384859</v>
      </c>
      <c r="M613">
        <f t="shared" ca="1" si="68"/>
        <v>0</v>
      </c>
      <c r="N613">
        <f t="shared" ca="1" si="69"/>
        <v>0</v>
      </c>
    </row>
    <row r="614" spans="6:14" x14ac:dyDescent="0.75">
      <c r="F614">
        <v>609</v>
      </c>
      <c r="G614">
        <f t="shared" ca="1" si="63"/>
        <v>0.83376847560971046</v>
      </c>
      <c r="H614">
        <f t="shared" ca="1" si="63"/>
        <v>-1.0349536617964679</v>
      </c>
      <c r="I614">
        <f t="shared" ca="1" si="64"/>
        <v>0.83376847560971046</v>
      </c>
      <c r="J614">
        <f t="shared" ca="1" si="65"/>
        <v>-5.9231145189993062E-2</v>
      </c>
      <c r="K614">
        <f t="shared" ca="1" si="66"/>
        <v>21.923604266924752</v>
      </c>
      <c r="L614">
        <f t="shared" ca="1" si="67"/>
        <v>19.485575760362881</v>
      </c>
      <c r="M614">
        <f t="shared" ca="1" si="68"/>
        <v>0</v>
      </c>
      <c r="N614">
        <f t="shared" ca="1" si="69"/>
        <v>0</v>
      </c>
    </row>
    <row r="615" spans="6:14" x14ac:dyDescent="0.75">
      <c r="F615">
        <v>610</v>
      </c>
      <c r="G615">
        <f t="shared" ca="1" si="63"/>
        <v>-1.1440062562800815</v>
      </c>
      <c r="H615">
        <f t="shared" ca="1" si="63"/>
        <v>1.9888558774804779</v>
      </c>
      <c r="I615">
        <f t="shared" ca="1" si="64"/>
        <v>-1.1440062562800815</v>
      </c>
      <c r="J615">
        <f t="shared" ca="1" si="65"/>
        <v>0.4574998191305617</v>
      </c>
      <c r="K615">
        <f t="shared" ca="1" si="66"/>
        <v>13.371428028520654</v>
      </c>
      <c r="L615">
        <f t="shared" ca="1" si="67"/>
        <v>22.172598580665447</v>
      </c>
      <c r="M615">
        <f t="shared" ca="1" si="68"/>
        <v>0</v>
      </c>
      <c r="N615">
        <f t="shared" ca="1" si="69"/>
        <v>0</v>
      </c>
    </row>
    <row r="616" spans="6:14" x14ac:dyDescent="0.75">
      <c r="F616">
        <v>611</v>
      </c>
      <c r="G616">
        <f t="shared" ca="1" si="63"/>
        <v>-1.369042329846732</v>
      </c>
      <c r="H616">
        <f t="shared" ca="1" si="63"/>
        <v>-0.7563542274291245</v>
      </c>
      <c r="I616">
        <f t="shared" ca="1" si="64"/>
        <v>-1.369042329846732</v>
      </c>
      <c r="J616">
        <f t="shared" ca="1" si="65"/>
        <v>-1.527063044597512</v>
      </c>
      <c r="K616">
        <f t="shared" ca="1" si="66"/>
        <v>12.639934104259103</v>
      </c>
      <c r="L616">
        <f t="shared" ca="1" si="67"/>
        <v>13.500362168821018</v>
      </c>
      <c r="M616">
        <f t="shared" ca="1" si="68"/>
        <v>0</v>
      </c>
      <c r="N616">
        <f t="shared" ca="1" si="69"/>
        <v>0</v>
      </c>
    </row>
    <row r="617" spans="6:14" x14ac:dyDescent="0.75">
      <c r="F617">
        <v>612</v>
      </c>
      <c r="G617">
        <f t="shared" ca="1" si="63"/>
        <v>1.040785608174823</v>
      </c>
      <c r="H617">
        <f t="shared" ca="1" si="63"/>
        <v>-2.0080888860832382</v>
      </c>
      <c r="I617">
        <f t="shared" ca="1" si="64"/>
        <v>1.040785608174823</v>
      </c>
      <c r="J617">
        <f t="shared" ca="1" si="65"/>
        <v>-0.547636744641123</v>
      </c>
      <c r="K617">
        <f t="shared" ca="1" si="66"/>
        <v>23.088119086095229</v>
      </c>
      <c r="L617">
        <f t="shared" ca="1" si="67"/>
        <v>17.245876775417486</v>
      </c>
      <c r="M617">
        <f t="shared" ca="1" si="68"/>
        <v>0</v>
      </c>
      <c r="N617">
        <f t="shared" ca="1" si="69"/>
        <v>0</v>
      </c>
    </row>
    <row r="618" spans="6:14" x14ac:dyDescent="0.75">
      <c r="F618">
        <v>613</v>
      </c>
      <c r="G618">
        <f t="shared" ca="1" si="63"/>
        <v>0.88141801786927232</v>
      </c>
      <c r="H618">
        <f t="shared" ca="1" si="63"/>
        <v>-1.5169614092793737</v>
      </c>
      <c r="I618">
        <f t="shared" ca="1" si="64"/>
        <v>0.88141801786927232</v>
      </c>
      <c r="J618">
        <f t="shared" ca="1" si="65"/>
        <v>-0.34231214595686876</v>
      </c>
      <c r="K618">
        <f t="shared" ca="1" si="66"/>
        <v>22.186328422831895</v>
      </c>
      <c r="L618">
        <f t="shared" ca="1" si="67"/>
        <v>18.154241721399234</v>
      </c>
      <c r="M618">
        <f t="shared" ca="1" si="68"/>
        <v>0</v>
      </c>
      <c r="N618">
        <f t="shared" ca="1" si="69"/>
        <v>0</v>
      </c>
    </row>
    <row r="619" spans="6:14" x14ac:dyDescent="0.75">
      <c r="F619">
        <v>614</v>
      </c>
      <c r="G619">
        <f t="shared" ca="1" si="63"/>
        <v>1.4413785666687453</v>
      </c>
      <c r="H619">
        <f t="shared" ca="1" si="63"/>
        <v>1.1486903252813376</v>
      </c>
      <c r="I619">
        <f t="shared" ca="1" si="64"/>
        <v>1.4413785666687453</v>
      </c>
      <c r="J619">
        <f t="shared" ca="1" si="65"/>
        <v>1.8408211585316367</v>
      </c>
      <c r="K619">
        <f t="shared" ca="1" si="66"/>
        <v>25.520100576732354</v>
      </c>
      <c r="L619">
        <f t="shared" ca="1" si="67"/>
        <v>31.333492180732833</v>
      </c>
      <c r="M619">
        <f t="shared" ca="1" si="68"/>
        <v>0</v>
      </c>
      <c r="N619">
        <f t="shared" ca="1" si="69"/>
        <v>0</v>
      </c>
    </row>
    <row r="620" spans="6:14" x14ac:dyDescent="0.75">
      <c r="F620">
        <v>615</v>
      </c>
      <c r="G620">
        <f t="shared" ca="1" si="63"/>
        <v>0.59691702359698029</v>
      </c>
      <c r="H620">
        <f t="shared" ca="1" si="63"/>
        <v>-0.37358638876733846</v>
      </c>
      <c r="I620">
        <f t="shared" ca="1" si="64"/>
        <v>0.59691702359698029</v>
      </c>
      <c r="J620">
        <f t="shared" ca="1" si="65"/>
        <v>0.2005835982284673</v>
      </c>
      <c r="K620">
        <f t="shared" ca="1" si="66"/>
        <v>20.663131262412513</v>
      </c>
      <c r="L620">
        <f t="shared" ca="1" si="67"/>
        <v>20.793244974321258</v>
      </c>
      <c r="M620">
        <f t="shared" ca="1" si="68"/>
        <v>0</v>
      </c>
      <c r="N620">
        <f t="shared" ca="1" si="69"/>
        <v>0</v>
      </c>
    </row>
    <row r="621" spans="6:14" x14ac:dyDescent="0.75">
      <c r="F621">
        <v>616</v>
      </c>
      <c r="G621">
        <f t="shared" ca="1" si="63"/>
        <v>0.85352791494902613</v>
      </c>
      <c r="H621">
        <f t="shared" ca="1" si="63"/>
        <v>-0.37255167593092503</v>
      </c>
      <c r="I621">
        <f t="shared" ca="1" si="64"/>
        <v>0.85352791494902613</v>
      </c>
      <c r="J621">
        <f t="shared" ca="1" si="65"/>
        <v>0.39372616495338075</v>
      </c>
      <c r="K621">
        <f t="shared" ca="1" si="66"/>
        <v>22.032171732334692</v>
      </c>
      <c r="L621">
        <f t="shared" ca="1" si="67"/>
        <v>21.821894808599399</v>
      </c>
      <c r="M621">
        <f t="shared" ca="1" si="68"/>
        <v>0</v>
      </c>
      <c r="N621">
        <f t="shared" ca="1" si="69"/>
        <v>0</v>
      </c>
    </row>
    <row r="622" spans="6:14" x14ac:dyDescent="0.75">
      <c r="F622">
        <v>617</v>
      </c>
      <c r="G622">
        <f t="shared" ca="1" si="63"/>
        <v>-0.65431497761319335</v>
      </c>
      <c r="H622">
        <f t="shared" ca="1" si="63"/>
        <v>-0.69004688477377263</v>
      </c>
      <c r="I622">
        <f t="shared" ca="1" si="64"/>
        <v>-0.65431497761319335</v>
      </c>
      <c r="J622">
        <f t="shared" ca="1" si="65"/>
        <v>-0.94715934573145644</v>
      </c>
      <c r="K622">
        <f t="shared" ca="1" si="66"/>
        <v>15.112814306272313</v>
      </c>
      <c r="L622">
        <f t="shared" ca="1" si="67"/>
        <v>15.606577142814571</v>
      </c>
      <c r="M622">
        <f t="shared" ca="1" si="68"/>
        <v>0</v>
      </c>
      <c r="N622">
        <f t="shared" ca="1" si="69"/>
        <v>0</v>
      </c>
    </row>
    <row r="623" spans="6:14" x14ac:dyDescent="0.75">
      <c r="F623">
        <v>618</v>
      </c>
      <c r="G623">
        <f t="shared" ca="1" si="63"/>
        <v>0.90650510960790787</v>
      </c>
      <c r="H623">
        <f t="shared" ca="1" si="63"/>
        <v>0.3442137641302655</v>
      </c>
      <c r="I623">
        <f t="shared" ca="1" si="64"/>
        <v>0.90650510960790787</v>
      </c>
      <c r="J623">
        <f t="shared" ca="1" si="65"/>
        <v>0.90755483663946279</v>
      </c>
      <c r="K623">
        <f t="shared" ca="1" si="66"/>
        <v>22.325913301737589</v>
      </c>
      <c r="L623">
        <f t="shared" ca="1" si="67"/>
        <v>24.813081221418546</v>
      </c>
      <c r="M623">
        <f t="shared" ca="1" si="68"/>
        <v>0</v>
      </c>
      <c r="N623">
        <f t="shared" ca="1" si="69"/>
        <v>0</v>
      </c>
    </row>
    <row r="624" spans="6:14" x14ac:dyDescent="0.75">
      <c r="F624">
        <v>619</v>
      </c>
      <c r="G624">
        <f t="shared" ca="1" si="63"/>
        <v>-0.55702504338025749</v>
      </c>
      <c r="H624">
        <f t="shared" ca="1" si="63"/>
        <v>-1.310246335462522</v>
      </c>
      <c r="I624">
        <f t="shared" ca="1" si="64"/>
        <v>-0.55702504338025749</v>
      </c>
      <c r="J624">
        <f t="shared" ca="1" si="65"/>
        <v>-1.2844152725020788</v>
      </c>
      <c r="K624">
        <f t="shared" ca="1" si="66"/>
        <v>15.48490219125649</v>
      </c>
      <c r="L624">
        <f t="shared" ca="1" si="67"/>
        <v>14.344670154792576</v>
      </c>
      <c r="M624">
        <f t="shared" ca="1" si="68"/>
        <v>0</v>
      </c>
      <c r="N624">
        <f t="shared" ca="1" si="69"/>
        <v>0</v>
      </c>
    </row>
    <row r="625" spans="6:14" x14ac:dyDescent="0.75">
      <c r="F625">
        <v>620</v>
      </c>
      <c r="G625">
        <f t="shared" ca="1" si="63"/>
        <v>1.9807564133005084</v>
      </c>
      <c r="H625">
        <f t="shared" ca="1" si="63"/>
        <v>0.23420442006242187</v>
      </c>
      <c r="I625">
        <f t="shared" ca="1" si="64"/>
        <v>1.9807564133005084</v>
      </c>
      <c r="J625">
        <f t="shared" ca="1" si="65"/>
        <v>1.6404789728347002</v>
      </c>
      <c r="K625">
        <f t="shared" ca="1" si="66"/>
        <v>29.204151131892779</v>
      </c>
      <c r="L625">
        <f t="shared" ca="1" si="67"/>
        <v>29.8027901034962</v>
      </c>
      <c r="M625">
        <f t="shared" ca="1" si="68"/>
        <v>0</v>
      </c>
      <c r="N625">
        <f t="shared" ca="1" si="69"/>
        <v>0</v>
      </c>
    </row>
    <row r="626" spans="6:14" x14ac:dyDescent="0.75">
      <c r="F626">
        <v>621</v>
      </c>
      <c r="G626">
        <f t="shared" ca="1" si="63"/>
        <v>5.539810186782939E-2</v>
      </c>
      <c r="H626">
        <f t="shared" ca="1" si="63"/>
        <v>0.41411493363713725</v>
      </c>
      <c r="I626">
        <f t="shared" ca="1" si="64"/>
        <v>5.539810186782939E-2</v>
      </c>
      <c r="J626">
        <f t="shared" ca="1" si="65"/>
        <v>0.31545985855134251</v>
      </c>
      <c r="K626">
        <f t="shared" ca="1" si="66"/>
        <v>18.046852328932513</v>
      </c>
      <c r="L626">
        <f t="shared" ca="1" si="67"/>
        <v>21.399065186328315</v>
      </c>
      <c r="M626">
        <f t="shared" ca="1" si="68"/>
        <v>0</v>
      </c>
      <c r="N626">
        <f t="shared" ca="1" si="69"/>
        <v>0</v>
      </c>
    </row>
    <row r="627" spans="6:14" x14ac:dyDescent="0.75">
      <c r="F627">
        <v>622</v>
      </c>
      <c r="G627">
        <f t="shared" ca="1" si="63"/>
        <v>9.7353718416671356E-2</v>
      </c>
      <c r="H627">
        <f t="shared" ca="1" si="63"/>
        <v>0.42329990799559197</v>
      </c>
      <c r="I627">
        <f t="shared" ca="1" si="64"/>
        <v>9.7353718416671356E-2</v>
      </c>
      <c r="J627">
        <f t="shared" ca="1" si="65"/>
        <v>0.35300186045071802</v>
      </c>
      <c r="K627">
        <f t="shared" ca="1" si="66"/>
        <v>18.237140244266275</v>
      </c>
      <c r="L627">
        <f t="shared" ca="1" si="67"/>
        <v>21.600851574679627</v>
      </c>
      <c r="M627">
        <f t="shared" ca="1" si="68"/>
        <v>0</v>
      </c>
      <c r="N627">
        <f t="shared" ca="1" si="69"/>
        <v>0</v>
      </c>
    </row>
    <row r="628" spans="6:14" x14ac:dyDescent="0.75">
      <c r="F628">
        <v>623</v>
      </c>
      <c r="G628">
        <f t="shared" ca="1" si="63"/>
        <v>-0.47877098968127935</v>
      </c>
      <c r="H628">
        <f t="shared" ca="1" si="63"/>
        <v>-0.60842786346247402</v>
      </c>
      <c r="I628">
        <f t="shared" ca="1" si="64"/>
        <v>-0.47877098968127935</v>
      </c>
      <c r="J628">
        <f t="shared" ca="1" si="65"/>
        <v>-0.76151544662197668</v>
      </c>
      <c r="K628">
        <f t="shared" ca="1" si="66"/>
        <v>15.790823978567287</v>
      </c>
      <c r="L628">
        <f t="shared" ca="1" si="67"/>
        <v>16.347964789657745</v>
      </c>
      <c r="M628">
        <f t="shared" ca="1" si="68"/>
        <v>0</v>
      </c>
      <c r="N628">
        <f t="shared" ca="1" si="69"/>
        <v>0</v>
      </c>
    </row>
    <row r="629" spans="6:14" x14ac:dyDescent="0.75">
      <c r="F629">
        <v>624</v>
      </c>
      <c r="G629">
        <f t="shared" ca="1" si="63"/>
        <v>9.7452287785029387E-2</v>
      </c>
      <c r="H629">
        <f t="shared" ca="1" si="63"/>
        <v>-2.113380283649553</v>
      </c>
      <c r="I629">
        <f t="shared" ca="1" si="64"/>
        <v>9.7452287785029387E-2</v>
      </c>
      <c r="J629">
        <f t="shared" ca="1" si="65"/>
        <v>-1.3247804482221932</v>
      </c>
      <c r="K629">
        <f t="shared" ca="1" si="66"/>
        <v>18.237589655652158</v>
      </c>
      <c r="L629">
        <f t="shared" ca="1" si="67"/>
        <v>14.20064181035924</v>
      </c>
      <c r="M629">
        <f t="shared" ca="1" si="68"/>
        <v>0</v>
      </c>
      <c r="N629">
        <f t="shared" ca="1" si="69"/>
        <v>0</v>
      </c>
    </row>
    <row r="630" spans="6:14" x14ac:dyDescent="0.75">
      <c r="F630">
        <v>625</v>
      </c>
      <c r="G630">
        <f t="shared" ca="1" si="63"/>
        <v>-0.26312420346628262</v>
      </c>
      <c r="H630">
        <f t="shared" ca="1" si="63"/>
        <v>-0.51564323309720039</v>
      </c>
      <c r="I630">
        <f t="shared" ca="1" si="64"/>
        <v>-0.26312420346628262</v>
      </c>
      <c r="J630">
        <f t="shared" ca="1" si="65"/>
        <v>-0.53840909260183756</v>
      </c>
      <c r="K630">
        <f t="shared" ca="1" si="66"/>
        <v>16.665499878669696</v>
      </c>
      <c r="L630">
        <f t="shared" ca="1" si="67"/>
        <v>17.285707438189149</v>
      </c>
      <c r="M630">
        <f t="shared" ca="1" si="68"/>
        <v>0</v>
      </c>
      <c r="N630">
        <f t="shared" ca="1" si="69"/>
        <v>0</v>
      </c>
    </row>
    <row r="631" spans="6:14" x14ac:dyDescent="0.75">
      <c r="F631">
        <v>626</v>
      </c>
      <c r="G631">
        <f t="shared" ca="1" si="63"/>
        <v>-0.61611413112900171</v>
      </c>
      <c r="H631">
        <f t="shared" ca="1" si="63"/>
        <v>-1.6823291046636006</v>
      </c>
      <c r="I631">
        <f t="shared" ca="1" si="64"/>
        <v>-0.61611413112900171</v>
      </c>
      <c r="J631">
        <f t="shared" ca="1" si="65"/>
        <v>-1.5748417069232115</v>
      </c>
      <c r="K631">
        <f t="shared" ca="1" si="66"/>
        <v>15.257836274083623</v>
      </c>
      <c r="L631">
        <f t="shared" ca="1" si="67"/>
        <v>13.340064116672462</v>
      </c>
      <c r="M631">
        <f t="shared" ca="1" si="68"/>
        <v>0</v>
      </c>
      <c r="N631">
        <f t="shared" ca="1" si="69"/>
        <v>0</v>
      </c>
    </row>
    <row r="632" spans="6:14" x14ac:dyDescent="0.75">
      <c r="F632">
        <v>627</v>
      </c>
      <c r="G632">
        <f t="shared" ca="1" si="63"/>
        <v>0.50710851741580676</v>
      </c>
      <c r="H632">
        <f t="shared" ca="1" si="63"/>
        <v>1.369368564558316</v>
      </c>
      <c r="I632">
        <f t="shared" ca="1" si="64"/>
        <v>0.50710851741580676</v>
      </c>
      <c r="J632">
        <f t="shared" ca="1" si="65"/>
        <v>1.2860835568145554</v>
      </c>
      <c r="K632">
        <f t="shared" ca="1" si="66"/>
        <v>20.204369385922309</v>
      </c>
      <c r="L632">
        <f t="shared" ca="1" si="67"/>
        <v>27.275890026096121</v>
      </c>
      <c r="M632">
        <f t="shared" ca="1" si="68"/>
        <v>0</v>
      </c>
      <c r="N632">
        <f t="shared" ca="1" si="69"/>
        <v>0</v>
      </c>
    </row>
    <row r="633" spans="6:14" x14ac:dyDescent="0.75">
      <c r="F633">
        <v>628</v>
      </c>
      <c r="G633">
        <f t="shared" ca="1" si="63"/>
        <v>-9.2547405129817153E-3</v>
      </c>
      <c r="H633">
        <f t="shared" ca="1" si="63"/>
        <v>1.7300238573651396</v>
      </c>
      <c r="I633">
        <f t="shared" ca="1" si="64"/>
        <v>-9.2547405129817153E-3</v>
      </c>
      <c r="J633">
        <f t="shared" ca="1" si="65"/>
        <v>1.1373621668144736</v>
      </c>
      <c r="K633">
        <f t="shared" ca="1" si="66"/>
        <v>17.757501968917815</v>
      </c>
      <c r="L633">
        <f t="shared" ca="1" si="67"/>
        <v>26.280384259539971</v>
      </c>
      <c r="M633">
        <f t="shared" ca="1" si="68"/>
        <v>0</v>
      </c>
      <c r="N633">
        <f t="shared" ca="1" si="69"/>
        <v>0</v>
      </c>
    </row>
    <row r="634" spans="6:14" x14ac:dyDescent="0.75">
      <c r="F634">
        <v>629</v>
      </c>
      <c r="G634">
        <f t="shared" ca="1" si="63"/>
        <v>0.64145488632219738</v>
      </c>
      <c r="H634">
        <f t="shared" ca="1" si="63"/>
        <v>2.8489642972434406E-2</v>
      </c>
      <c r="I634">
        <f t="shared" ca="1" si="64"/>
        <v>0.64145488632219738</v>
      </c>
      <c r="J634">
        <f t="shared" ca="1" si="65"/>
        <v>0.49993529230316813</v>
      </c>
      <c r="K634">
        <f t="shared" ca="1" si="66"/>
        <v>20.894489825066323</v>
      </c>
      <c r="L634">
        <f t="shared" ca="1" si="67"/>
        <v>22.409076924599205</v>
      </c>
      <c r="M634">
        <f t="shared" ca="1" si="68"/>
        <v>0</v>
      </c>
      <c r="N634">
        <f t="shared" ca="1" si="69"/>
        <v>0</v>
      </c>
    </row>
    <row r="635" spans="6:14" x14ac:dyDescent="0.75">
      <c r="F635">
        <v>630</v>
      </c>
      <c r="G635">
        <f t="shared" ca="1" si="63"/>
        <v>1.1838006913035091</v>
      </c>
      <c r="H635">
        <f t="shared" ca="1" si="63"/>
        <v>-1.4190255937878384</v>
      </c>
      <c r="I635">
        <f t="shared" ca="1" si="64"/>
        <v>1.1838006913035091</v>
      </c>
      <c r="J635">
        <f t="shared" ca="1" si="65"/>
        <v>-5.0746687821964009E-2</v>
      </c>
      <c r="K635">
        <f t="shared" ca="1" si="66"/>
        <v>23.928541003704947</v>
      </c>
      <c r="L635">
        <f t="shared" ca="1" si="67"/>
        <v>19.526950759609999</v>
      </c>
      <c r="M635">
        <f t="shared" ca="1" si="68"/>
        <v>0</v>
      </c>
      <c r="N635">
        <f t="shared" ca="1" si="69"/>
        <v>0</v>
      </c>
    </row>
    <row r="636" spans="6:14" x14ac:dyDescent="0.75">
      <c r="F636">
        <v>631</v>
      </c>
      <c r="G636">
        <f t="shared" ca="1" si="63"/>
        <v>1.1569845293139049</v>
      </c>
      <c r="H636">
        <f t="shared" ca="1" si="63"/>
        <v>-1.089886822134293</v>
      </c>
      <c r="I636">
        <f t="shared" ca="1" si="64"/>
        <v>1.1569845293139049</v>
      </c>
      <c r="J636">
        <f t="shared" ca="1" si="65"/>
        <v>0.14684602484197218</v>
      </c>
      <c r="K636">
        <f t="shared" ca="1" si="66"/>
        <v>23.768659620217967</v>
      </c>
      <c r="L636">
        <f t="shared" ca="1" si="67"/>
        <v>20.515768380539239</v>
      </c>
      <c r="M636">
        <f t="shared" ca="1" si="68"/>
        <v>0</v>
      </c>
      <c r="N636">
        <f t="shared" ca="1" si="69"/>
        <v>0</v>
      </c>
    </row>
    <row r="637" spans="6:14" x14ac:dyDescent="0.75">
      <c r="F637">
        <v>632</v>
      </c>
      <c r="G637">
        <f t="shared" ca="1" si="63"/>
        <v>0.37602872515800406</v>
      </c>
      <c r="H637">
        <f t="shared" ca="1" si="63"/>
        <v>-4.1065616071358835E-2</v>
      </c>
      <c r="I637">
        <f t="shared" ca="1" si="64"/>
        <v>0.37602872515800406</v>
      </c>
      <c r="J637">
        <f t="shared" ca="1" si="65"/>
        <v>0.25485919197838486</v>
      </c>
      <c r="K637">
        <f t="shared" ca="1" si="66"/>
        <v>19.553004142137834</v>
      </c>
      <c r="L637">
        <f t="shared" ca="1" si="67"/>
        <v>21.077309264956646</v>
      </c>
      <c r="M637">
        <f t="shared" ca="1" si="68"/>
        <v>0</v>
      </c>
      <c r="N637">
        <f t="shared" ca="1" si="69"/>
        <v>0</v>
      </c>
    </row>
    <row r="638" spans="6:14" x14ac:dyDescent="0.75">
      <c r="F638">
        <v>633</v>
      </c>
      <c r="G638">
        <f t="shared" ca="1" si="63"/>
        <v>-0.49050119935658376</v>
      </c>
      <c r="H638">
        <f t="shared" ca="1" si="63"/>
        <v>-1.0363532672024975</v>
      </c>
      <c r="I638">
        <f t="shared" ca="1" si="64"/>
        <v>-0.49050119935658376</v>
      </c>
      <c r="J638">
        <f t="shared" ca="1" si="65"/>
        <v>-1.0533591533742079</v>
      </c>
      <c r="K638">
        <f t="shared" ca="1" si="66"/>
        <v>15.744584392656277</v>
      </c>
      <c r="L638">
        <f t="shared" ca="1" si="67"/>
        <v>15.197675449610736</v>
      </c>
      <c r="M638">
        <f t="shared" ca="1" si="68"/>
        <v>0</v>
      </c>
      <c r="N638">
        <f t="shared" ca="1" si="69"/>
        <v>0</v>
      </c>
    </row>
    <row r="639" spans="6:14" x14ac:dyDescent="0.75">
      <c r="F639">
        <v>634</v>
      </c>
      <c r="G639">
        <f t="shared" ca="1" si="63"/>
        <v>0.70638878790013493</v>
      </c>
      <c r="H639">
        <f t="shared" ca="1" si="63"/>
        <v>-0.73841693556262022</v>
      </c>
      <c r="I639">
        <f t="shared" ca="1" si="64"/>
        <v>0.70638878790013493</v>
      </c>
      <c r="J639">
        <f t="shared" ca="1" si="65"/>
        <v>4.137469708082625E-2</v>
      </c>
      <c r="K639">
        <f t="shared" ca="1" si="66"/>
        <v>21.236448087507927</v>
      </c>
      <c r="L639">
        <f t="shared" ca="1" si="67"/>
        <v>19.981881697186378</v>
      </c>
      <c r="M639">
        <f t="shared" ca="1" si="68"/>
        <v>0</v>
      </c>
      <c r="N639">
        <f t="shared" ca="1" si="69"/>
        <v>0</v>
      </c>
    </row>
    <row r="640" spans="6:14" x14ac:dyDescent="0.75">
      <c r="F640">
        <v>635</v>
      </c>
      <c r="G640">
        <f t="shared" ca="1" si="63"/>
        <v>-0.62547115313840607</v>
      </c>
      <c r="H640">
        <f t="shared" ca="1" si="63"/>
        <v>0.71799765150462835</v>
      </c>
      <c r="I640">
        <f t="shared" ca="1" si="64"/>
        <v>-0.62547115313840607</v>
      </c>
      <c r="J640">
        <f t="shared" ca="1" si="65"/>
        <v>5.8074420986123365E-3</v>
      </c>
      <c r="K640">
        <f t="shared" ca="1" si="66"/>
        <v>15.222186010420083</v>
      </c>
      <c r="L640">
        <f t="shared" ca="1" si="67"/>
        <v>19.804994118010228</v>
      </c>
      <c r="M640">
        <f t="shared" ca="1" si="68"/>
        <v>0</v>
      </c>
      <c r="N640">
        <f t="shared" ca="1" si="69"/>
        <v>0</v>
      </c>
    </row>
    <row r="641" spans="6:14" x14ac:dyDescent="0.75">
      <c r="F641">
        <v>636</v>
      </c>
      <c r="G641">
        <f t="shared" ca="1" si="63"/>
        <v>1.9399499238969955</v>
      </c>
      <c r="H641">
        <f t="shared" ca="1" si="63"/>
        <v>0.46241997655862094</v>
      </c>
      <c r="I641">
        <f t="shared" ca="1" si="64"/>
        <v>1.9399499238969955</v>
      </c>
      <c r="J641">
        <f t="shared" ca="1" si="65"/>
        <v>1.7608245077333537</v>
      </c>
      <c r="K641">
        <f t="shared" ca="1" si="66"/>
        <v>28.907735939625361</v>
      </c>
      <c r="L641">
        <f t="shared" ca="1" si="67"/>
        <v>30.713073181680507</v>
      </c>
      <c r="M641">
        <f t="shared" ca="1" si="68"/>
        <v>0</v>
      </c>
      <c r="N641">
        <f t="shared" ca="1" si="69"/>
        <v>0</v>
      </c>
    </row>
    <row r="642" spans="6:14" x14ac:dyDescent="0.75">
      <c r="F642">
        <v>637</v>
      </c>
      <c r="G642">
        <f t="shared" ca="1" si="63"/>
        <v>-0.11342839168984641</v>
      </c>
      <c r="H642">
        <f t="shared" ca="1" si="63"/>
        <v>1.1272404232570282E-2</v>
      </c>
      <c r="I642">
        <f t="shared" ca="1" si="64"/>
        <v>-0.11342839168984641</v>
      </c>
      <c r="J642">
        <f t="shared" ca="1" si="65"/>
        <v>-7.7615299198091584E-2</v>
      </c>
      <c r="K642">
        <f t="shared" ca="1" si="66"/>
        <v>17.30100617078887</v>
      </c>
      <c r="L642">
        <f t="shared" ca="1" si="67"/>
        <v>19.396224791464991</v>
      </c>
      <c r="M642">
        <f t="shared" ca="1" si="68"/>
        <v>0</v>
      </c>
      <c r="N642">
        <f t="shared" ca="1" si="69"/>
        <v>0</v>
      </c>
    </row>
    <row r="643" spans="6:14" x14ac:dyDescent="0.75">
      <c r="F643">
        <v>638</v>
      </c>
      <c r="G643">
        <f t="shared" ca="1" si="63"/>
        <v>-2.1498113382764621</v>
      </c>
      <c r="H643">
        <f t="shared" ca="1" si="63"/>
        <v>0.64569072532301452</v>
      </c>
      <c r="I643">
        <f t="shared" ca="1" si="64"/>
        <v>-2.1498113382764621</v>
      </c>
      <c r="J643">
        <f t="shared" ca="1" si="65"/>
        <v>-1.1852742329409434</v>
      </c>
      <c r="K643">
        <f t="shared" ca="1" si="66"/>
        <v>10.398576516096579</v>
      </c>
      <c r="L643">
        <f t="shared" ca="1" si="67"/>
        <v>14.704649191599257</v>
      </c>
      <c r="M643">
        <f t="shared" ca="1" si="68"/>
        <v>0</v>
      </c>
      <c r="N643">
        <f t="shared" ca="1" si="69"/>
        <v>0</v>
      </c>
    </row>
    <row r="644" spans="6:14" x14ac:dyDescent="0.75">
      <c r="F644">
        <v>639</v>
      </c>
      <c r="G644">
        <f t="shared" ca="1" si="63"/>
        <v>0.49095555126362167</v>
      </c>
      <c r="H644">
        <f t="shared" ca="1" si="63"/>
        <v>2.0043289885568747</v>
      </c>
      <c r="I644">
        <f t="shared" ca="1" si="64"/>
        <v>0.49095555126362167</v>
      </c>
      <c r="J644">
        <f t="shared" ca="1" si="65"/>
        <v>1.6939556757674952</v>
      </c>
      <c r="K644">
        <f t="shared" ca="1" si="66"/>
        <v>20.122943781001336</v>
      </c>
      <c r="L644">
        <f t="shared" ca="1" si="67"/>
        <v>30.203904149409816</v>
      </c>
      <c r="M644">
        <f t="shared" ca="1" si="68"/>
        <v>0</v>
      </c>
      <c r="N644">
        <f t="shared" ca="1" si="69"/>
        <v>0</v>
      </c>
    </row>
    <row r="645" spans="6:14" x14ac:dyDescent="0.75">
      <c r="F645">
        <v>640</v>
      </c>
      <c r="G645">
        <f t="shared" ca="1" si="63"/>
        <v>0.77306712043691483</v>
      </c>
      <c r="H645">
        <f t="shared" ca="1" si="63"/>
        <v>0.85494793303682715</v>
      </c>
      <c r="I645">
        <f t="shared" ca="1" si="64"/>
        <v>0.77306712043691483</v>
      </c>
      <c r="J645">
        <f t="shared" ca="1" si="65"/>
        <v>1.145295244008723</v>
      </c>
      <c r="K645">
        <f t="shared" ca="1" si="66"/>
        <v>21.593417826707345</v>
      </c>
      <c r="L645">
        <f t="shared" ca="1" si="67"/>
        <v>26.332557058049908</v>
      </c>
      <c r="M645">
        <f t="shared" ca="1" si="68"/>
        <v>0</v>
      </c>
      <c r="N645">
        <f t="shared" ca="1" si="69"/>
        <v>0</v>
      </c>
    </row>
    <row r="646" spans="6:14" x14ac:dyDescent="0.75">
      <c r="F646">
        <v>641</v>
      </c>
      <c r="G646">
        <f t="shared" ca="1" si="63"/>
        <v>2.1430159318560063</v>
      </c>
      <c r="H646">
        <f t="shared" ca="1" si="63"/>
        <v>-0.16310810593452379</v>
      </c>
      <c r="I646">
        <f t="shared" ca="1" si="64"/>
        <v>2.1430159318560063</v>
      </c>
      <c r="J646">
        <f t="shared" ca="1" si="65"/>
        <v>1.4993760776116227</v>
      </c>
      <c r="K646">
        <f t="shared" ca="1" si="66"/>
        <v>30.413170078407159</v>
      </c>
      <c r="L646">
        <f t="shared" ca="1" si="67"/>
        <v>28.76980193055109</v>
      </c>
      <c r="M646">
        <f t="shared" ca="1" si="68"/>
        <v>0</v>
      </c>
      <c r="N646">
        <f t="shared" ca="1" si="69"/>
        <v>0</v>
      </c>
    </row>
    <row r="647" spans="6:14" x14ac:dyDescent="0.75">
      <c r="F647">
        <v>642</v>
      </c>
      <c r="G647">
        <f t="shared" ref="G647:H710" ca="1" si="70">NORMSINV(RAND())</f>
        <v>-0.97811064378684098</v>
      </c>
      <c r="H647">
        <f t="shared" ca="1" si="70"/>
        <v>1.7396324646690389</v>
      </c>
      <c r="I647">
        <f t="shared" ref="I647:I710" ca="1" si="71">G647</f>
        <v>-0.97811064378684098</v>
      </c>
      <c r="J647">
        <f t="shared" ref="J647:J710" ca="1" si="72">G647*$C$8+SQRT(1-$C$8^2)*H647</f>
        <v>0.41707573570202783</v>
      </c>
      <c r="K647">
        <f t="shared" ref="K647:K710" ca="1" si="73">C$3*EXP(($C$5-0.5*C$4^2)*$C$6+C$4*SQRT($C$6)*I647)</f>
        <v>13.937653978575122</v>
      </c>
      <c r="L647">
        <f t="shared" ref="L647:L710" ca="1" si="74">D$3*EXP(($C$5-0.5*D$4^2)*$C$6+D$4*SQRT($C$6)*J647)</f>
        <v>21.949650294470842</v>
      </c>
      <c r="M647">
        <f t="shared" ref="M647:M710" ca="1" si="75">MAX(SQRT(K647*L647)-$C$7,0)</f>
        <v>0</v>
      </c>
      <c r="N647">
        <f t="shared" ref="N647:N710" ca="1" si="76">MAX((K647+L647)*0.5-$C$7,0)</f>
        <v>0</v>
      </c>
    </row>
    <row r="648" spans="6:14" x14ac:dyDescent="0.75">
      <c r="F648">
        <v>643</v>
      </c>
      <c r="G648">
        <f t="shared" ca="1" si="70"/>
        <v>-1.4400342565688524</v>
      </c>
      <c r="H648">
        <f t="shared" ca="1" si="70"/>
        <v>-4.8354733157541227E-2</v>
      </c>
      <c r="I648">
        <f t="shared" ca="1" si="71"/>
        <v>-1.4400342565688524</v>
      </c>
      <c r="J648">
        <f t="shared" ca="1" si="72"/>
        <v>-1.1120093420885753</v>
      </c>
      <c r="K648">
        <f t="shared" ca="1" si="73"/>
        <v>12.417579792063897</v>
      </c>
      <c r="L648">
        <f t="shared" ca="1" si="74"/>
        <v>14.976464537214584</v>
      </c>
      <c r="M648">
        <f t="shared" ca="1" si="75"/>
        <v>0</v>
      </c>
      <c r="N648">
        <f t="shared" ca="1" si="76"/>
        <v>0</v>
      </c>
    </row>
    <row r="649" spans="6:14" x14ac:dyDescent="0.75">
      <c r="F649">
        <v>644</v>
      </c>
      <c r="G649">
        <f t="shared" ca="1" si="70"/>
        <v>-0.60360982855099876</v>
      </c>
      <c r="H649">
        <f t="shared" ca="1" si="70"/>
        <v>0.72137574510357561</v>
      </c>
      <c r="I649">
        <f t="shared" ca="1" si="71"/>
        <v>-0.60360982855099876</v>
      </c>
      <c r="J649">
        <f t="shared" ca="1" si="72"/>
        <v>2.4437834431246197E-2</v>
      </c>
      <c r="K649">
        <f t="shared" ca="1" si="73"/>
        <v>15.305608054644132</v>
      </c>
      <c r="L649">
        <f t="shared" ca="1" si="74"/>
        <v>19.897452971596728</v>
      </c>
      <c r="M649">
        <f t="shared" ca="1" si="75"/>
        <v>0</v>
      </c>
      <c r="N649">
        <f t="shared" ca="1" si="76"/>
        <v>0</v>
      </c>
    </row>
    <row r="650" spans="6:14" x14ac:dyDescent="0.75">
      <c r="F650">
        <v>645</v>
      </c>
      <c r="G650">
        <f t="shared" ca="1" si="70"/>
        <v>0.93058994303182219</v>
      </c>
      <c r="H650">
        <f t="shared" ca="1" si="70"/>
        <v>-0.10323104312725435</v>
      </c>
      <c r="I650">
        <f t="shared" ca="1" si="71"/>
        <v>0.93058994303182219</v>
      </c>
      <c r="J650">
        <f t="shared" ca="1" si="72"/>
        <v>0.62966154034974198</v>
      </c>
      <c r="K650">
        <f t="shared" ca="1" si="73"/>
        <v>22.460747803411007</v>
      </c>
      <c r="L650">
        <f t="shared" ca="1" si="74"/>
        <v>23.14775173740712</v>
      </c>
      <c r="M650">
        <f t="shared" ca="1" si="75"/>
        <v>0</v>
      </c>
      <c r="N650">
        <f t="shared" ca="1" si="76"/>
        <v>0</v>
      </c>
    </row>
    <row r="651" spans="6:14" x14ac:dyDescent="0.75">
      <c r="F651">
        <v>646</v>
      </c>
      <c r="G651">
        <f t="shared" ca="1" si="70"/>
        <v>-0.7678757483969646</v>
      </c>
      <c r="H651">
        <f t="shared" ca="1" si="70"/>
        <v>-0.29045572509266332</v>
      </c>
      <c r="I651">
        <f t="shared" ca="1" si="71"/>
        <v>-0.7678757483969646</v>
      </c>
      <c r="J651">
        <f t="shared" ca="1" si="72"/>
        <v>-0.76802521516525601</v>
      </c>
      <c r="K651">
        <f t="shared" ca="1" si="73"/>
        <v>14.689791853152272</v>
      </c>
      <c r="L651">
        <f t="shared" ca="1" si="74"/>
        <v>16.321381060532008</v>
      </c>
      <c r="M651">
        <f t="shared" ca="1" si="75"/>
        <v>0</v>
      </c>
      <c r="N651">
        <f t="shared" ca="1" si="76"/>
        <v>0</v>
      </c>
    </row>
    <row r="652" spans="6:14" x14ac:dyDescent="0.75">
      <c r="F652">
        <v>647</v>
      </c>
      <c r="G652">
        <f t="shared" ca="1" si="70"/>
        <v>0.63511737337830743</v>
      </c>
      <c r="H652">
        <f t="shared" ca="1" si="70"/>
        <v>-0.50935527112623269</v>
      </c>
      <c r="I652">
        <f t="shared" ca="1" si="71"/>
        <v>0.63511737337830743</v>
      </c>
      <c r="J652">
        <f t="shared" ca="1" si="72"/>
        <v>0.13943118593875797</v>
      </c>
      <c r="K652">
        <f t="shared" ca="1" si="73"/>
        <v>20.861411261533441</v>
      </c>
      <c r="L652">
        <f t="shared" ca="1" si="74"/>
        <v>20.477773327939175</v>
      </c>
      <c r="M652">
        <f t="shared" ca="1" si="75"/>
        <v>0</v>
      </c>
      <c r="N652">
        <f t="shared" ca="1" si="76"/>
        <v>0</v>
      </c>
    </row>
    <row r="653" spans="6:14" x14ac:dyDescent="0.75">
      <c r="F653">
        <v>648</v>
      </c>
      <c r="G653">
        <f t="shared" ca="1" si="70"/>
        <v>0.36082412217158455</v>
      </c>
      <c r="H653">
        <f t="shared" ca="1" si="70"/>
        <v>-0.19982646736329782</v>
      </c>
      <c r="I653">
        <f t="shared" ca="1" si="71"/>
        <v>0.36082412217158455</v>
      </c>
      <c r="J653">
        <f t="shared" ca="1" si="72"/>
        <v>0.13844530712572573</v>
      </c>
      <c r="K653">
        <f t="shared" ca="1" si="73"/>
        <v>19.478821305238245</v>
      </c>
      <c r="L653">
        <f t="shared" ca="1" si="74"/>
        <v>20.472726799157428</v>
      </c>
      <c r="M653">
        <f t="shared" ca="1" si="75"/>
        <v>0</v>
      </c>
      <c r="N653">
        <f t="shared" ca="1" si="76"/>
        <v>0</v>
      </c>
    </row>
    <row r="654" spans="6:14" x14ac:dyDescent="0.75">
      <c r="F654">
        <v>649</v>
      </c>
      <c r="G654">
        <f t="shared" ca="1" si="70"/>
        <v>1.3284939151290143</v>
      </c>
      <c r="H654">
        <f t="shared" ca="1" si="70"/>
        <v>0.91955274485229233</v>
      </c>
      <c r="I654">
        <f t="shared" ca="1" si="71"/>
        <v>1.3284939151290143</v>
      </c>
      <c r="J654">
        <f t="shared" ca="1" si="72"/>
        <v>1.6045974064182595</v>
      </c>
      <c r="K654">
        <f t="shared" ca="1" si="73"/>
        <v>24.809961270992748</v>
      </c>
      <c r="L654">
        <f t="shared" ca="1" si="74"/>
        <v>29.536642912327601</v>
      </c>
      <c r="M654">
        <f t="shared" ca="1" si="75"/>
        <v>0</v>
      </c>
      <c r="N654">
        <f t="shared" ca="1" si="76"/>
        <v>0</v>
      </c>
    </row>
    <row r="655" spans="6:14" x14ac:dyDescent="0.75">
      <c r="F655">
        <v>650</v>
      </c>
      <c r="G655">
        <f t="shared" ca="1" si="70"/>
        <v>-0.8872104267541624</v>
      </c>
      <c r="H655">
        <f t="shared" ca="1" si="70"/>
        <v>0.97294613174204314</v>
      </c>
      <c r="I655">
        <f t="shared" ca="1" si="71"/>
        <v>-0.8872104267541624</v>
      </c>
      <c r="J655">
        <f t="shared" ca="1" si="72"/>
        <v>-2.1864444152688622E-2</v>
      </c>
      <c r="K655">
        <f t="shared" ca="1" si="73"/>
        <v>14.258014236793876</v>
      </c>
      <c r="L655">
        <f t="shared" ca="1" si="74"/>
        <v>19.668456557916777</v>
      </c>
      <c r="M655">
        <f t="shared" ca="1" si="75"/>
        <v>0</v>
      </c>
      <c r="N655">
        <f t="shared" ca="1" si="76"/>
        <v>0</v>
      </c>
    </row>
    <row r="656" spans="6:14" x14ac:dyDescent="0.75">
      <c r="F656">
        <v>651</v>
      </c>
      <c r="G656">
        <f t="shared" ca="1" si="70"/>
        <v>-3.86156066868307E-2</v>
      </c>
      <c r="H656">
        <f t="shared" ca="1" si="70"/>
        <v>0.71132901031030749</v>
      </c>
      <c r="I656">
        <f t="shared" ca="1" si="71"/>
        <v>-3.86156066868307E-2</v>
      </c>
      <c r="J656">
        <f t="shared" ca="1" si="72"/>
        <v>0.44153821039157043</v>
      </c>
      <c r="K656">
        <f t="shared" ca="1" si="73"/>
        <v>17.627635267139173</v>
      </c>
      <c r="L656">
        <f t="shared" ca="1" si="74"/>
        <v>22.084297290848227</v>
      </c>
      <c r="M656">
        <f t="shared" ca="1" si="75"/>
        <v>0</v>
      </c>
      <c r="N656">
        <f t="shared" ca="1" si="76"/>
        <v>0</v>
      </c>
    </row>
    <row r="657" spans="6:14" x14ac:dyDescent="0.75">
      <c r="F657">
        <v>652</v>
      </c>
      <c r="G657">
        <f t="shared" ca="1" si="70"/>
        <v>2.0778157580634766</v>
      </c>
      <c r="H657">
        <f t="shared" ca="1" si="70"/>
        <v>1.1216234257333344</v>
      </c>
      <c r="I657">
        <f t="shared" ca="1" si="71"/>
        <v>2.0778157580634766</v>
      </c>
      <c r="J657">
        <f t="shared" ca="1" si="72"/>
        <v>2.3002459808362894</v>
      </c>
      <c r="K657">
        <f t="shared" ca="1" si="73"/>
        <v>29.921452480882813</v>
      </c>
      <c r="L657">
        <f t="shared" ca="1" si="74"/>
        <v>35.147158255177956</v>
      </c>
      <c r="M657">
        <f t="shared" ca="1" si="75"/>
        <v>0</v>
      </c>
      <c r="N657">
        <f t="shared" ca="1" si="76"/>
        <v>0</v>
      </c>
    </row>
    <row r="658" spans="6:14" x14ac:dyDescent="0.75">
      <c r="F658">
        <v>653</v>
      </c>
      <c r="G658">
        <f t="shared" ca="1" si="70"/>
        <v>-1.2174527871484964</v>
      </c>
      <c r="H658">
        <f t="shared" ca="1" si="70"/>
        <v>-1.8659009304691994</v>
      </c>
      <c r="I658">
        <f t="shared" ca="1" si="71"/>
        <v>-1.2174527871484964</v>
      </c>
      <c r="J658">
        <f t="shared" ca="1" si="72"/>
        <v>-2.1472670486377532</v>
      </c>
      <c r="K658">
        <f t="shared" ca="1" si="73"/>
        <v>13.128147130537851</v>
      </c>
      <c r="L658">
        <f t="shared" ca="1" si="74"/>
        <v>11.561325408594085</v>
      </c>
      <c r="M658">
        <f t="shared" ca="1" si="75"/>
        <v>0</v>
      </c>
      <c r="N658">
        <f t="shared" ca="1" si="76"/>
        <v>0</v>
      </c>
    </row>
    <row r="659" spans="6:14" x14ac:dyDescent="0.75">
      <c r="F659">
        <v>654</v>
      </c>
      <c r="G659">
        <f t="shared" ca="1" si="70"/>
        <v>0.29087323675268589</v>
      </c>
      <c r="H659">
        <f t="shared" ca="1" si="70"/>
        <v>-0.23979064047653323</v>
      </c>
      <c r="I659">
        <f t="shared" ca="1" si="71"/>
        <v>0.29087323675268589</v>
      </c>
      <c r="J659">
        <f t="shared" ca="1" si="72"/>
        <v>5.9548327209063001E-2</v>
      </c>
      <c r="K659">
        <f t="shared" ca="1" si="73"/>
        <v>19.141142329566744</v>
      </c>
      <c r="L659">
        <f t="shared" ca="1" si="74"/>
        <v>20.072874080207082</v>
      </c>
      <c r="M659">
        <f t="shared" ca="1" si="75"/>
        <v>0</v>
      </c>
      <c r="N659">
        <f t="shared" ca="1" si="76"/>
        <v>0</v>
      </c>
    </row>
    <row r="660" spans="6:14" x14ac:dyDescent="0.75">
      <c r="F660">
        <v>655</v>
      </c>
      <c r="G660">
        <f t="shared" ca="1" si="70"/>
        <v>-1.2013160335400983</v>
      </c>
      <c r="H660">
        <f t="shared" ca="1" si="70"/>
        <v>5.5216952721009613E-2</v>
      </c>
      <c r="I660">
        <f t="shared" ca="1" si="71"/>
        <v>-1.2013160335400983</v>
      </c>
      <c r="J660">
        <f t="shared" ca="1" si="72"/>
        <v>-0.86446444389142307</v>
      </c>
      <c r="K660">
        <f t="shared" ca="1" si="73"/>
        <v>13.181215521403843</v>
      </c>
      <c r="L660">
        <f t="shared" ca="1" si="74"/>
        <v>15.93258148498524</v>
      </c>
      <c r="M660">
        <f t="shared" ca="1" si="75"/>
        <v>0</v>
      </c>
      <c r="N660">
        <f t="shared" ca="1" si="76"/>
        <v>0</v>
      </c>
    </row>
    <row r="661" spans="6:14" x14ac:dyDescent="0.75">
      <c r="F661">
        <v>656</v>
      </c>
      <c r="G661">
        <f t="shared" ca="1" si="70"/>
        <v>-0.61495590816605239</v>
      </c>
      <c r="H661">
        <f t="shared" ca="1" si="70"/>
        <v>-0.95140969299568467</v>
      </c>
      <c r="I661">
        <f t="shared" ca="1" si="71"/>
        <v>-0.61495590816605239</v>
      </c>
      <c r="J661">
        <f t="shared" ca="1" si="72"/>
        <v>-1.0905152917752625</v>
      </c>
      <c r="K661">
        <f t="shared" ca="1" si="73"/>
        <v>15.262254907857528</v>
      </c>
      <c r="L661">
        <f t="shared" ca="1" si="74"/>
        <v>15.057157365583718</v>
      </c>
      <c r="M661">
        <f t="shared" ca="1" si="75"/>
        <v>0</v>
      </c>
      <c r="N661">
        <f t="shared" ca="1" si="76"/>
        <v>0</v>
      </c>
    </row>
    <row r="662" spans="6:14" x14ac:dyDescent="0.75">
      <c r="F662">
        <v>657</v>
      </c>
      <c r="G662">
        <f t="shared" ca="1" si="70"/>
        <v>3.9037640870622926E-2</v>
      </c>
      <c r="H662">
        <f t="shared" ca="1" si="70"/>
        <v>-0.8270528151055353</v>
      </c>
      <c r="I662">
        <f t="shared" ca="1" si="71"/>
        <v>3.9037640870622926E-2</v>
      </c>
      <c r="J662">
        <f t="shared" ca="1" si="72"/>
        <v>-0.51776578681831542</v>
      </c>
      <c r="K662">
        <f t="shared" ca="1" si="73"/>
        <v>17.973189370706962</v>
      </c>
      <c r="L662">
        <f t="shared" ca="1" si="74"/>
        <v>17.375146565668086</v>
      </c>
      <c r="M662">
        <f t="shared" ca="1" si="75"/>
        <v>0</v>
      </c>
      <c r="N662">
        <f t="shared" ca="1" si="76"/>
        <v>0</v>
      </c>
    </row>
    <row r="663" spans="6:14" x14ac:dyDescent="0.75">
      <c r="F663">
        <v>658</v>
      </c>
      <c r="G663">
        <f t="shared" ca="1" si="70"/>
        <v>0.82793853782821636</v>
      </c>
      <c r="H663">
        <f t="shared" ca="1" si="70"/>
        <v>1.5265397723974967</v>
      </c>
      <c r="I663">
        <f t="shared" ca="1" si="71"/>
        <v>0.82793853782821636</v>
      </c>
      <c r="J663">
        <f t="shared" ca="1" si="72"/>
        <v>1.6306650544243921</v>
      </c>
      <c r="K663">
        <f t="shared" ca="1" si="73"/>
        <v>21.8916742291382</v>
      </c>
      <c r="L663">
        <f t="shared" ca="1" si="74"/>
        <v>29.729759192437214</v>
      </c>
      <c r="M663">
        <f t="shared" ca="1" si="75"/>
        <v>0</v>
      </c>
      <c r="N663">
        <f t="shared" ca="1" si="76"/>
        <v>0</v>
      </c>
    </row>
    <row r="664" spans="6:14" x14ac:dyDescent="0.75">
      <c r="F664">
        <v>659</v>
      </c>
      <c r="G664">
        <f t="shared" ca="1" si="70"/>
        <v>6.0613794330738387E-2</v>
      </c>
      <c r="H664">
        <f t="shared" ca="1" si="70"/>
        <v>-0.62736988404797922</v>
      </c>
      <c r="I664">
        <f t="shared" ca="1" si="71"/>
        <v>6.0613794330738387E-2</v>
      </c>
      <c r="J664">
        <f t="shared" ca="1" si="72"/>
        <v>-0.36950582756254152</v>
      </c>
      <c r="K664">
        <f t="shared" ca="1" si="73"/>
        <v>18.070399385289615</v>
      </c>
      <c r="L664">
        <f t="shared" ca="1" si="74"/>
        <v>18.031240136097228</v>
      </c>
      <c r="M664">
        <f t="shared" ca="1" si="75"/>
        <v>0</v>
      </c>
      <c r="N664">
        <f t="shared" ca="1" si="76"/>
        <v>0</v>
      </c>
    </row>
    <row r="665" spans="6:14" x14ac:dyDescent="0.75">
      <c r="F665">
        <v>660</v>
      </c>
      <c r="G665">
        <f t="shared" ca="1" si="70"/>
        <v>-0.37607128904052356</v>
      </c>
      <c r="H665">
        <f t="shared" ca="1" si="70"/>
        <v>-0.19607234504024609</v>
      </c>
      <c r="I665">
        <f t="shared" ca="1" si="71"/>
        <v>-0.37607128904052356</v>
      </c>
      <c r="J665">
        <f t="shared" ca="1" si="72"/>
        <v>-0.41174313276882768</v>
      </c>
      <c r="K665">
        <f t="shared" ca="1" si="73"/>
        <v>16.201501702640552</v>
      </c>
      <c r="L665">
        <f t="shared" ca="1" si="74"/>
        <v>17.841844094969133</v>
      </c>
      <c r="M665">
        <f t="shared" ca="1" si="75"/>
        <v>0</v>
      </c>
      <c r="N665">
        <f t="shared" ca="1" si="76"/>
        <v>0</v>
      </c>
    </row>
    <row r="666" spans="6:14" x14ac:dyDescent="0.75">
      <c r="F666">
        <v>661</v>
      </c>
      <c r="G666">
        <f t="shared" ca="1" si="70"/>
        <v>0.68107239585864909</v>
      </c>
      <c r="H666">
        <f t="shared" ca="1" si="70"/>
        <v>-1.2002393390134993</v>
      </c>
      <c r="I666">
        <f t="shared" ca="1" si="71"/>
        <v>0.68107239585864909</v>
      </c>
      <c r="J666">
        <f t="shared" ca="1" si="72"/>
        <v>-0.28307940430257916</v>
      </c>
      <c r="K666">
        <f t="shared" ca="1" si="73"/>
        <v>21.102464969564416</v>
      </c>
      <c r="L666">
        <f t="shared" ca="1" si="74"/>
        <v>18.42507341277053</v>
      </c>
      <c r="M666">
        <f t="shared" ca="1" si="75"/>
        <v>0</v>
      </c>
      <c r="N666">
        <f t="shared" ca="1" si="76"/>
        <v>0</v>
      </c>
    </row>
    <row r="667" spans="6:14" x14ac:dyDescent="0.75">
      <c r="F667">
        <v>662</v>
      </c>
      <c r="G667">
        <f t="shared" ca="1" si="70"/>
        <v>1.6277182687519367</v>
      </c>
      <c r="H667">
        <f t="shared" ca="1" si="70"/>
        <v>-8.0346294928815259E-2</v>
      </c>
      <c r="I667">
        <f t="shared" ca="1" si="71"/>
        <v>1.6277182687519367</v>
      </c>
      <c r="J667">
        <f t="shared" ca="1" si="72"/>
        <v>1.1676446227771786</v>
      </c>
      <c r="K667">
        <f t="shared" ca="1" si="73"/>
        <v>26.737078905755506</v>
      </c>
      <c r="L667">
        <f t="shared" ca="1" si="74"/>
        <v>26.480097927973659</v>
      </c>
      <c r="M667">
        <f t="shared" ca="1" si="75"/>
        <v>0</v>
      </c>
      <c r="N667">
        <f t="shared" ca="1" si="76"/>
        <v>0</v>
      </c>
    </row>
    <row r="668" spans="6:14" x14ac:dyDescent="0.75">
      <c r="F668">
        <v>663</v>
      </c>
      <c r="G668">
        <f t="shared" ca="1" si="70"/>
        <v>-0.61805540206709919</v>
      </c>
      <c r="H668">
        <f t="shared" ca="1" si="70"/>
        <v>-0.11045092425299183</v>
      </c>
      <c r="I668">
        <f t="shared" ca="1" si="71"/>
        <v>-0.61805540206709919</v>
      </c>
      <c r="J668">
        <f t="shared" ca="1" si="72"/>
        <v>-0.53659797096298667</v>
      </c>
      <c r="K668">
        <f t="shared" ca="1" si="73"/>
        <v>15.250433172122984</v>
      </c>
      <c r="L668">
        <f t="shared" ca="1" si="74"/>
        <v>17.293535840024944</v>
      </c>
      <c r="M668">
        <f t="shared" ca="1" si="75"/>
        <v>0</v>
      </c>
      <c r="N668">
        <f t="shared" ca="1" si="76"/>
        <v>0</v>
      </c>
    </row>
    <row r="669" spans="6:14" x14ac:dyDescent="0.75">
      <c r="F669">
        <v>664</v>
      </c>
      <c r="G669">
        <f t="shared" ca="1" si="70"/>
        <v>1.4324728320108233E-2</v>
      </c>
      <c r="H669">
        <f t="shared" ca="1" si="70"/>
        <v>-0.44838735333817409</v>
      </c>
      <c r="I669">
        <f t="shared" ca="1" si="71"/>
        <v>1.4324728320108233E-2</v>
      </c>
      <c r="J669">
        <f t="shared" ca="1" si="72"/>
        <v>-0.28583681074973283</v>
      </c>
      <c r="K669">
        <f t="shared" ca="1" si="73"/>
        <v>17.86248922391793</v>
      </c>
      <c r="L669">
        <f t="shared" ca="1" si="74"/>
        <v>18.412376435559775</v>
      </c>
      <c r="M669">
        <f t="shared" ca="1" si="75"/>
        <v>0</v>
      </c>
      <c r="N669">
        <f t="shared" ca="1" si="76"/>
        <v>0</v>
      </c>
    </row>
    <row r="670" spans="6:14" x14ac:dyDescent="0.75">
      <c r="F670">
        <v>665</v>
      </c>
      <c r="G670">
        <f t="shared" ca="1" si="70"/>
        <v>-0.67518369804575151</v>
      </c>
      <c r="H670">
        <f t="shared" ca="1" si="70"/>
        <v>-0.22088268375209844</v>
      </c>
      <c r="I670">
        <f t="shared" ca="1" si="71"/>
        <v>-0.67518369804575151</v>
      </c>
      <c r="J670">
        <f t="shared" ca="1" si="72"/>
        <v>-0.65248793606645861</v>
      </c>
      <c r="K670">
        <f t="shared" ca="1" si="73"/>
        <v>15.034173352482576</v>
      </c>
      <c r="L670">
        <f t="shared" ca="1" si="74"/>
        <v>16.799687575458208</v>
      </c>
      <c r="M670">
        <f t="shared" ca="1" si="75"/>
        <v>0</v>
      </c>
      <c r="N670">
        <f t="shared" ca="1" si="76"/>
        <v>0</v>
      </c>
    </row>
    <row r="671" spans="6:14" x14ac:dyDescent="0.75">
      <c r="F671">
        <v>666</v>
      </c>
      <c r="G671">
        <f t="shared" ca="1" si="70"/>
        <v>1.1729291685249275</v>
      </c>
      <c r="H671">
        <f t="shared" ca="1" si="70"/>
        <v>-0.1361607004644512</v>
      </c>
      <c r="I671">
        <f t="shared" ca="1" si="71"/>
        <v>1.1729291685249275</v>
      </c>
      <c r="J671">
        <f t="shared" ca="1" si="72"/>
        <v>0.78963503845137195</v>
      </c>
      <c r="K671">
        <f t="shared" ca="1" si="73"/>
        <v>23.863594382623134</v>
      </c>
      <c r="L671">
        <f t="shared" ca="1" si="74"/>
        <v>24.092269783373791</v>
      </c>
      <c r="M671">
        <f t="shared" ca="1" si="75"/>
        <v>0</v>
      </c>
      <c r="N671">
        <f t="shared" ca="1" si="76"/>
        <v>0</v>
      </c>
    </row>
    <row r="672" spans="6:14" x14ac:dyDescent="0.75">
      <c r="F672">
        <v>667</v>
      </c>
      <c r="G672">
        <f t="shared" ca="1" si="70"/>
        <v>-0.9795894804441948</v>
      </c>
      <c r="H672">
        <f t="shared" ca="1" si="70"/>
        <v>0.93520264327079483</v>
      </c>
      <c r="I672">
        <f t="shared" ca="1" si="71"/>
        <v>-0.9795894804441948</v>
      </c>
      <c r="J672">
        <f t="shared" ca="1" si="72"/>
        <v>-0.11611370544695199</v>
      </c>
      <c r="K672">
        <f t="shared" ca="1" si="73"/>
        <v>13.932502052585672</v>
      </c>
      <c r="L672">
        <f t="shared" ca="1" si="74"/>
        <v>19.21043934563443</v>
      </c>
      <c r="M672">
        <f t="shared" ca="1" si="75"/>
        <v>0</v>
      </c>
      <c r="N672">
        <f t="shared" ca="1" si="76"/>
        <v>0</v>
      </c>
    </row>
    <row r="673" spans="6:14" x14ac:dyDescent="0.75">
      <c r="F673">
        <v>668</v>
      </c>
      <c r="G673">
        <f t="shared" ca="1" si="70"/>
        <v>0.77073543641644049</v>
      </c>
      <c r="H673">
        <f t="shared" ca="1" si="70"/>
        <v>-0.68846947138246994</v>
      </c>
      <c r="I673">
        <f t="shared" ca="1" si="71"/>
        <v>0.77073543641644049</v>
      </c>
      <c r="J673">
        <f t="shared" ca="1" si="72"/>
        <v>0.12267182567780149</v>
      </c>
      <c r="K673">
        <f t="shared" ca="1" si="73"/>
        <v>21.58083423785931</v>
      </c>
      <c r="L673">
        <f t="shared" ca="1" si="74"/>
        <v>20.392154223232382</v>
      </c>
      <c r="M673">
        <f t="shared" ca="1" si="75"/>
        <v>0</v>
      </c>
      <c r="N673">
        <f t="shared" ca="1" si="76"/>
        <v>0</v>
      </c>
    </row>
    <row r="674" spans="6:14" x14ac:dyDescent="0.75">
      <c r="F674">
        <v>669</v>
      </c>
      <c r="G674">
        <f t="shared" ca="1" si="70"/>
        <v>-1.47661417310411</v>
      </c>
      <c r="H674">
        <f t="shared" ca="1" si="70"/>
        <v>6.2172024277855432E-2</v>
      </c>
      <c r="I674">
        <f t="shared" ca="1" si="71"/>
        <v>-1.47661417310411</v>
      </c>
      <c r="J674">
        <f t="shared" ca="1" si="72"/>
        <v>-1.0663377011419135</v>
      </c>
      <c r="K674">
        <f t="shared" ca="1" si="73"/>
        <v>12.304538949850087</v>
      </c>
      <c r="L674">
        <f t="shared" ca="1" si="74"/>
        <v>15.148444422011595</v>
      </c>
      <c r="M674">
        <f t="shared" ca="1" si="75"/>
        <v>0</v>
      </c>
      <c r="N674">
        <f t="shared" ca="1" si="76"/>
        <v>0</v>
      </c>
    </row>
    <row r="675" spans="6:14" x14ac:dyDescent="0.75">
      <c r="F675">
        <v>670</v>
      </c>
      <c r="G675">
        <f t="shared" ca="1" si="70"/>
        <v>0.77055403736796491</v>
      </c>
      <c r="H675">
        <f t="shared" ca="1" si="70"/>
        <v>0.68426645092629335</v>
      </c>
      <c r="I675">
        <f t="shared" ca="1" si="71"/>
        <v>0.77055403736796491</v>
      </c>
      <c r="J675">
        <f t="shared" ca="1" si="72"/>
        <v>1.0305152429399125</v>
      </c>
      <c r="K675">
        <f t="shared" ca="1" si="73"/>
        <v>21.579855574351544</v>
      </c>
      <c r="L675">
        <f t="shared" ca="1" si="74"/>
        <v>25.587682524004695</v>
      </c>
      <c r="M675">
        <f t="shared" ca="1" si="75"/>
        <v>0</v>
      </c>
      <c r="N675">
        <f t="shared" ca="1" si="76"/>
        <v>0</v>
      </c>
    </row>
    <row r="676" spans="6:14" x14ac:dyDescent="0.75">
      <c r="F676">
        <v>671</v>
      </c>
      <c r="G676">
        <f t="shared" ca="1" si="70"/>
        <v>-2.5617717548247225</v>
      </c>
      <c r="H676">
        <f t="shared" ca="1" si="70"/>
        <v>0.5589253863875755</v>
      </c>
      <c r="I676">
        <f t="shared" ca="1" si="71"/>
        <v>-2.5617717548247225</v>
      </c>
      <c r="J676">
        <f t="shared" ca="1" si="72"/>
        <v>-1.5516344226629892</v>
      </c>
      <c r="K676">
        <f t="shared" ca="1" si="73"/>
        <v>9.3809291929123475</v>
      </c>
      <c r="L676">
        <f t="shared" ca="1" si="74"/>
        <v>13.417685737314818</v>
      </c>
      <c r="M676">
        <f t="shared" ca="1" si="75"/>
        <v>0</v>
      </c>
      <c r="N676">
        <f t="shared" ca="1" si="76"/>
        <v>0</v>
      </c>
    </row>
    <row r="677" spans="6:14" x14ac:dyDescent="0.75">
      <c r="F677">
        <v>672</v>
      </c>
      <c r="G677">
        <f t="shared" ca="1" si="70"/>
        <v>-0.6290206732001975</v>
      </c>
      <c r="H677">
        <f t="shared" ca="1" si="70"/>
        <v>2.207960564272855</v>
      </c>
      <c r="I677">
        <f t="shared" ca="1" si="71"/>
        <v>-0.6290206732001975</v>
      </c>
      <c r="J677">
        <f t="shared" ca="1" si="72"/>
        <v>0.98866313452580679</v>
      </c>
      <c r="K677">
        <f t="shared" ca="1" si="73"/>
        <v>15.20868413829475</v>
      </c>
      <c r="L677">
        <f t="shared" ca="1" si="74"/>
        <v>25.321353641090152</v>
      </c>
      <c r="M677">
        <f t="shared" ca="1" si="75"/>
        <v>0</v>
      </c>
      <c r="N677">
        <f t="shared" ca="1" si="76"/>
        <v>0</v>
      </c>
    </row>
    <row r="678" spans="6:14" x14ac:dyDescent="0.75">
      <c r="F678">
        <v>673</v>
      </c>
      <c r="G678">
        <f t="shared" ca="1" si="70"/>
        <v>-0.22080409597838863</v>
      </c>
      <c r="H678">
        <f t="shared" ca="1" si="70"/>
        <v>0.26009075947477289</v>
      </c>
      <c r="I678">
        <f t="shared" ca="1" si="71"/>
        <v>-0.22080409597838863</v>
      </c>
      <c r="J678">
        <f t="shared" ca="1" si="72"/>
        <v>6.4307949852498991E-3</v>
      </c>
      <c r="K678">
        <f t="shared" ca="1" si="73"/>
        <v>16.84275735618963</v>
      </c>
      <c r="L678">
        <f t="shared" ca="1" si="74"/>
        <v>19.808080733573647</v>
      </c>
      <c r="M678">
        <f t="shared" ca="1" si="75"/>
        <v>0</v>
      </c>
      <c r="N678">
        <f t="shared" ca="1" si="76"/>
        <v>0</v>
      </c>
    </row>
    <row r="679" spans="6:14" x14ac:dyDescent="0.75">
      <c r="F679">
        <v>674</v>
      </c>
      <c r="G679">
        <f t="shared" ca="1" si="70"/>
        <v>-1.5018870479642954</v>
      </c>
      <c r="H679">
        <f t="shared" ca="1" si="70"/>
        <v>-2.9097523653468248E-2</v>
      </c>
      <c r="I679">
        <f t="shared" ca="1" si="71"/>
        <v>-1.5018870479642954</v>
      </c>
      <c r="J679">
        <f t="shared" ca="1" si="72"/>
        <v>-1.1456614888119456</v>
      </c>
      <c r="K679">
        <f t="shared" ca="1" si="73"/>
        <v>12.227041263052751</v>
      </c>
      <c r="L679">
        <f t="shared" ca="1" si="74"/>
        <v>14.850995519486595</v>
      </c>
      <c r="M679">
        <f t="shared" ca="1" si="75"/>
        <v>0</v>
      </c>
      <c r="N679">
        <f t="shared" ca="1" si="76"/>
        <v>0</v>
      </c>
    </row>
    <row r="680" spans="6:14" x14ac:dyDescent="0.75">
      <c r="F680">
        <v>675</v>
      </c>
      <c r="G680">
        <f t="shared" ca="1" si="70"/>
        <v>0.15529365679444754</v>
      </c>
      <c r="H680">
        <f t="shared" ca="1" si="70"/>
        <v>0.30232662607642702</v>
      </c>
      <c r="I680">
        <f t="shared" ca="1" si="71"/>
        <v>0.15529365679444754</v>
      </c>
      <c r="J680">
        <f t="shared" ca="1" si="72"/>
        <v>0.31644050942369595</v>
      </c>
      <c r="K680">
        <f t="shared" ca="1" si="73"/>
        <v>18.503227421681757</v>
      </c>
      <c r="L680">
        <f t="shared" ca="1" si="74"/>
        <v>21.404312082459324</v>
      </c>
      <c r="M680">
        <f t="shared" ca="1" si="75"/>
        <v>0</v>
      </c>
      <c r="N680">
        <f t="shared" ca="1" si="76"/>
        <v>0</v>
      </c>
    </row>
    <row r="681" spans="6:14" x14ac:dyDescent="0.75">
      <c r="F681">
        <v>676</v>
      </c>
      <c r="G681">
        <f t="shared" ca="1" si="70"/>
        <v>6.3797167557775744E-2</v>
      </c>
      <c r="H681">
        <f t="shared" ca="1" si="70"/>
        <v>-0.83179730838099619</v>
      </c>
      <c r="I681">
        <f t="shared" ca="1" si="71"/>
        <v>6.3797167557775744E-2</v>
      </c>
      <c r="J681">
        <f t="shared" ca="1" si="72"/>
        <v>-0.50233432912892273</v>
      </c>
      <c r="K681">
        <f t="shared" ca="1" si="73"/>
        <v>18.084786315802692</v>
      </c>
      <c r="L681">
        <f t="shared" ca="1" si="74"/>
        <v>17.442306990046404</v>
      </c>
      <c r="M681">
        <f t="shared" ca="1" si="75"/>
        <v>0</v>
      </c>
      <c r="N681">
        <f t="shared" ca="1" si="76"/>
        <v>0</v>
      </c>
    </row>
    <row r="682" spans="6:14" x14ac:dyDescent="0.75">
      <c r="F682">
        <v>677</v>
      </c>
      <c r="G682">
        <f t="shared" ca="1" si="70"/>
        <v>0.76103630469178385</v>
      </c>
      <c r="H682">
        <f t="shared" ca="1" si="70"/>
        <v>0.11271701632119409</v>
      </c>
      <c r="I682">
        <f t="shared" ca="1" si="71"/>
        <v>0.76103630469178385</v>
      </c>
      <c r="J682">
        <f t="shared" ca="1" si="72"/>
        <v>0.64533252694660992</v>
      </c>
      <c r="K682">
        <f t="shared" ca="1" si="73"/>
        <v>21.528568791148803</v>
      </c>
      <c r="L682">
        <f t="shared" ca="1" si="74"/>
        <v>23.238616640826926</v>
      </c>
      <c r="M682">
        <f t="shared" ca="1" si="75"/>
        <v>0</v>
      </c>
      <c r="N682">
        <f t="shared" ca="1" si="76"/>
        <v>0</v>
      </c>
    </row>
    <row r="683" spans="6:14" x14ac:dyDescent="0.75">
      <c r="F683">
        <v>678</v>
      </c>
      <c r="G683">
        <f t="shared" ca="1" si="70"/>
        <v>2.0669283318132678</v>
      </c>
      <c r="H683">
        <f t="shared" ca="1" si="70"/>
        <v>-1.4895287002909583</v>
      </c>
      <c r="I683">
        <f t="shared" ca="1" si="71"/>
        <v>2.0669283318132678</v>
      </c>
      <c r="J683">
        <f t="shared" ca="1" si="72"/>
        <v>0.56496562094416636</v>
      </c>
      <c r="K683">
        <f t="shared" ca="1" si="73"/>
        <v>29.840121315182024</v>
      </c>
      <c r="L683">
        <f t="shared" ca="1" si="74"/>
        <v>22.776371908110811</v>
      </c>
      <c r="M683">
        <f t="shared" ca="1" si="75"/>
        <v>0</v>
      </c>
      <c r="N683">
        <f t="shared" ca="1" si="76"/>
        <v>0</v>
      </c>
    </row>
    <row r="684" spans="6:14" x14ac:dyDescent="0.75">
      <c r="F684">
        <v>679</v>
      </c>
      <c r="G684">
        <f t="shared" ca="1" si="70"/>
        <v>-5.2538317233130356E-2</v>
      </c>
      <c r="H684">
        <f t="shared" ca="1" si="70"/>
        <v>-0.11020117568511191</v>
      </c>
      <c r="I684">
        <f t="shared" ca="1" si="71"/>
        <v>-5.2538317233130356E-2</v>
      </c>
      <c r="J684">
        <f t="shared" ca="1" si="72"/>
        <v>-0.1122949641872838</v>
      </c>
      <c r="K684">
        <f t="shared" ca="1" si="73"/>
        <v>17.566385807927627</v>
      </c>
      <c r="L684">
        <f t="shared" ca="1" si="74"/>
        <v>19.228788027185605</v>
      </c>
      <c r="M684">
        <f t="shared" ca="1" si="75"/>
        <v>0</v>
      </c>
      <c r="N684">
        <f t="shared" ca="1" si="76"/>
        <v>0</v>
      </c>
    </row>
    <row r="685" spans="6:14" x14ac:dyDescent="0.75">
      <c r="F685">
        <v>680</v>
      </c>
      <c r="G685">
        <f t="shared" ca="1" si="70"/>
        <v>-0.45701988912137942</v>
      </c>
      <c r="H685">
        <f t="shared" ca="1" si="70"/>
        <v>1.7293024993952781</v>
      </c>
      <c r="I685">
        <f t="shared" ca="1" si="71"/>
        <v>-0.45701988912137942</v>
      </c>
      <c r="J685">
        <f t="shared" ca="1" si="72"/>
        <v>0.80106117190954818</v>
      </c>
      <c r="K685">
        <f t="shared" ca="1" si="73"/>
        <v>15.876924814969129</v>
      </c>
      <c r="L685">
        <f t="shared" ca="1" si="74"/>
        <v>24.161188543342735</v>
      </c>
      <c r="M685">
        <f t="shared" ca="1" si="75"/>
        <v>0</v>
      </c>
      <c r="N685">
        <f t="shared" ca="1" si="76"/>
        <v>0</v>
      </c>
    </row>
    <row r="686" spans="6:14" x14ac:dyDescent="0.75">
      <c r="F686">
        <v>681</v>
      </c>
      <c r="G686">
        <f t="shared" ca="1" si="70"/>
        <v>0.79501416313368301</v>
      </c>
      <c r="H686">
        <f t="shared" ca="1" si="70"/>
        <v>-0.40481920085256606</v>
      </c>
      <c r="I686">
        <f t="shared" ca="1" si="71"/>
        <v>0.79501416313368301</v>
      </c>
      <c r="J686">
        <f t="shared" ca="1" si="72"/>
        <v>0.32849788950031311</v>
      </c>
      <c r="K686">
        <f t="shared" ca="1" si="73"/>
        <v>21.712221367714996</v>
      </c>
      <c r="L686">
        <f t="shared" ca="1" si="74"/>
        <v>21.46892940449737</v>
      </c>
      <c r="M686">
        <f t="shared" ca="1" si="75"/>
        <v>0</v>
      </c>
      <c r="N686">
        <f t="shared" ca="1" si="76"/>
        <v>0</v>
      </c>
    </row>
    <row r="687" spans="6:14" x14ac:dyDescent="0.75">
      <c r="F687">
        <v>682</v>
      </c>
      <c r="G687">
        <f t="shared" ca="1" si="70"/>
        <v>-2.1129138343812213</v>
      </c>
      <c r="H687">
        <f t="shared" ca="1" si="70"/>
        <v>0.77799048283967309</v>
      </c>
      <c r="I687">
        <f t="shared" ca="1" si="71"/>
        <v>-2.1129138343812213</v>
      </c>
      <c r="J687">
        <f t="shared" ca="1" si="72"/>
        <v>-1.0700930407937062</v>
      </c>
      <c r="K687">
        <f t="shared" ca="1" si="73"/>
        <v>10.494940661734368</v>
      </c>
      <c r="L687">
        <f t="shared" ca="1" si="74"/>
        <v>15.134229207425351</v>
      </c>
      <c r="M687">
        <f t="shared" ca="1" si="75"/>
        <v>0</v>
      </c>
      <c r="N687">
        <f t="shared" ca="1" si="76"/>
        <v>0</v>
      </c>
    </row>
    <row r="688" spans="6:14" x14ac:dyDescent="0.75">
      <c r="F688">
        <v>683</v>
      </c>
      <c r="G688">
        <f t="shared" ca="1" si="70"/>
        <v>-0.81605046582233687</v>
      </c>
      <c r="H688">
        <f t="shared" ca="1" si="70"/>
        <v>-0.77478350314485001</v>
      </c>
      <c r="I688">
        <f t="shared" ca="1" si="71"/>
        <v>-0.81605046582233687</v>
      </c>
      <c r="J688">
        <f t="shared" ca="1" si="72"/>
        <v>-1.1245089666759285</v>
      </c>
      <c r="K688">
        <f t="shared" ca="1" si="73"/>
        <v>14.513933824796256</v>
      </c>
      <c r="L688">
        <f t="shared" ca="1" si="74"/>
        <v>14.929737537892279</v>
      </c>
      <c r="M688">
        <f t="shared" ca="1" si="75"/>
        <v>0</v>
      </c>
      <c r="N688">
        <f t="shared" ca="1" si="76"/>
        <v>0</v>
      </c>
    </row>
    <row r="689" spans="6:14" x14ac:dyDescent="0.75">
      <c r="F689">
        <v>684</v>
      </c>
      <c r="G689">
        <f t="shared" ca="1" si="70"/>
        <v>-1.0517758371783805</v>
      </c>
      <c r="H689">
        <f t="shared" ca="1" si="70"/>
        <v>-0.3229318309284504</v>
      </c>
      <c r="I689">
        <f t="shared" ca="1" si="71"/>
        <v>-1.0517758371783805</v>
      </c>
      <c r="J689">
        <f t="shared" ca="1" si="72"/>
        <v>-1.0024312066496446</v>
      </c>
      <c r="K689">
        <f t="shared" ca="1" si="73"/>
        <v>13.683323089600329</v>
      </c>
      <c r="L689">
        <f t="shared" ca="1" si="74"/>
        <v>15.392409093523396</v>
      </c>
      <c r="M689">
        <f t="shared" ca="1" si="75"/>
        <v>0</v>
      </c>
      <c r="N689">
        <f t="shared" ca="1" si="76"/>
        <v>0</v>
      </c>
    </row>
    <row r="690" spans="6:14" x14ac:dyDescent="0.75">
      <c r="F690">
        <v>685</v>
      </c>
      <c r="G690">
        <f t="shared" ca="1" si="70"/>
        <v>-0.50087639856149246</v>
      </c>
      <c r="H690">
        <f t="shared" ca="1" si="70"/>
        <v>0.15310227461474921</v>
      </c>
      <c r="I690">
        <f t="shared" ca="1" si="71"/>
        <v>-0.50087639856149246</v>
      </c>
      <c r="J690">
        <f t="shared" ca="1" si="72"/>
        <v>-0.2743896629738834</v>
      </c>
      <c r="K690">
        <f t="shared" ca="1" si="73"/>
        <v>15.703799010212951</v>
      </c>
      <c r="L690">
        <f t="shared" ca="1" si="74"/>
        <v>18.465144203091249</v>
      </c>
      <c r="M690">
        <f t="shared" ca="1" si="75"/>
        <v>0</v>
      </c>
      <c r="N690">
        <f t="shared" ca="1" si="76"/>
        <v>0</v>
      </c>
    </row>
    <row r="691" spans="6:14" x14ac:dyDescent="0.75">
      <c r="F691">
        <v>686</v>
      </c>
      <c r="G691">
        <f t="shared" ca="1" si="70"/>
        <v>1.9460535059851073E-2</v>
      </c>
      <c r="H691">
        <f t="shared" ca="1" si="70"/>
        <v>-0.74917027927013402</v>
      </c>
      <c r="I691">
        <f t="shared" ca="1" si="71"/>
        <v>1.9460535059851073E-2</v>
      </c>
      <c r="J691">
        <f t="shared" ca="1" si="72"/>
        <v>-0.4809341608525074</v>
      </c>
      <c r="K691">
        <f t="shared" ca="1" si="73"/>
        <v>17.885438526799454</v>
      </c>
      <c r="L691">
        <f t="shared" ca="1" si="74"/>
        <v>17.53587413713143</v>
      </c>
      <c r="M691">
        <f t="shared" ca="1" si="75"/>
        <v>0</v>
      </c>
      <c r="N691">
        <f t="shared" ca="1" si="76"/>
        <v>0</v>
      </c>
    </row>
    <row r="692" spans="6:14" x14ac:dyDescent="0.75">
      <c r="F692">
        <v>687</v>
      </c>
      <c r="G692">
        <f t="shared" ca="1" si="70"/>
        <v>-1.1662458611663002</v>
      </c>
      <c r="H692">
        <f t="shared" ca="1" si="70"/>
        <v>-1.0638268487680345</v>
      </c>
      <c r="I692">
        <f t="shared" ca="1" si="71"/>
        <v>-1.1662458611663002</v>
      </c>
      <c r="J692">
        <f t="shared" ca="1" si="72"/>
        <v>-1.57833971584316</v>
      </c>
      <c r="K692">
        <f t="shared" ca="1" si="73"/>
        <v>13.297290499142305</v>
      </c>
      <c r="L692">
        <f t="shared" ca="1" si="74"/>
        <v>13.328403300302355</v>
      </c>
      <c r="M692">
        <f t="shared" ca="1" si="75"/>
        <v>0</v>
      </c>
      <c r="N692">
        <f t="shared" ca="1" si="76"/>
        <v>0</v>
      </c>
    </row>
    <row r="693" spans="6:14" x14ac:dyDescent="0.75">
      <c r="F693">
        <v>688</v>
      </c>
      <c r="G693">
        <f t="shared" ca="1" si="70"/>
        <v>-0.17093548288937868</v>
      </c>
      <c r="H693">
        <f t="shared" ca="1" si="70"/>
        <v>-0.3656825977163945</v>
      </c>
      <c r="I693">
        <f t="shared" ca="1" si="71"/>
        <v>-0.17093548288937868</v>
      </c>
      <c r="J693">
        <f t="shared" ca="1" si="72"/>
        <v>-0.37007791525244804</v>
      </c>
      <c r="K693">
        <f t="shared" ca="1" si="73"/>
        <v>17.054052984369779</v>
      </c>
      <c r="L693">
        <f t="shared" ca="1" si="74"/>
        <v>18.028661457876481</v>
      </c>
      <c r="M693">
        <f t="shared" ca="1" si="75"/>
        <v>0</v>
      </c>
      <c r="N693">
        <f t="shared" ca="1" si="76"/>
        <v>0</v>
      </c>
    </row>
    <row r="694" spans="6:14" x14ac:dyDescent="0.75">
      <c r="F694">
        <v>689</v>
      </c>
      <c r="G694">
        <f t="shared" ca="1" si="70"/>
        <v>-0.54048874424730908</v>
      </c>
      <c r="H694">
        <f t="shared" ca="1" si="70"/>
        <v>0.19569521677197751</v>
      </c>
      <c r="I694">
        <f t="shared" ca="1" si="71"/>
        <v>-0.54048874424730908</v>
      </c>
      <c r="J694">
        <f t="shared" ca="1" si="72"/>
        <v>-0.27592633909959963</v>
      </c>
      <c r="K694">
        <f t="shared" ca="1" si="73"/>
        <v>15.549050440394989</v>
      </c>
      <c r="L694">
        <f t="shared" ca="1" si="74"/>
        <v>18.45805182895003</v>
      </c>
      <c r="M694">
        <f t="shared" ca="1" si="75"/>
        <v>0</v>
      </c>
      <c r="N694">
        <f t="shared" ca="1" si="76"/>
        <v>0</v>
      </c>
    </row>
    <row r="695" spans="6:14" x14ac:dyDescent="0.75">
      <c r="F695">
        <v>690</v>
      </c>
      <c r="G695">
        <f t="shared" ca="1" si="70"/>
        <v>1.097865415614981</v>
      </c>
      <c r="H695">
        <f t="shared" ca="1" si="70"/>
        <v>0.3820670830607783</v>
      </c>
      <c r="I695">
        <f t="shared" ca="1" si="71"/>
        <v>1.097865415614981</v>
      </c>
      <c r="J695">
        <f t="shared" ca="1" si="72"/>
        <v>1.0761126831919052</v>
      </c>
      <c r="K695">
        <f t="shared" ca="1" si="73"/>
        <v>23.419947390081621</v>
      </c>
      <c r="L695">
        <f t="shared" ca="1" si="74"/>
        <v>25.881034566412758</v>
      </c>
      <c r="M695">
        <f t="shared" ca="1" si="75"/>
        <v>0</v>
      </c>
      <c r="N695">
        <f t="shared" ca="1" si="76"/>
        <v>0</v>
      </c>
    </row>
    <row r="696" spans="6:14" x14ac:dyDescent="0.75">
      <c r="F696">
        <v>691</v>
      </c>
      <c r="G696">
        <f t="shared" ca="1" si="70"/>
        <v>0.15959069255040595</v>
      </c>
      <c r="H696">
        <f t="shared" ca="1" si="70"/>
        <v>0.83873153733948358</v>
      </c>
      <c r="I696">
        <f t="shared" ca="1" si="71"/>
        <v>0.15959069255040595</v>
      </c>
      <c r="J696">
        <f t="shared" ca="1" si="72"/>
        <v>0.67446178554959402</v>
      </c>
      <c r="K696">
        <f t="shared" ca="1" si="73"/>
        <v>18.523115359624601</v>
      </c>
      <c r="L696">
        <f t="shared" ca="1" si="74"/>
        <v>23.40846525415764</v>
      </c>
      <c r="M696">
        <f t="shared" ca="1" si="75"/>
        <v>0</v>
      </c>
      <c r="N696">
        <f t="shared" ca="1" si="76"/>
        <v>0</v>
      </c>
    </row>
    <row r="697" spans="6:14" x14ac:dyDescent="0.75">
      <c r="F697">
        <v>692</v>
      </c>
      <c r="G697">
        <f t="shared" ca="1" si="70"/>
        <v>-0.38596645439029981</v>
      </c>
      <c r="H697">
        <f t="shared" ca="1" si="70"/>
        <v>-1.2925221968987348</v>
      </c>
      <c r="I697">
        <f t="shared" ca="1" si="71"/>
        <v>-0.38596645439029981</v>
      </c>
      <c r="J697">
        <f t="shared" ca="1" si="72"/>
        <v>-1.1443979150489529</v>
      </c>
      <c r="K697">
        <f t="shared" ca="1" si="73"/>
        <v>16.161472100929856</v>
      </c>
      <c r="L697">
        <f t="shared" ca="1" si="74"/>
        <v>14.855687592618327</v>
      </c>
      <c r="M697">
        <f t="shared" ca="1" si="75"/>
        <v>0</v>
      </c>
      <c r="N697">
        <f t="shared" ca="1" si="76"/>
        <v>0</v>
      </c>
    </row>
    <row r="698" spans="6:14" x14ac:dyDescent="0.75">
      <c r="F698">
        <v>693</v>
      </c>
      <c r="G698">
        <f t="shared" ca="1" si="70"/>
        <v>0.39910286548523644</v>
      </c>
      <c r="H698">
        <f t="shared" ca="1" si="70"/>
        <v>-0.35255363248343269</v>
      </c>
      <c r="I698">
        <f t="shared" ca="1" si="71"/>
        <v>0.39910286548523644</v>
      </c>
      <c r="J698">
        <f t="shared" ca="1" si="72"/>
        <v>6.6134840273020856E-2</v>
      </c>
      <c r="K698">
        <f t="shared" ca="1" si="73"/>
        <v>19.666122281788578</v>
      </c>
      <c r="L698">
        <f t="shared" ca="1" si="74"/>
        <v>20.105953869631016</v>
      </c>
      <c r="M698">
        <f t="shared" ca="1" si="75"/>
        <v>0</v>
      </c>
      <c r="N698">
        <f t="shared" ca="1" si="76"/>
        <v>0</v>
      </c>
    </row>
    <row r="699" spans="6:14" x14ac:dyDescent="0.75">
      <c r="F699">
        <v>694</v>
      </c>
      <c r="G699">
        <f t="shared" ca="1" si="70"/>
        <v>0.35857547955392854</v>
      </c>
      <c r="H699">
        <f t="shared" ca="1" si="70"/>
        <v>0.63938528116408699</v>
      </c>
      <c r="I699">
        <f t="shared" ca="1" si="71"/>
        <v>0.35857547955392854</v>
      </c>
      <c r="J699">
        <f t="shared" ca="1" si="72"/>
        <v>0.69184522114426761</v>
      </c>
      <c r="K699">
        <f t="shared" ca="1" si="73"/>
        <v>19.46787415562277</v>
      </c>
      <c r="L699">
        <f t="shared" ca="1" si="74"/>
        <v>23.510416513622282</v>
      </c>
      <c r="M699">
        <f t="shared" ca="1" si="75"/>
        <v>0</v>
      </c>
      <c r="N699">
        <f t="shared" ca="1" si="76"/>
        <v>0</v>
      </c>
    </row>
    <row r="700" spans="6:14" x14ac:dyDescent="0.75">
      <c r="F700">
        <v>695</v>
      </c>
      <c r="G700">
        <f t="shared" ca="1" si="70"/>
        <v>0.89670535154294839</v>
      </c>
      <c r="H700">
        <f t="shared" ca="1" si="70"/>
        <v>-1.3313868021266952</v>
      </c>
      <c r="I700">
        <f t="shared" ca="1" si="71"/>
        <v>0.89670535154294839</v>
      </c>
      <c r="J700">
        <f t="shared" ca="1" si="72"/>
        <v>-0.20810058065798787</v>
      </c>
      <c r="K700">
        <f t="shared" ca="1" si="73"/>
        <v>22.271283112158756</v>
      </c>
      <c r="L700">
        <f t="shared" ca="1" si="74"/>
        <v>18.773703269412902</v>
      </c>
      <c r="M700">
        <f t="shared" ca="1" si="75"/>
        <v>0</v>
      </c>
      <c r="N700">
        <f t="shared" ca="1" si="76"/>
        <v>0</v>
      </c>
    </row>
    <row r="701" spans="6:14" x14ac:dyDescent="0.75">
      <c r="F701">
        <v>696</v>
      </c>
      <c r="G701">
        <f t="shared" ca="1" si="70"/>
        <v>1.2218821026534954</v>
      </c>
      <c r="H701">
        <f t="shared" ca="1" si="70"/>
        <v>1.799912651210279</v>
      </c>
      <c r="I701">
        <f t="shared" ca="1" si="71"/>
        <v>1.2218821026534954</v>
      </c>
      <c r="J701">
        <f t="shared" ca="1" si="72"/>
        <v>2.106941891175456</v>
      </c>
      <c r="K701">
        <f t="shared" ca="1" si="73"/>
        <v>24.157437013464445</v>
      </c>
      <c r="L701">
        <f t="shared" ca="1" si="74"/>
        <v>33.489024100272083</v>
      </c>
      <c r="M701">
        <f t="shared" ca="1" si="75"/>
        <v>0</v>
      </c>
      <c r="N701">
        <f t="shared" ca="1" si="76"/>
        <v>0</v>
      </c>
    </row>
    <row r="702" spans="6:14" x14ac:dyDescent="0.75">
      <c r="F702">
        <v>697</v>
      </c>
      <c r="G702">
        <f t="shared" ca="1" si="70"/>
        <v>-1.6578869575863828</v>
      </c>
      <c r="H702">
        <f t="shared" ca="1" si="70"/>
        <v>-2.489494417271453</v>
      </c>
      <c r="I702">
        <f t="shared" ca="1" si="71"/>
        <v>-1.6578869575863828</v>
      </c>
      <c r="J702">
        <f t="shared" ca="1" si="72"/>
        <v>-2.8900609977857687</v>
      </c>
      <c r="K702">
        <f t="shared" ca="1" si="73"/>
        <v>11.759365871199602</v>
      </c>
      <c r="L702">
        <f t="shared" ca="1" si="74"/>
        <v>9.6019578857088366</v>
      </c>
      <c r="M702">
        <f t="shared" ca="1" si="75"/>
        <v>0</v>
      </c>
      <c r="N702">
        <f t="shared" ca="1" si="76"/>
        <v>0</v>
      </c>
    </row>
    <row r="703" spans="6:14" x14ac:dyDescent="0.75">
      <c r="F703">
        <v>698</v>
      </c>
      <c r="G703">
        <f t="shared" ca="1" si="70"/>
        <v>0.28954362220829155</v>
      </c>
      <c r="H703">
        <f t="shared" ca="1" si="70"/>
        <v>3.4038079508283921E-2</v>
      </c>
      <c r="I703">
        <f t="shared" ca="1" si="71"/>
        <v>0.28954362220829155</v>
      </c>
      <c r="J703">
        <f t="shared" ca="1" si="72"/>
        <v>0.23967179002750941</v>
      </c>
      <c r="K703">
        <f t="shared" ca="1" si="73"/>
        <v>19.134780801613402</v>
      </c>
      <c r="L703">
        <f t="shared" ca="1" si="74"/>
        <v>20.997433606917543</v>
      </c>
      <c r="M703">
        <f t="shared" ca="1" si="75"/>
        <v>0</v>
      </c>
      <c r="N703">
        <f t="shared" ca="1" si="76"/>
        <v>0</v>
      </c>
    </row>
    <row r="704" spans="6:14" x14ac:dyDescent="0.75">
      <c r="F704">
        <v>699</v>
      </c>
      <c r="G704">
        <f t="shared" ca="1" si="70"/>
        <v>-0.58992860144996051</v>
      </c>
      <c r="H704">
        <f t="shared" ca="1" si="70"/>
        <v>-0.27263579257275133</v>
      </c>
      <c r="I704">
        <f t="shared" ca="1" si="71"/>
        <v>-0.58992860144996051</v>
      </c>
      <c r="J704">
        <f t="shared" ca="1" si="72"/>
        <v>-0.62277807749809311</v>
      </c>
      <c r="K704">
        <f t="shared" ca="1" si="73"/>
        <v>15.358047558045342</v>
      </c>
      <c r="L704">
        <f t="shared" ca="1" si="74"/>
        <v>16.92493120646542</v>
      </c>
      <c r="M704">
        <f t="shared" ca="1" si="75"/>
        <v>0</v>
      </c>
      <c r="N704">
        <f t="shared" ca="1" si="76"/>
        <v>0</v>
      </c>
    </row>
    <row r="705" spans="6:14" x14ac:dyDescent="0.75">
      <c r="F705">
        <v>700</v>
      </c>
      <c r="G705">
        <f t="shared" ca="1" si="70"/>
        <v>0.89552580984266494</v>
      </c>
      <c r="H705">
        <f t="shared" ca="1" si="70"/>
        <v>0.42000741621646803</v>
      </c>
      <c r="I705">
        <f t="shared" ca="1" si="71"/>
        <v>0.89552580984266494</v>
      </c>
      <c r="J705">
        <f t="shared" ca="1" si="72"/>
        <v>0.94945315040989153</v>
      </c>
      <c r="K705">
        <f t="shared" ca="1" si="73"/>
        <v>22.264716603602771</v>
      </c>
      <c r="L705">
        <f t="shared" ca="1" si="74"/>
        <v>25.074353758087483</v>
      </c>
      <c r="M705">
        <f t="shared" ca="1" si="75"/>
        <v>0</v>
      </c>
      <c r="N705">
        <f t="shared" ca="1" si="76"/>
        <v>0</v>
      </c>
    </row>
    <row r="706" spans="6:14" x14ac:dyDescent="0.75">
      <c r="F706">
        <v>701</v>
      </c>
      <c r="G706">
        <f t="shared" ca="1" si="70"/>
        <v>0.96120237378644391</v>
      </c>
      <c r="H706">
        <f t="shared" ca="1" si="70"/>
        <v>-1.3526035959873257</v>
      </c>
      <c r="I706">
        <f t="shared" ca="1" si="71"/>
        <v>0.96120237378644391</v>
      </c>
      <c r="J706">
        <f t="shared" ca="1" si="72"/>
        <v>-0.17376140401870377</v>
      </c>
      <c r="K706">
        <f t="shared" ca="1" si="73"/>
        <v>22.633301769955125</v>
      </c>
      <c r="L706">
        <f t="shared" ca="1" si="74"/>
        <v>18.935565430180038</v>
      </c>
      <c r="M706">
        <f t="shared" ca="1" si="75"/>
        <v>0</v>
      </c>
      <c r="N706">
        <f t="shared" ca="1" si="76"/>
        <v>0</v>
      </c>
    </row>
    <row r="707" spans="6:14" x14ac:dyDescent="0.75">
      <c r="F707">
        <v>702</v>
      </c>
      <c r="G707">
        <f t="shared" ca="1" si="70"/>
        <v>-0.47627226086706276</v>
      </c>
      <c r="H707">
        <f t="shared" ca="1" si="70"/>
        <v>0.39268122585610532</v>
      </c>
      <c r="I707">
        <f t="shared" ca="1" si="71"/>
        <v>-0.47627226086706276</v>
      </c>
      <c r="J707">
        <f t="shared" ca="1" si="72"/>
        <v>-9.746997861548673E-2</v>
      </c>
      <c r="K707">
        <f t="shared" ca="1" si="73"/>
        <v>15.800691306937495</v>
      </c>
      <c r="L707">
        <f t="shared" ca="1" si="74"/>
        <v>19.300186882597885</v>
      </c>
      <c r="M707">
        <f t="shared" ca="1" si="75"/>
        <v>0</v>
      </c>
      <c r="N707">
        <f t="shared" ca="1" si="76"/>
        <v>0</v>
      </c>
    </row>
    <row r="708" spans="6:14" x14ac:dyDescent="0.75">
      <c r="F708">
        <v>703</v>
      </c>
      <c r="G708">
        <f t="shared" ca="1" si="70"/>
        <v>-0.80959207633143793</v>
      </c>
      <c r="H708">
        <f t="shared" ca="1" si="70"/>
        <v>-0.10413772027265253</v>
      </c>
      <c r="I708">
        <f t="shared" ca="1" si="71"/>
        <v>-0.80959207633143793</v>
      </c>
      <c r="J708">
        <f t="shared" ca="1" si="72"/>
        <v>-0.67607468473424048</v>
      </c>
      <c r="K708">
        <f t="shared" ca="1" si="73"/>
        <v>14.537386912769751</v>
      </c>
      <c r="L708">
        <f t="shared" ca="1" si="74"/>
        <v>16.700916570378762</v>
      </c>
      <c r="M708">
        <f t="shared" ca="1" si="75"/>
        <v>0</v>
      </c>
      <c r="N708">
        <f t="shared" ca="1" si="76"/>
        <v>0</v>
      </c>
    </row>
    <row r="709" spans="6:14" x14ac:dyDescent="0.75">
      <c r="F709">
        <v>704</v>
      </c>
      <c r="G709">
        <f t="shared" ca="1" si="70"/>
        <v>0.60037475541918794</v>
      </c>
      <c r="H709">
        <f t="shared" ca="1" si="70"/>
        <v>1.5521768727456882</v>
      </c>
      <c r="I709">
        <f t="shared" ca="1" si="71"/>
        <v>0.60037475541918794</v>
      </c>
      <c r="J709">
        <f t="shared" ca="1" si="72"/>
        <v>1.4769495655821512</v>
      </c>
      <c r="K709">
        <f t="shared" ca="1" si="73"/>
        <v>20.681000876469536</v>
      </c>
      <c r="L709">
        <f t="shared" ca="1" si="74"/>
        <v>28.608951688367952</v>
      </c>
      <c r="M709">
        <f t="shared" ca="1" si="75"/>
        <v>0</v>
      </c>
      <c r="N709">
        <f t="shared" ca="1" si="76"/>
        <v>0</v>
      </c>
    </row>
    <row r="710" spans="6:14" x14ac:dyDescent="0.75">
      <c r="F710">
        <v>705</v>
      </c>
      <c r="G710">
        <f t="shared" ca="1" si="70"/>
        <v>3.2304260891170701E-2</v>
      </c>
      <c r="H710">
        <f t="shared" ca="1" si="70"/>
        <v>1.1978872620663086</v>
      </c>
      <c r="I710">
        <f t="shared" ca="1" si="71"/>
        <v>3.2304260891170701E-2</v>
      </c>
      <c r="J710">
        <f t="shared" ca="1" si="72"/>
        <v>0.81655614419825517</v>
      </c>
      <c r="K710">
        <f t="shared" ca="1" si="73"/>
        <v>17.942959742922717</v>
      </c>
      <c r="L710">
        <f t="shared" ca="1" si="74"/>
        <v>24.254964294395403</v>
      </c>
      <c r="M710">
        <f t="shared" ca="1" si="75"/>
        <v>0</v>
      </c>
      <c r="N710">
        <f t="shared" ca="1" si="76"/>
        <v>0</v>
      </c>
    </row>
    <row r="711" spans="6:14" x14ac:dyDescent="0.75">
      <c r="F711">
        <v>706</v>
      </c>
      <c r="G711">
        <f t="shared" ref="G711:H774" ca="1" si="77">NORMSINV(RAND())</f>
        <v>-0.93443382086229554</v>
      </c>
      <c r="H711">
        <f t="shared" ca="1" si="77"/>
        <v>-0.81477993792044301</v>
      </c>
      <c r="I711">
        <f t="shared" ref="I711:I774" ca="1" si="78">G711</f>
        <v>-0.93443382086229554</v>
      </c>
      <c r="J711">
        <f t="shared" ref="J711:J774" ca="1" si="79">G711*$C$8+SQRT(1-$C$8^2)*H711</f>
        <v>-1.239751637892256</v>
      </c>
      <c r="K711">
        <f t="shared" ref="K711:K774" ca="1" si="80">C$3*EXP(($C$5-0.5*C$4^2)*$C$6+C$4*SQRT($C$6)*I711)</f>
        <v>14.090676008905559</v>
      </c>
      <c r="L711">
        <f t="shared" ref="L711:L774" ca="1" si="81">D$3*EXP(($C$5-0.5*D$4^2)*$C$6+D$4*SQRT($C$6)*J711)</f>
        <v>14.505738997916675</v>
      </c>
      <c r="M711">
        <f t="shared" ref="M711:M774" ca="1" si="82">MAX(SQRT(K711*L711)-$C$7,0)</f>
        <v>0</v>
      </c>
      <c r="N711">
        <f t="shared" ref="N711:N774" ca="1" si="83">MAX((K711+L711)*0.5-$C$7,0)</f>
        <v>0</v>
      </c>
    </row>
    <row r="712" spans="6:14" x14ac:dyDescent="0.75">
      <c r="F712">
        <v>707</v>
      </c>
      <c r="G712">
        <f t="shared" ca="1" si="77"/>
        <v>-0.12796472712628257</v>
      </c>
      <c r="H712">
        <f t="shared" ca="1" si="77"/>
        <v>-0.48886790593858687</v>
      </c>
      <c r="I712">
        <f t="shared" ca="1" si="78"/>
        <v>-0.12796472712628257</v>
      </c>
      <c r="J712">
        <f t="shared" ca="1" si="79"/>
        <v>-0.41932927111331625</v>
      </c>
      <c r="K712">
        <f t="shared" ca="1" si="80"/>
        <v>17.238246968688387</v>
      </c>
      <c r="L712">
        <f t="shared" ca="1" si="81"/>
        <v>17.808038487447547</v>
      </c>
      <c r="M712">
        <f t="shared" ca="1" si="82"/>
        <v>0</v>
      </c>
      <c r="N712">
        <f t="shared" ca="1" si="83"/>
        <v>0</v>
      </c>
    </row>
    <row r="713" spans="6:14" x14ac:dyDescent="0.75">
      <c r="F713">
        <v>708</v>
      </c>
      <c r="G713">
        <f t="shared" ca="1" si="77"/>
        <v>0.82240401086173398</v>
      </c>
      <c r="H713">
        <f t="shared" ca="1" si="77"/>
        <v>-0.21639370913103084</v>
      </c>
      <c r="I713">
        <f t="shared" ca="1" si="78"/>
        <v>0.82240401086173398</v>
      </c>
      <c r="J713">
        <f t="shared" ca="1" si="79"/>
        <v>0.47367202323641189</v>
      </c>
      <c r="K713">
        <f t="shared" ca="1" si="80"/>
        <v>21.861405159249507</v>
      </c>
      <c r="L713">
        <f t="shared" ca="1" si="81"/>
        <v>22.262424992138435</v>
      </c>
      <c r="M713">
        <f t="shared" ca="1" si="82"/>
        <v>0</v>
      </c>
      <c r="N713">
        <f t="shared" ca="1" si="83"/>
        <v>0</v>
      </c>
    </row>
    <row r="714" spans="6:14" x14ac:dyDescent="0.75">
      <c r="F714">
        <v>709</v>
      </c>
      <c r="G714">
        <f t="shared" ca="1" si="77"/>
        <v>0.57551493848396273</v>
      </c>
      <c r="H714">
        <f t="shared" ca="1" si="77"/>
        <v>-1.3102081884723094</v>
      </c>
      <c r="I714">
        <f t="shared" ca="1" si="78"/>
        <v>0.57551493848396273</v>
      </c>
      <c r="J714">
        <f t="shared" ca="1" si="79"/>
        <v>-0.43498505424157163</v>
      </c>
      <c r="K714">
        <f t="shared" ca="1" si="80"/>
        <v>20.552867984975691</v>
      </c>
      <c r="L714">
        <f t="shared" ca="1" si="81"/>
        <v>17.738475012959935</v>
      </c>
      <c r="M714">
        <f t="shared" ca="1" si="82"/>
        <v>0</v>
      </c>
      <c r="N714">
        <f t="shared" ca="1" si="83"/>
        <v>0</v>
      </c>
    </row>
    <row r="715" spans="6:14" x14ac:dyDescent="0.75">
      <c r="F715">
        <v>710</v>
      </c>
      <c r="G715">
        <f t="shared" ca="1" si="77"/>
        <v>0.39131431370508124</v>
      </c>
      <c r="H715">
        <f t="shared" ca="1" si="77"/>
        <v>-0.99645447898434603</v>
      </c>
      <c r="I715">
        <f t="shared" ca="1" si="78"/>
        <v>0.39131431370508124</v>
      </c>
      <c r="J715">
        <f t="shared" ca="1" si="79"/>
        <v>-0.3656069507684433</v>
      </c>
      <c r="K715">
        <f t="shared" ca="1" si="80"/>
        <v>19.627866885215692</v>
      </c>
      <c r="L715">
        <f t="shared" ca="1" si="81"/>
        <v>18.048824100352686</v>
      </c>
      <c r="M715">
        <f t="shared" ca="1" si="82"/>
        <v>0</v>
      </c>
      <c r="N715">
        <f t="shared" ca="1" si="83"/>
        <v>0</v>
      </c>
    </row>
    <row r="716" spans="6:14" x14ac:dyDescent="0.75">
      <c r="F716">
        <v>711</v>
      </c>
      <c r="G716">
        <f t="shared" ca="1" si="77"/>
        <v>1.134468202892513</v>
      </c>
      <c r="H716">
        <f t="shared" ca="1" si="77"/>
        <v>1.3186049893515364</v>
      </c>
      <c r="I716">
        <f t="shared" ca="1" si="78"/>
        <v>1.134468202892513</v>
      </c>
      <c r="J716">
        <f t="shared" ca="1" si="79"/>
        <v>1.7230263720076693</v>
      </c>
      <c r="K716">
        <f t="shared" ca="1" si="80"/>
        <v>23.635239763497818</v>
      </c>
      <c r="L716">
        <f t="shared" ca="1" si="81"/>
        <v>30.42421588733875</v>
      </c>
      <c r="M716">
        <f t="shared" ca="1" si="82"/>
        <v>0</v>
      </c>
      <c r="N716">
        <f t="shared" ca="1" si="83"/>
        <v>0</v>
      </c>
    </row>
    <row r="717" spans="6:14" x14ac:dyDescent="0.75">
      <c r="F717">
        <v>712</v>
      </c>
      <c r="G717">
        <f t="shared" ca="1" si="77"/>
        <v>0.54133207716364418</v>
      </c>
      <c r="H717">
        <f t="shared" ca="1" si="77"/>
        <v>0.23550523019837111</v>
      </c>
      <c r="I717">
        <f t="shared" ca="1" si="78"/>
        <v>0.54133207716364418</v>
      </c>
      <c r="J717">
        <f t="shared" ca="1" si="79"/>
        <v>0.56177112576271027</v>
      </c>
      <c r="K717">
        <f t="shared" ca="1" si="80"/>
        <v>20.377977372994231</v>
      </c>
      <c r="L717">
        <f t="shared" ca="1" si="81"/>
        <v>22.758189416984365</v>
      </c>
      <c r="M717">
        <f t="shared" ca="1" si="82"/>
        <v>0</v>
      </c>
      <c r="N717">
        <f t="shared" ca="1" si="83"/>
        <v>0</v>
      </c>
    </row>
    <row r="718" spans="6:14" x14ac:dyDescent="0.75">
      <c r="F718">
        <v>713</v>
      </c>
      <c r="G718">
        <f t="shared" ca="1" si="77"/>
        <v>1.6396862663043297</v>
      </c>
      <c r="H718">
        <f t="shared" ca="1" si="77"/>
        <v>0.14270861823669573</v>
      </c>
      <c r="I718">
        <f t="shared" ca="1" si="78"/>
        <v>1.6396862663043297</v>
      </c>
      <c r="J718">
        <f t="shared" ca="1" si="79"/>
        <v>1.3241575781782358</v>
      </c>
      <c r="K718">
        <f t="shared" ca="1" si="80"/>
        <v>26.817196024899022</v>
      </c>
      <c r="L718">
        <f t="shared" ca="1" si="81"/>
        <v>27.536755285096405</v>
      </c>
      <c r="M718">
        <f t="shared" ca="1" si="82"/>
        <v>0</v>
      </c>
      <c r="N718">
        <f t="shared" ca="1" si="83"/>
        <v>0</v>
      </c>
    </row>
    <row r="719" spans="6:14" x14ac:dyDescent="0.75">
      <c r="F719">
        <v>714</v>
      </c>
      <c r="G719">
        <f t="shared" ca="1" si="77"/>
        <v>-5.2414398751956956E-2</v>
      </c>
      <c r="H719">
        <f t="shared" ca="1" si="77"/>
        <v>-1.146055571181825</v>
      </c>
      <c r="I719">
        <f t="shared" ca="1" si="78"/>
        <v>-5.2414398751956956E-2</v>
      </c>
      <c r="J719">
        <f t="shared" ca="1" si="79"/>
        <v>-0.7973553065657657</v>
      </c>
      <c r="K719">
        <f t="shared" ca="1" si="80"/>
        <v>17.566930016319521</v>
      </c>
      <c r="L719">
        <f t="shared" ca="1" si="81"/>
        <v>16.202141857300873</v>
      </c>
      <c r="M719">
        <f t="shared" ca="1" si="82"/>
        <v>0</v>
      </c>
      <c r="N719">
        <f t="shared" ca="1" si="83"/>
        <v>0</v>
      </c>
    </row>
    <row r="720" spans="6:14" x14ac:dyDescent="0.75">
      <c r="F720">
        <v>715</v>
      </c>
      <c r="G720">
        <f t="shared" ca="1" si="77"/>
        <v>0.67164355790029207</v>
      </c>
      <c r="H720">
        <f t="shared" ca="1" si="77"/>
        <v>1.1146033784326255</v>
      </c>
      <c r="I720">
        <f t="shared" ca="1" si="78"/>
        <v>0.67164355790029207</v>
      </c>
      <c r="J720">
        <f t="shared" ca="1" si="79"/>
        <v>1.2409735058765041</v>
      </c>
      <c r="K720">
        <f t="shared" ca="1" si="80"/>
        <v>21.052780620100116</v>
      </c>
      <c r="L720">
        <f t="shared" ca="1" si="81"/>
        <v>26.970013832147323</v>
      </c>
      <c r="M720">
        <f t="shared" ca="1" si="82"/>
        <v>0</v>
      </c>
      <c r="N720">
        <f t="shared" ca="1" si="83"/>
        <v>0</v>
      </c>
    </row>
    <row r="721" spans="6:14" x14ac:dyDescent="0.75">
      <c r="F721">
        <v>716</v>
      </c>
      <c r="G721">
        <f t="shared" ca="1" si="77"/>
        <v>0.75435130790567739</v>
      </c>
      <c r="H721">
        <f t="shared" ca="1" si="77"/>
        <v>0.45476735244781991</v>
      </c>
      <c r="I721">
        <f t="shared" ca="1" si="78"/>
        <v>0.75435130790567739</v>
      </c>
      <c r="J721">
        <f t="shared" ca="1" si="79"/>
        <v>0.86656381067130606</v>
      </c>
      <c r="K721">
        <f t="shared" ca="1" si="80"/>
        <v>21.492619236553825</v>
      </c>
      <c r="L721">
        <f t="shared" ca="1" si="81"/>
        <v>24.560101259685773</v>
      </c>
      <c r="M721">
        <f t="shared" ca="1" si="82"/>
        <v>0</v>
      </c>
      <c r="N721">
        <f t="shared" ca="1" si="83"/>
        <v>0</v>
      </c>
    </row>
    <row r="722" spans="6:14" x14ac:dyDescent="0.75">
      <c r="F722">
        <v>717</v>
      </c>
      <c r="G722">
        <f t="shared" ca="1" si="77"/>
        <v>1.0632008434321387</v>
      </c>
      <c r="H722">
        <f t="shared" ca="1" si="77"/>
        <v>1.9392032435687616</v>
      </c>
      <c r="I722">
        <f t="shared" ca="1" si="78"/>
        <v>1.0632008434321387</v>
      </c>
      <c r="J722">
        <f t="shared" ca="1" si="79"/>
        <v>2.0800630135972935</v>
      </c>
      <c r="K722">
        <f t="shared" ca="1" si="80"/>
        <v>23.217863683769099</v>
      </c>
      <c r="L722">
        <f t="shared" ca="1" si="81"/>
        <v>33.264741657011733</v>
      </c>
      <c r="M722">
        <f t="shared" ca="1" si="82"/>
        <v>0</v>
      </c>
      <c r="N722">
        <f t="shared" ca="1" si="83"/>
        <v>0</v>
      </c>
    </row>
    <row r="723" spans="6:14" x14ac:dyDescent="0.75">
      <c r="F723">
        <v>718</v>
      </c>
      <c r="G723">
        <f t="shared" ca="1" si="77"/>
        <v>0.38273012449827143</v>
      </c>
      <c r="H723">
        <f t="shared" ca="1" si="77"/>
        <v>-0.32556988991418923</v>
      </c>
      <c r="I723">
        <f t="shared" ca="1" si="78"/>
        <v>0.38273012449827143</v>
      </c>
      <c r="J723">
        <f t="shared" ca="1" si="79"/>
        <v>7.1703352602798393E-2</v>
      </c>
      <c r="K723">
        <f t="shared" ca="1" si="80"/>
        <v>19.585789720390444</v>
      </c>
      <c r="L723">
        <f t="shared" ca="1" si="81"/>
        <v>20.133963424557663</v>
      </c>
      <c r="M723">
        <f t="shared" ca="1" si="82"/>
        <v>0</v>
      </c>
      <c r="N723">
        <f t="shared" ca="1" si="83"/>
        <v>0</v>
      </c>
    </row>
    <row r="724" spans="6:14" x14ac:dyDescent="0.75">
      <c r="F724">
        <v>719</v>
      </c>
      <c r="G724">
        <f t="shared" ca="1" si="77"/>
        <v>0.65959029748875642</v>
      </c>
      <c r="H724">
        <f t="shared" ca="1" si="77"/>
        <v>-0.39565084436291503</v>
      </c>
      <c r="I724">
        <f t="shared" ca="1" si="78"/>
        <v>0.65959029748875642</v>
      </c>
      <c r="J724">
        <f t="shared" ca="1" si="79"/>
        <v>0.23299428806731864</v>
      </c>
      <c r="K724">
        <f t="shared" ca="1" si="80"/>
        <v>20.989437442706439</v>
      </c>
      <c r="L724">
        <f t="shared" ca="1" si="81"/>
        <v>20.962410247602698</v>
      </c>
      <c r="M724">
        <f t="shared" ca="1" si="82"/>
        <v>0</v>
      </c>
      <c r="N724">
        <f t="shared" ca="1" si="83"/>
        <v>0</v>
      </c>
    </row>
    <row r="725" spans="6:14" x14ac:dyDescent="0.75">
      <c r="F725">
        <v>720</v>
      </c>
      <c r="G725">
        <f t="shared" ca="1" si="77"/>
        <v>-0.54464795534361876</v>
      </c>
      <c r="H725">
        <f t="shared" ca="1" si="77"/>
        <v>0.43758122131510313</v>
      </c>
      <c r="I725">
        <f t="shared" ca="1" si="78"/>
        <v>-0.54464795534361876</v>
      </c>
      <c r="J725">
        <f t="shared" ca="1" si="79"/>
        <v>-0.11905319400979436</v>
      </c>
      <c r="K725">
        <f t="shared" ca="1" si="80"/>
        <v>15.532890897437557</v>
      </c>
      <c r="L725">
        <f t="shared" ca="1" si="81"/>
        <v>19.196327314852731</v>
      </c>
      <c r="M725">
        <f t="shared" ca="1" si="82"/>
        <v>0</v>
      </c>
      <c r="N725">
        <f t="shared" ca="1" si="83"/>
        <v>0</v>
      </c>
    </row>
    <row r="726" spans="6:14" x14ac:dyDescent="0.75">
      <c r="F726">
        <v>721</v>
      </c>
      <c r="G726">
        <f t="shared" ca="1" si="77"/>
        <v>3.0324535601397686</v>
      </c>
      <c r="H726">
        <f t="shared" ca="1" si="77"/>
        <v>-0.51840463626070521</v>
      </c>
      <c r="I726">
        <f t="shared" ca="1" si="78"/>
        <v>3.0324535601397686</v>
      </c>
      <c r="J726">
        <f t="shared" ca="1" si="79"/>
        <v>1.9314477335926459</v>
      </c>
      <c r="K726">
        <f t="shared" ca="1" si="80"/>
        <v>37.98666389248185</v>
      </c>
      <c r="L726">
        <f t="shared" ca="1" si="81"/>
        <v>32.051507141349738</v>
      </c>
      <c r="M726">
        <f t="shared" ca="1" si="82"/>
        <v>0</v>
      </c>
      <c r="N726">
        <f t="shared" ca="1" si="83"/>
        <v>0</v>
      </c>
    </row>
    <row r="727" spans="6:14" x14ac:dyDescent="0.75">
      <c r="F727">
        <v>722</v>
      </c>
      <c r="G727">
        <f t="shared" ca="1" si="77"/>
        <v>0.30510361010264342</v>
      </c>
      <c r="H727">
        <f t="shared" ca="1" si="77"/>
        <v>1.0598217060621113</v>
      </c>
      <c r="I727">
        <f t="shared" ca="1" si="78"/>
        <v>0.30510361010264342</v>
      </c>
      <c r="J727">
        <f t="shared" ca="1" si="79"/>
        <v>0.92983387465411815</v>
      </c>
      <c r="K727">
        <f t="shared" ca="1" si="80"/>
        <v>19.209360003411767</v>
      </c>
      <c r="L727">
        <f t="shared" ca="1" si="81"/>
        <v>24.951669710366726</v>
      </c>
      <c r="M727">
        <f t="shared" ca="1" si="82"/>
        <v>0</v>
      </c>
      <c r="N727">
        <f t="shared" ca="1" si="83"/>
        <v>0</v>
      </c>
    </row>
    <row r="728" spans="6:14" x14ac:dyDescent="0.75">
      <c r="F728">
        <v>723</v>
      </c>
      <c r="G728">
        <f t="shared" ca="1" si="77"/>
        <v>1.5514053009457116</v>
      </c>
      <c r="H728">
        <f t="shared" ca="1" si="77"/>
        <v>-0.87776706166583862</v>
      </c>
      <c r="I728">
        <f t="shared" ca="1" si="78"/>
        <v>1.5514053009457116</v>
      </c>
      <c r="J728">
        <f t="shared" ca="1" si="79"/>
        <v>0.58296563715635719</v>
      </c>
      <c r="K728">
        <f t="shared" ca="1" si="80"/>
        <v>26.231817520094022</v>
      </c>
      <c r="L728">
        <f t="shared" ca="1" si="81"/>
        <v>22.879096631498605</v>
      </c>
      <c r="M728">
        <f t="shared" ca="1" si="82"/>
        <v>0</v>
      </c>
      <c r="N728">
        <f t="shared" ca="1" si="83"/>
        <v>0</v>
      </c>
    </row>
    <row r="729" spans="6:14" x14ac:dyDescent="0.75">
      <c r="F729">
        <v>724</v>
      </c>
      <c r="G729">
        <f t="shared" ca="1" si="77"/>
        <v>0.37765084168990709</v>
      </c>
      <c r="H729">
        <f t="shared" ca="1" si="77"/>
        <v>0.16823758265017388</v>
      </c>
      <c r="I729">
        <f t="shared" ca="1" si="78"/>
        <v>0.37765084168990709</v>
      </c>
      <c r="J729">
        <f t="shared" ca="1" si="79"/>
        <v>0.39451683248418906</v>
      </c>
      <c r="K729">
        <f t="shared" ca="1" si="80"/>
        <v>19.5609350629557</v>
      </c>
      <c r="L729">
        <f t="shared" ca="1" si="81"/>
        <v>21.826208700863639</v>
      </c>
      <c r="M729">
        <f t="shared" ca="1" si="82"/>
        <v>0</v>
      </c>
      <c r="N729">
        <f t="shared" ca="1" si="83"/>
        <v>0</v>
      </c>
    </row>
    <row r="730" spans="6:14" x14ac:dyDescent="0.75">
      <c r="F730">
        <v>725</v>
      </c>
      <c r="G730">
        <f t="shared" ca="1" si="77"/>
        <v>-0.19193701030701379</v>
      </c>
      <c r="H730">
        <f t="shared" ca="1" si="77"/>
        <v>7.8745713271631768E-2</v>
      </c>
      <c r="I730">
        <f t="shared" ca="1" si="78"/>
        <v>-0.19193701030701379</v>
      </c>
      <c r="J730">
        <f t="shared" ca="1" si="79"/>
        <v>-9.1867364197976309E-2</v>
      </c>
      <c r="K730">
        <f t="shared" ca="1" si="80"/>
        <v>16.96474734354819</v>
      </c>
      <c r="L730">
        <f t="shared" ca="1" si="81"/>
        <v>19.327238699610067</v>
      </c>
      <c r="M730">
        <f t="shared" ca="1" si="82"/>
        <v>0</v>
      </c>
      <c r="N730">
        <f t="shared" ca="1" si="83"/>
        <v>0</v>
      </c>
    </row>
    <row r="731" spans="6:14" x14ac:dyDescent="0.75">
      <c r="F731">
        <v>726</v>
      </c>
      <c r="G731">
        <f t="shared" ca="1" si="77"/>
        <v>-7.6279778087388894E-2</v>
      </c>
      <c r="H731">
        <f t="shared" ca="1" si="77"/>
        <v>-1.0931798952166418</v>
      </c>
      <c r="I731">
        <f t="shared" ca="1" si="78"/>
        <v>-7.6279778087388894E-2</v>
      </c>
      <c r="J731">
        <f t="shared" ca="1" si="79"/>
        <v>-0.78028036881526219</v>
      </c>
      <c r="K731">
        <f t="shared" ca="1" si="80"/>
        <v>17.462431700650548</v>
      </c>
      <c r="L731">
        <f t="shared" ca="1" si="81"/>
        <v>16.271452326956329</v>
      </c>
      <c r="M731">
        <f t="shared" ca="1" si="82"/>
        <v>0</v>
      </c>
      <c r="N731">
        <f t="shared" ca="1" si="83"/>
        <v>0</v>
      </c>
    </row>
    <row r="732" spans="6:14" x14ac:dyDescent="0.75">
      <c r="F732">
        <v>727</v>
      </c>
      <c r="G732">
        <f t="shared" ca="1" si="77"/>
        <v>-1.0621093701051885</v>
      </c>
      <c r="H732">
        <f t="shared" ca="1" si="77"/>
        <v>1.7102457108903204E-2</v>
      </c>
      <c r="I732">
        <f t="shared" ca="1" si="78"/>
        <v>-1.0621093701051885</v>
      </c>
      <c r="J732">
        <f t="shared" ca="1" si="79"/>
        <v>-0.78526981549931463</v>
      </c>
      <c r="K732">
        <f t="shared" ca="1" si="80"/>
        <v>13.648019443235038</v>
      </c>
      <c r="L732">
        <f t="shared" ca="1" si="81"/>
        <v>16.251168594197335</v>
      </c>
      <c r="M732">
        <f t="shared" ca="1" si="82"/>
        <v>0</v>
      </c>
      <c r="N732">
        <f t="shared" ca="1" si="83"/>
        <v>0</v>
      </c>
    </row>
    <row r="733" spans="6:14" x14ac:dyDescent="0.75">
      <c r="F733">
        <v>728</v>
      </c>
      <c r="G733">
        <f t="shared" ca="1" si="77"/>
        <v>-0.5200788727039718</v>
      </c>
      <c r="H733">
        <f t="shared" ca="1" si="77"/>
        <v>0.91309013064191791</v>
      </c>
      <c r="I733">
        <f t="shared" ca="1" si="78"/>
        <v>-0.5200788727039718</v>
      </c>
      <c r="J733">
        <f t="shared" ca="1" si="79"/>
        <v>0.21389319803851931</v>
      </c>
      <c r="K733">
        <f t="shared" ca="1" si="80"/>
        <v>15.628591726779453</v>
      </c>
      <c r="L733">
        <f t="shared" ca="1" si="81"/>
        <v>20.862547651583032</v>
      </c>
      <c r="M733">
        <f t="shared" ca="1" si="82"/>
        <v>0</v>
      </c>
      <c r="N733">
        <f t="shared" ca="1" si="83"/>
        <v>0</v>
      </c>
    </row>
    <row r="734" spans="6:14" x14ac:dyDescent="0.75">
      <c r="F734">
        <v>729</v>
      </c>
      <c r="G734">
        <f t="shared" ca="1" si="77"/>
        <v>-0.9892141595507854</v>
      </c>
      <c r="H734">
        <f t="shared" ca="1" si="77"/>
        <v>0.40004414971328794</v>
      </c>
      <c r="I734">
        <f t="shared" ca="1" si="78"/>
        <v>-0.9892141595507854</v>
      </c>
      <c r="J734">
        <f t="shared" ca="1" si="79"/>
        <v>-0.47730628626617627</v>
      </c>
      <c r="K734">
        <f t="shared" ca="1" si="80"/>
        <v>13.899018387080535</v>
      </c>
      <c r="L734">
        <f t="shared" ca="1" si="81"/>
        <v>17.551785839781203</v>
      </c>
      <c r="M734">
        <f t="shared" ca="1" si="82"/>
        <v>0</v>
      </c>
      <c r="N734">
        <f t="shared" ca="1" si="83"/>
        <v>0</v>
      </c>
    </row>
    <row r="735" spans="6:14" x14ac:dyDescent="0.75">
      <c r="F735">
        <v>730</v>
      </c>
      <c r="G735">
        <f t="shared" ca="1" si="77"/>
        <v>0.13865008748704638</v>
      </c>
      <c r="H735">
        <f t="shared" ca="1" si="77"/>
        <v>-1.838571541952881</v>
      </c>
      <c r="I735">
        <f t="shared" ca="1" si="78"/>
        <v>0.13865008748704638</v>
      </c>
      <c r="J735">
        <f t="shared" ca="1" si="79"/>
        <v>-1.1121132012866854</v>
      </c>
      <c r="K735">
        <f t="shared" ca="1" si="80"/>
        <v>18.426397436176082</v>
      </c>
      <c r="L735">
        <f t="shared" ca="1" si="81"/>
        <v>14.97607568136355</v>
      </c>
      <c r="M735">
        <f t="shared" ca="1" si="82"/>
        <v>0</v>
      </c>
      <c r="N735">
        <f t="shared" ca="1" si="83"/>
        <v>0</v>
      </c>
    </row>
    <row r="736" spans="6:14" x14ac:dyDescent="0.75">
      <c r="F736">
        <v>731</v>
      </c>
      <c r="G736">
        <f t="shared" ca="1" si="77"/>
        <v>-2.1196853926929791</v>
      </c>
      <c r="H736">
        <f t="shared" ca="1" si="77"/>
        <v>1.1732029175965424</v>
      </c>
      <c r="I736">
        <f t="shared" ca="1" si="78"/>
        <v>-2.1196853926929791</v>
      </c>
      <c r="J736">
        <f t="shared" ca="1" si="79"/>
        <v>-0.81376325517577053</v>
      </c>
      <c r="K736">
        <f t="shared" ca="1" si="80"/>
        <v>10.47718891617907</v>
      </c>
      <c r="L736">
        <f t="shared" ca="1" si="81"/>
        <v>16.135817004406579</v>
      </c>
      <c r="M736">
        <f t="shared" ca="1" si="82"/>
        <v>0</v>
      </c>
      <c r="N736">
        <f t="shared" ca="1" si="83"/>
        <v>0</v>
      </c>
    </row>
    <row r="737" spans="6:14" x14ac:dyDescent="0.75">
      <c r="F737">
        <v>732</v>
      </c>
      <c r="G737">
        <f t="shared" ca="1" si="77"/>
        <v>0.71780097966008327</v>
      </c>
      <c r="H737">
        <f t="shared" ca="1" si="77"/>
        <v>-0.29307823043516323</v>
      </c>
      <c r="I737">
        <f t="shared" ca="1" si="78"/>
        <v>0.71780097966008327</v>
      </c>
      <c r="J737">
        <f t="shared" ca="1" si="79"/>
        <v>0.34449770664048163</v>
      </c>
      <c r="K737">
        <f t="shared" ca="1" si="80"/>
        <v>21.297123205329232</v>
      </c>
      <c r="L737">
        <f t="shared" ca="1" si="81"/>
        <v>21.554976117396848</v>
      </c>
      <c r="M737">
        <f t="shared" ca="1" si="82"/>
        <v>0</v>
      </c>
      <c r="N737">
        <f t="shared" ca="1" si="83"/>
        <v>0</v>
      </c>
    </row>
    <row r="738" spans="6:14" x14ac:dyDescent="0.75">
      <c r="F738">
        <v>733</v>
      </c>
      <c r="G738">
        <f t="shared" ca="1" si="77"/>
        <v>0.81523412574292042</v>
      </c>
      <c r="H738">
        <f t="shared" ca="1" si="77"/>
        <v>1.2798031926246709</v>
      </c>
      <c r="I738">
        <f t="shared" ca="1" si="78"/>
        <v>0.81523412574292042</v>
      </c>
      <c r="J738">
        <f t="shared" ca="1" si="79"/>
        <v>1.4579358380050333</v>
      </c>
      <c r="K738">
        <f t="shared" ca="1" si="80"/>
        <v>21.82225431723003</v>
      </c>
      <c r="L738">
        <f t="shared" ca="1" si="81"/>
        <v>28.47328368471112</v>
      </c>
      <c r="M738">
        <f t="shared" ca="1" si="82"/>
        <v>0</v>
      </c>
      <c r="N738">
        <f t="shared" ca="1" si="83"/>
        <v>0</v>
      </c>
    </row>
    <row r="739" spans="6:14" x14ac:dyDescent="0.75">
      <c r="F739">
        <v>734</v>
      </c>
      <c r="G739">
        <f t="shared" ca="1" si="77"/>
        <v>-0.21903135652667372</v>
      </c>
      <c r="H739">
        <f t="shared" ca="1" si="77"/>
        <v>0.57987252145636481</v>
      </c>
      <c r="I739">
        <f t="shared" ca="1" si="78"/>
        <v>-0.21903135652667372</v>
      </c>
      <c r="J739">
        <f t="shared" ca="1" si="79"/>
        <v>0.21927610357837152</v>
      </c>
      <c r="K739">
        <f t="shared" ca="1" si="80"/>
        <v>16.850223465611009</v>
      </c>
      <c r="L739">
        <f t="shared" ca="1" si="81"/>
        <v>20.890641831715214</v>
      </c>
      <c r="M739">
        <f t="shared" ca="1" si="82"/>
        <v>0</v>
      </c>
      <c r="N739">
        <f t="shared" ca="1" si="83"/>
        <v>0</v>
      </c>
    </row>
    <row r="740" spans="6:14" x14ac:dyDescent="0.75">
      <c r="F740">
        <v>735</v>
      </c>
      <c r="G740">
        <f t="shared" ca="1" si="77"/>
        <v>-0.54325571106350723</v>
      </c>
      <c r="H740">
        <f t="shared" ca="1" si="77"/>
        <v>-0.83384409358851219</v>
      </c>
      <c r="I740">
        <f t="shared" ca="1" si="78"/>
        <v>-0.54325571106350723</v>
      </c>
      <c r="J740">
        <f t="shared" ca="1" si="79"/>
        <v>-0.95897780925644827</v>
      </c>
      <c r="K740">
        <f t="shared" ca="1" si="80"/>
        <v>15.538298233050865</v>
      </c>
      <c r="L740">
        <f t="shared" ca="1" si="81"/>
        <v>15.560533755893221</v>
      </c>
      <c r="M740">
        <f t="shared" ca="1" si="82"/>
        <v>0</v>
      </c>
      <c r="N740">
        <f t="shared" ca="1" si="83"/>
        <v>0</v>
      </c>
    </row>
    <row r="741" spans="6:14" x14ac:dyDescent="0.75">
      <c r="F741">
        <v>736</v>
      </c>
      <c r="G741">
        <f t="shared" ca="1" si="77"/>
        <v>1.3366397031044621</v>
      </c>
      <c r="H741">
        <f t="shared" ca="1" si="77"/>
        <v>2.2742765571279265E-2</v>
      </c>
      <c r="I741">
        <f t="shared" ca="1" si="78"/>
        <v>1.3366397031044621</v>
      </c>
      <c r="J741">
        <f t="shared" ca="1" si="79"/>
        <v>1.0175227027852083</v>
      </c>
      <c r="K741">
        <f t="shared" ca="1" si="80"/>
        <v>24.860536921878406</v>
      </c>
      <c r="L741">
        <f t="shared" ca="1" si="81"/>
        <v>25.504705109716941</v>
      </c>
      <c r="M741">
        <f t="shared" ca="1" si="82"/>
        <v>0</v>
      </c>
      <c r="N741">
        <f t="shared" ca="1" si="83"/>
        <v>0</v>
      </c>
    </row>
    <row r="742" spans="6:14" x14ac:dyDescent="0.75">
      <c r="F742">
        <v>737</v>
      </c>
      <c r="G742">
        <f t="shared" ca="1" si="77"/>
        <v>0.73628726886368312</v>
      </c>
      <c r="H742">
        <f t="shared" ca="1" si="77"/>
        <v>0.35749009337375914</v>
      </c>
      <c r="I742">
        <f t="shared" ca="1" si="78"/>
        <v>0.73628726886368312</v>
      </c>
      <c r="J742">
        <f t="shared" ca="1" si="79"/>
        <v>0.78867292245681886</v>
      </c>
      <c r="K742">
        <f t="shared" ca="1" si="80"/>
        <v>21.395777192696286</v>
      </c>
      <c r="L742">
        <f t="shared" ca="1" si="81"/>
        <v>24.086475590711487</v>
      </c>
      <c r="M742">
        <f t="shared" ca="1" si="82"/>
        <v>0</v>
      </c>
      <c r="N742">
        <f t="shared" ca="1" si="83"/>
        <v>0</v>
      </c>
    </row>
    <row r="743" spans="6:14" x14ac:dyDescent="0.75">
      <c r="F743">
        <v>738</v>
      </c>
      <c r="G743">
        <f t="shared" ca="1" si="77"/>
        <v>-0.15990075998907363</v>
      </c>
      <c r="H743">
        <f t="shared" ca="1" si="77"/>
        <v>-0.57763413019657606</v>
      </c>
      <c r="I743">
        <f t="shared" ca="1" si="78"/>
        <v>-0.15990075998907363</v>
      </c>
      <c r="J743">
        <f t="shared" ca="1" si="79"/>
        <v>-0.50199463431261659</v>
      </c>
      <c r="K743">
        <f t="shared" ca="1" si="80"/>
        <v>17.101164624731403</v>
      </c>
      <c r="L743">
        <f t="shared" ca="1" si="81"/>
        <v>17.44378831826269</v>
      </c>
      <c r="M743">
        <f t="shared" ca="1" si="82"/>
        <v>0</v>
      </c>
      <c r="N743">
        <f t="shared" ca="1" si="83"/>
        <v>0</v>
      </c>
    </row>
    <row r="744" spans="6:14" x14ac:dyDescent="0.75">
      <c r="F744">
        <v>739</v>
      </c>
      <c r="G744">
        <f t="shared" ca="1" si="77"/>
        <v>0.13018181744465362</v>
      </c>
      <c r="H744">
        <f t="shared" ca="1" si="77"/>
        <v>-1.144489777131275</v>
      </c>
      <c r="I744">
        <f t="shared" ca="1" si="78"/>
        <v>0.13018181744465362</v>
      </c>
      <c r="J744">
        <f t="shared" ca="1" si="79"/>
        <v>-0.65937246900278279</v>
      </c>
      <c r="K744">
        <f t="shared" ca="1" si="80"/>
        <v>18.387428773026642</v>
      </c>
      <c r="L744">
        <f t="shared" ca="1" si="81"/>
        <v>16.770797943434452</v>
      </c>
      <c r="M744">
        <f t="shared" ca="1" si="82"/>
        <v>0</v>
      </c>
      <c r="N744">
        <f t="shared" ca="1" si="83"/>
        <v>0</v>
      </c>
    </row>
    <row r="745" spans="6:14" x14ac:dyDescent="0.75">
      <c r="F745">
        <v>740</v>
      </c>
      <c r="G745">
        <f t="shared" ca="1" si="77"/>
        <v>0.51143342152096161</v>
      </c>
      <c r="H745">
        <f t="shared" ca="1" si="77"/>
        <v>-1.4662070044711135</v>
      </c>
      <c r="I745">
        <f t="shared" ca="1" si="78"/>
        <v>0.51143342152096161</v>
      </c>
      <c r="J745">
        <f t="shared" ca="1" si="79"/>
        <v>-0.5862297099521625</v>
      </c>
      <c r="K745">
        <f t="shared" ca="1" si="80"/>
        <v>20.226226690160864</v>
      </c>
      <c r="L745">
        <f t="shared" ca="1" si="81"/>
        <v>17.080284515980079</v>
      </c>
      <c r="M745">
        <f t="shared" ca="1" si="82"/>
        <v>0</v>
      </c>
      <c r="N745">
        <f t="shared" ca="1" si="83"/>
        <v>0</v>
      </c>
    </row>
    <row r="746" spans="6:14" x14ac:dyDescent="0.75">
      <c r="F746">
        <v>741</v>
      </c>
      <c r="G746">
        <f t="shared" ca="1" si="77"/>
        <v>0.46368712297346576</v>
      </c>
      <c r="H746">
        <f t="shared" ca="1" si="77"/>
        <v>0.13066869429052672</v>
      </c>
      <c r="I746">
        <f t="shared" ca="1" si="78"/>
        <v>0.46368712297346576</v>
      </c>
      <c r="J746">
        <f t="shared" ca="1" si="79"/>
        <v>0.43419455953866415</v>
      </c>
      <c r="K746">
        <f t="shared" ca="1" si="80"/>
        <v>19.986230044179795</v>
      </c>
      <c r="L746">
        <f t="shared" ca="1" si="81"/>
        <v>22.043789644318746</v>
      </c>
      <c r="M746">
        <f t="shared" ca="1" si="82"/>
        <v>0</v>
      </c>
      <c r="N746">
        <f t="shared" ca="1" si="83"/>
        <v>0</v>
      </c>
    </row>
    <row r="747" spans="6:14" x14ac:dyDescent="0.75">
      <c r="F747">
        <v>742</v>
      </c>
      <c r="G747">
        <f t="shared" ca="1" si="77"/>
        <v>-0.35272272997034226</v>
      </c>
      <c r="H747">
        <f t="shared" ca="1" si="77"/>
        <v>1.4514268039966338</v>
      </c>
      <c r="I747">
        <f t="shared" ca="1" si="78"/>
        <v>-0.35272272997034226</v>
      </c>
      <c r="J747">
        <f t="shared" ca="1" si="79"/>
        <v>0.69548654491933903</v>
      </c>
      <c r="K747">
        <f t="shared" ca="1" si="80"/>
        <v>16.296348680753255</v>
      </c>
      <c r="L747">
        <f t="shared" ca="1" si="81"/>
        <v>23.531828517801809</v>
      </c>
      <c r="M747">
        <f t="shared" ca="1" si="82"/>
        <v>0</v>
      </c>
      <c r="N747">
        <f t="shared" ca="1" si="83"/>
        <v>0</v>
      </c>
    </row>
    <row r="748" spans="6:14" x14ac:dyDescent="0.75">
      <c r="F748">
        <v>743</v>
      </c>
      <c r="G748">
        <f t="shared" ca="1" si="77"/>
        <v>-1.1058607245501135</v>
      </c>
      <c r="H748">
        <f t="shared" ca="1" si="77"/>
        <v>0.8815611992106781</v>
      </c>
      <c r="I748">
        <f t="shared" ca="1" si="78"/>
        <v>-1.1058607245501135</v>
      </c>
      <c r="J748">
        <f t="shared" ca="1" si="79"/>
        <v>-0.246297618763754</v>
      </c>
      <c r="K748">
        <f t="shared" ca="1" si="80"/>
        <v>13.499553040141578</v>
      </c>
      <c r="L748">
        <f t="shared" ca="1" si="81"/>
        <v>18.595281558064126</v>
      </c>
      <c r="M748">
        <f t="shared" ca="1" si="82"/>
        <v>0</v>
      </c>
      <c r="N748">
        <f t="shared" ca="1" si="83"/>
        <v>0</v>
      </c>
    </row>
    <row r="749" spans="6:14" x14ac:dyDescent="0.75">
      <c r="F749">
        <v>744</v>
      </c>
      <c r="G749">
        <f t="shared" ca="1" si="77"/>
        <v>0.84751446310917877</v>
      </c>
      <c r="H749">
        <f t="shared" ca="1" si="77"/>
        <v>-1.071798503930449</v>
      </c>
      <c r="I749">
        <f t="shared" ca="1" si="78"/>
        <v>0.84751446310917877</v>
      </c>
      <c r="J749">
        <f t="shared" ca="1" si="79"/>
        <v>-7.3292226910878999E-2</v>
      </c>
      <c r="K749">
        <f t="shared" ca="1" si="80"/>
        <v>21.999074266410584</v>
      </c>
      <c r="L749">
        <f t="shared" ca="1" si="81"/>
        <v>19.417198943988726</v>
      </c>
      <c r="M749">
        <f t="shared" ca="1" si="82"/>
        <v>0</v>
      </c>
      <c r="N749">
        <f t="shared" ca="1" si="83"/>
        <v>0</v>
      </c>
    </row>
    <row r="750" spans="6:14" x14ac:dyDescent="0.75">
      <c r="F750">
        <v>745</v>
      </c>
      <c r="G750">
        <f t="shared" ca="1" si="77"/>
        <v>0.53858450404686165</v>
      </c>
      <c r="H750">
        <f t="shared" ca="1" si="77"/>
        <v>1.5376020673440511</v>
      </c>
      <c r="I750">
        <f t="shared" ca="1" si="78"/>
        <v>0.53858450404686165</v>
      </c>
      <c r="J750">
        <f t="shared" ca="1" si="79"/>
        <v>1.4209665494279333</v>
      </c>
      <c r="K750">
        <f t="shared" ca="1" si="80"/>
        <v>20.363984683585446</v>
      </c>
      <c r="L750">
        <f t="shared" ca="1" si="81"/>
        <v>28.211336787828522</v>
      </c>
      <c r="M750">
        <f t="shared" ca="1" si="82"/>
        <v>0</v>
      </c>
      <c r="N750">
        <f t="shared" ca="1" si="83"/>
        <v>0</v>
      </c>
    </row>
    <row r="751" spans="6:14" x14ac:dyDescent="0.75">
      <c r="F751">
        <v>746</v>
      </c>
      <c r="G751">
        <f t="shared" ca="1" si="77"/>
        <v>0.35793119751390778</v>
      </c>
      <c r="H751">
        <f t="shared" ca="1" si="77"/>
        <v>1.6380904549006503</v>
      </c>
      <c r="I751">
        <f t="shared" ca="1" si="78"/>
        <v>0.35793119751390778</v>
      </c>
      <c r="J751">
        <f t="shared" ca="1" si="79"/>
        <v>1.3519433903093776</v>
      </c>
      <c r="K751">
        <f t="shared" ca="1" si="80"/>
        <v>19.464738707724681</v>
      </c>
      <c r="L751">
        <f t="shared" ca="1" si="81"/>
        <v>27.72870397178362</v>
      </c>
      <c r="M751">
        <f t="shared" ca="1" si="82"/>
        <v>0</v>
      </c>
      <c r="N751">
        <f t="shared" ca="1" si="83"/>
        <v>0</v>
      </c>
    </row>
    <row r="752" spans="6:14" x14ac:dyDescent="0.75">
      <c r="F752">
        <v>747</v>
      </c>
      <c r="G752">
        <f t="shared" ca="1" si="77"/>
        <v>-0.1439026829660543</v>
      </c>
      <c r="H752">
        <f t="shared" ca="1" si="77"/>
        <v>1.0912697107190072</v>
      </c>
      <c r="I752">
        <f t="shared" ca="1" si="78"/>
        <v>-0.1439026829660543</v>
      </c>
      <c r="J752">
        <f t="shared" ca="1" si="79"/>
        <v>0.61388005474043184</v>
      </c>
      <c r="K752">
        <f t="shared" ca="1" si="80"/>
        <v>17.169698020906807</v>
      </c>
      <c r="L752">
        <f t="shared" ca="1" si="81"/>
        <v>23.056605181413801</v>
      </c>
      <c r="M752">
        <f t="shared" ca="1" si="82"/>
        <v>0</v>
      </c>
      <c r="N752">
        <f t="shared" ca="1" si="83"/>
        <v>0</v>
      </c>
    </row>
    <row r="753" spans="6:14" x14ac:dyDescent="0.75">
      <c r="F753">
        <v>748</v>
      </c>
      <c r="G753">
        <f t="shared" ca="1" si="77"/>
        <v>-0.45565873849102739</v>
      </c>
      <c r="H753">
        <f t="shared" ca="1" si="77"/>
        <v>-0.26332745991791762</v>
      </c>
      <c r="I753">
        <f t="shared" ca="1" si="78"/>
        <v>-0.45565873849102739</v>
      </c>
      <c r="J753">
        <f t="shared" ca="1" si="79"/>
        <v>-0.51591879694755527</v>
      </c>
      <c r="K753">
        <f t="shared" ca="1" si="80"/>
        <v>15.882328455868125</v>
      </c>
      <c r="L753">
        <f t="shared" ca="1" si="81"/>
        <v>17.383171348164442</v>
      </c>
      <c r="M753">
        <f t="shared" ca="1" si="82"/>
        <v>0</v>
      </c>
      <c r="N753">
        <f t="shared" ca="1" si="83"/>
        <v>0</v>
      </c>
    </row>
    <row r="754" spans="6:14" x14ac:dyDescent="0.75">
      <c r="F754">
        <v>749</v>
      </c>
      <c r="G754">
        <f t="shared" ca="1" si="77"/>
        <v>1.5776585286259879</v>
      </c>
      <c r="H754">
        <f t="shared" ca="1" si="77"/>
        <v>-0.41037390166929288</v>
      </c>
      <c r="I754">
        <f t="shared" ca="1" si="78"/>
        <v>1.5776585286259879</v>
      </c>
      <c r="J754">
        <f t="shared" ca="1" si="79"/>
        <v>0.91180707437743513</v>
      </c>
      <c r="K754">
        <f t="shared" ca="1" si="80"/>
        <v>26.404551221628623</v>
      </c>
      <c r="L754">
        <f t="shared" ca="1" si="81"/>
        <v>24.839473027053366</v>
      </c>
      <c r="M754">
        <f t="shared" ca="1" si="82"/>
        <v>0</v>
      </c>
      <c r="N754">
        <f t="shared" ca="1" si="83"/>
        <v>0</v>
      </c>
    </row>
    <row r="755" spans="6:14" x14ac:dyDescent="0.75">
      <c r="F755">
        <v>750</v>
      </c>
      <c r="G755">
        <f t="shared" ca="1" si="77"/>
        <v>1.1899987202555395</v>
      </c>
      <c r="H755">
        <f t="shared" ca="1" si="77"/>
        <v>-0.92365765182574522</v>
      </c>
      <c r="I755">
        <f t="shared" ca="1" si="78"/>
        <v>1.1899987202555395</v>
      </c>
      <c r="J755">
        <f t="shared" ca="1" si="79"/>
        <v>0.28155692936845289</v>
      </c>
      <c r="K755">
        <f t="shared" ca="1" si="80"/>
        <v>23.965647191914506</v>
      </c>
      <c r="L755">
        <f t="shared" ca="1" si="81"/>
        <v>21.218458904875327</v>
      </c>
      <c r="M755">
        <f t="shared" ca="1" si="82"/>
        <v>0</v>
      </c>
      <c r="N755">
        <f t="shared" ca="1" si="83"/>
        <v>0</v>
      </c>
    </row>
    <row r="756" spans="6:14" x14ac:dyDescent="0.75">
      <c r="F756">
        <v>751</v>
      </c>
      <c r="G756">
        <f t="shared" ca="1" si="77"/>
        <v>0.12756035934080806</v>
      </c>
      <c r="H756">
        <f t="shared" ca="1" si="77"/>
        <v>-0.75341020826666583</v>
      </c>
      <c r="I756">
        <f t="shared" ca="1" si="78"/>
        <v>0.12756035934080806</v>
      </c>
      <c r="J756">
        <f t="shared" ca="1" si="79"/>
        <v>-0.40266374206713834</v>
      </c>
      <c r="K756">
        <f t="shared" ca="1" si="80"/>
        <v>18.375382252347482</v>
      </c>
      <c r="L756">
        <f t="shared" ca="1" si="81"/>
        <v>17.882388360559137</v>
      </c>
      <c r="M756">
        <f t="shared" ca="1" si="82"/>
        <v>0</v>
      </c>
      <c r="N756">
        <f t="shared" ca="1" si="83"/>
        <v>0</v>
      </c>
    </row>
    <row r="757" spans="6:14" x14ac:dyDescent="0.75">
      <c r="F757">
        <v>752</v>
      </c>
      <c r="G757">
        <f t="shared" ca="1" si="77"/>
        <v>-1.1536262458528959</v>
      </c>
      <c r="H757">
        <f t="shared" ca="1" si="77"/>
        <v>-1.3315786640150067</v>
      </c>
      <c r="I757">
        <f t="shared" ca="1" si="78"/>
        <v>-1.1536262458528959</v>
      </c>
      <c r="J757">
        <f t="shared" ca="1" si="79"/>
        <v>-1.745976183415507</v>
      </c>
      <c r="K757">
        <f t="shared" ca="1" si="80"/>
        <v>13.339308418239833</v>
      </c>
      <c r="L757">
        <f t="shared" ca="1" si="81"/>
        <v>12.781364705293738</v>
      </c>
      <c r="M757">
        <f t="shared" ca="1" si="82"/>
        <v>0</v>
      </c>
      <c r="N757">
        <f t="shared" ca="1" si="83"/>
        <v>0</v>
      </c>
    </row>
    <row r="758" spans="6:14" x14ac:dyDescent="0.75">
      <c r="F758">
        <v>753</v>
      </c>
      <c r="G758">
        <f t="shared" ca="1" si="77"/>
        <v>0.23228904198078218</v>
      </c>
      <c r="H758">
        <f t="shared" ca="1" si="77"/>
        <v>4.2678614608241253E-2</v>
      </c>
      <c r="I758">
        <f t="shared" ca="1" si="78"/>
        <v>0.23228904198078218</v>
      </c>
      <c r="J758">
        <f t="shared" ca="1" si="79"/>
        <v>0.2024460316241303</v>
      </c>
      <c r="K758">
        <f t="shared" ca="1" si="80"/>
        <v>18.862843193056644</v>
      </c>
      <c r="L758">
        <f t="shared" ca="1" si="81"/>
        <v>20.802928737027791</v>
      </c>
      <c r="M758">
        <f t="shared" ca="1" si="82"/>
        <v>0</v>
      </c>
      <c r="N758">
        <f t="shared" ca="1" si="83"/>
        <v>0</v>
      </c>
    </row>
    <row r="759" spans="6:14" x14ac:dyDescent="0.75">
      <c r="F759">
        <v>754</v>
      </c>
      <c r="G759">
        <f t="shared" ca="1" si="77"/>
        <v>-1.3465304247573708</v>
      </c>
      <c r="H759">
        <f t="shared" ca="1" si="77"/>
        <v>0.29055077485904135</v>
      </c>
      <c r="I759">
        <f t="shared" ca="1" si="78"/>
        <v>-1.3465304247573708</v>
      </c>
      <c r="J759">
        <f t="shared" ca="1" si="79"/>
        <v>-0.81771654518949277</v>
      </c>
      <c r="K759">
        <f t="shared" ca="1" si="80"/>
        <v>12.711271908921068</v>
      </c>
      <c r="L759">
        <f t="shared" ca="1" si="81"/>
        <v>16.119877491337068</v>
      </c>
      <c r="M759">
        <f t="shared" ca="1" si="82"/>
        <v>0</v>
      </c>
      <c r="N759">
        <f t="shared" ca="1" si="83"/>
        <v>0</v>
      </c>
    </row>
    <row r="760" spans="6:14" x14ac:dyDescent="0.75">
      <c r="F760">
        <v>755</v>
      </c>
      <c r="G760">
        <f t="shared" ca="1" si="77"/>
        <v>1.5364978442845296</v>
      </c>
      <c r="H760">
        <f t="shared" ca="1" si="77"/>
        <v>1.0172731467695804</v>
      </c>
      <c r="I760">
        <f t="shared" ca="1" si="78"/>
        <v>1.5364978442845296</v>
      </c>
      <c r="J760">
        <f t="shared" ca="1" si="79"/>
        <v>1.825236323657502</v>
      </c>
      <c r="K760">
        <f t="shared" ca="1" si="80"/>
        <v>26.134237046917608</v>
      </c>
      <c r="L760">
        <f t="shared" ca="1" si="81"/>
        <v>31.211647874877041</v>
      </c>
      <c r="M760">
        <f t="shared" ca="1" si="82"/>
        <v>0</v>
      </c>
      <c r="N760">
        <f t="shared" ca="1" si="83"/>
        <v>0</v>
      </c>
    </row>
    <row r="761" spans="6:14" x14ac:dyDescent="0.75">
      <c r="F761">
        <v>756</v>
      </c>
      <c r="G761">
        <f t="shared" ca="1" si="77"/>
        <v>2.0507465429378153</v>
      </c>
      <c r="H761">
        <f t="shared" ca="1" si="77"/>
        <v>1.5175220340137936</v>
      </c>
      <c r="I761">
        <f t="shared" ca="1" si="78"/>
        <v>2.0507465429378153</v>
      </c>
      <c r="J761">
        <f t="shared" ca="1" si="79"/>
        <v>2.5418063849687114</v>
      </c>
      <c r="K761">
        <f t="shared" ca="1" si="80"/>
        <v>29.719648526851412</v>
      </c>
      <c r="L761">
        <f t="shared" ca="1" si="81"/>
        <v>37.335098762723618</v>
      </c>
      <c r="M761">
        <f t="shared" ca="1" si="82"/>
        <v>0</v>
      </c>
      <c r="N761">
        <f t="shared" ca="1" si="83"/>
        <v>0</v>
      </c>
    </row>
    <row r="762" spans="6:14" x14ac:dyDescent="0.75">
      <c r="F762">
        <v>757</v>
      </c>
      <c r="G762">
        <f t="shared" ca="1" si="77"/>
        <v>2.7788838364583279</v>
      </c>
      <c r="H762">
        <f t="shared" ca="1" si="77"/>
        <v>-0.10279490027474658</v>
      </c>
      <c r="I762">
        <f t="shared" ca="1" si="78"/>
        <v>2.7788838364583279</v>
      </c>
      <c r="J762">
        <f t="shared" ca="1" si="79"/>
        <v>2.0161704418005799</v>
      </c>
      <c r="K762">
        <f t="shared" ca="1" si="80"/>
        <v>35.653335931932638</v>
      </c>
      <c r="L762">
        <f t="shared" ca="1" si="81"/>
        <v>32.737620283371356</v>
      </c>
      <c r="M762">
        <f t="shared" ca="1" si="82"/>
        <v>0</v>
      </c>
      <c r="N762">
        <f t="shared" ca="1" si="83"/>
        <v>0</v>
      </c>
    </row>
    <row r="763" spans="6:14" x14ac:dyDescent="0.75">
      <c r="F763">
        <v>758</v>
      </c>
      <c r="G763">
        <f t="shared" ca="1" si="77"/>
        <v>1.3058767893163328</v>
      </c>
      <c r="H763">
        <f t="shared" ca="1" si="77"/>
        <v>-0.99589690697191147</v>
      </c>
      <c r="I763">
        <f t="shared" ca="1" si="78"/>
        <v>1.3058767893163328</v>
      </c>
      <c r="J763">
        <f t="shared" ca="1" si="79"/>
        <v>0.3206837051607232</v>
      </c>
      <c r="K763">
        <f t="shared" ca="1" si="80"/>
        <v>24.6700746190667</v>
      </c>
      <c r="L763">
        <f t="shared" ca="1" si="81"/>
        <v>21.427029801240494</v>
      </c>
      <c r="M763">
        <f t="shared" ca="1" si="82"/>
        <v>0</v>
      </c>
      <c r="N763">
        <f t="shared" ca="1" si="83"/>
        <v>0</v>
      </c>
    </row>
    <row r="764" spans="6:14" x14ac:dyDescent="0.75">
      <c r="F764">
        <v>759</v>
      </c>
      <c r="G764">
        <f t="shared" ca="1" si="77"/>
        <v>-0.43443147235064533</v>
      </c>
      <c r="H764">
        <f t="shared" ca="1" si="77"/>
        <v>-1.0921122344252732</v>
      </c>
      <c r="I764">
        <f t="shared" ca="1" si="78"/>
        <v>-0.43443147235064533</v>
      </c>
      <c r="J764">
        <f t="shared" ca="1" si="79"/>
        <v>-1.0481879482780705</v>
      </c>
      <c r="K764">
        <f t="shared" ca="1" si="80"/>
        <v>15.96683709673016</v>
      </c>
      <c r="L764">
        <f t="shared" ca="1" si="81"/>
        <v>15.217335729473538</v>
      </c>
      <c r="M764">
        <f t="shared" ca="1" si="82"/>
        <v>0</v>
      </c>
      <c r="N764">
        <f t="shared" ca="1" si="83"/>
        <v>0</v>
      </c>
    </row>
    <row r="765" spans="6:14" x14ac:dyDescent="0.75">
      <c r="F765">
        <v>760</v>
      </c>
      <c r="G765">
        <f t="shared" ca="1" si="77"/>
        <v>-0.34136941969536116</v>
      </c>
      <c r="H765">
        <f t="shared" ca="1" si="77"/>
        <v>-0.50869729201908842</v>
      </c>
      <c r="I765">
        <f t="shared" ca="1" si="78"/>
        <v>-0.34136941969536116</v>
      </c>
      <c r="J765">
        <f t="shared" ca="1" si="79"/>
        <v>-0.59249869659514842</v>
      </c>
      <c r="K765">
        <f t="shared" ca="1" si="80"/>
        <v>16.342668761167726</v>
      </c>
      <c r="L765">
        <f t="shared" ca="1" si="81"/>
        <v>17.053536462981199</v>
      </c>
      <c r="M765">
        <f t="shared" ca="1" si="82"/>
        <v>0</v>
      </c>
      <c r="N765">
        <f t="shared" ca="1" si="83"/>
        <v>0</v>
      </c>
    </row>
    <row r="766" spans="6:14" x14ac:dyDescent="0.75">
      <c r="F766">
        <v>761</v>
      </c>
      <c r="G766">
        <f t="shared" ca="1" si="77"/>
        <v>0.39470608107366978</v>
      </c>
      <c r="H766">
        <f t="shared" ca="1" si="77"/>
        <v>1.2888661666351093</v>
      </c>
      <c r="I766">
        <f t="shared" ca="1" si="78"/>
        <v>0.39470608107366978</v>
      </c>
      <c r="J766">
        <f t="shared" ca="1" si="79"/>
        <v>1.1485343983456606</v>
      </c>
      <c r="K766">
        <f t="shared" ca="1" si="80"/>
        <v>19.644517233085441</v>
      </c>
      <c r="L766">
        <f t="shared" ca="1" si="81"/>
        <v>26.353889498366794</v>
      </c>
      <c r="M766">
        <f t="shared" ca="1" si="82"/>
        <v>0</v>
      </c>
      <c r="N766">
        <f t="shared" ca="1" si="83"/>
        <v>0</v>
      </c>
    </row>
    <row r="767" spans="6:14" x14ac:dyDescent="0.75">
      <c r="F767">
        <v>762</v>
      </c>
      <c r="G767">
        <f t="shared" ca="1" si="77"/>
        <v>0.35493098188658667</v>
      </c>
      <c r="H767">
        <f t="shared" ca="1" si="77"/>
        <v>-0.4777372748696731</v>
      </c>
      <c r="I767">
        <f t="shared" ca="1" si="78"/>
        <v>0.35493098188658667</v>
      </c>
      <c r="J767">
        <f t="shared" ca="1" si="79"/>
        <v>-4.9795268917775581E-2</v>
      </c>
      <c r="K767">
        <f t="shared" ca="1" si="80"/>
        <v>19.45014457828762</v>
      </c>
      <c r="L767">
        <f t="shared" ca="1" si="81"/>
        <v>19.531595889544615</v>
      </c>
      <c r="M767">
        <f t="shared" ca="1" si="82"/>
        <v>0</v>
      </c>
      <c r="N767">
        <f t="shared" ca="1" si="83"/>
        <v>0</v>
      </c>
    </row>
    <row r="768" spans="6:14" x14ac:dyDescent="0.75">
      <c r="F768">
        <v>763</v>
      </c>
      <c r="G768">
        <f t="shared" ca="1" si="77"/>
        <v>-0.18285447763327123</v>
      </c>
      <c r="H768">
        <f t="shared" ca="1" si="77"/>
        <v>0.46479013548749859</v>
      </c>
      <c r="I768">
        <f t="shared" ca="1" si="78"/>
        <v>-0.18285447763327123</v>
      </c>
      <c r="J768">
        <f t="shared" ca="1" si="79"/>
        <v>0.17028891935903112</v>
      </c>
      <c r="K768">
        <f t="shared" ca="1" si="80"/>
        <v>17.003311827890066</v>
      </c>
      <c r="L768">
        <f t="shared" ca="1" si="81"/>
        <v>20.636358657030843</v>
      </c>
      <c r="M768">
        <f t="shared" ca="1" si="82"/>
        <v>0</v>
      </c>
      <c r="N768">
        <f t="shared" ca="1" si="83"/>
        <v>0</v>
      </c>
    </row>
    <row r="769" spans="6:14" x14ac:dyDescent="0.75">
      <c r="F769">
        <v>764</v>
      </c>
      <c r="G769">
        <f t="shared" ca="1" si="77"/>
        <v>-0.81458335571520935</v>
      </c>
      <c r="H769">
        <f t="shared" ca="1" si="77"/>
        <v>-0.40674319074744608</v>
      </c>
      <c r="I769">
        <f t="shared" ca="1" si="78"/>
        <v>-0.81458335571520935</v>
      </c>
      <c r="J769">
        <f t="shared" ca="1" si="79"/>
        <v>-0.87997284933306963</v>
      </c>
      <c r="K769">
        <f t="shared" ca="1" si="80"/>
        <v>14.519258185916705</v>
      </c>
      <c r="L769">
        <f t="shared" ca="1" si="81"/>
        <v>15.870928845630644</v>
      </c>
      <c r="M769">
        <f t="shared" ca="1" si="82"/>
        <v>0</v>
      </c>
      <c r="N769">
        <f t="shared" ca="1" si="83"/>
        <v>0</v>
      </c>
    </row>
    <row r="770" spans="6:14" x14ac:dyDescent="0.75">
      <c r="F770">
        <v>765</v>
      </c>
      <c r="G770">
        <f t="shared" ca="1" si="77"/>
        <v>-0.13986569221245618</v>
      </c>
      <c r="H770">
        <f t="shared" ca="1" si="77"/>
        <v>0.46287776837102607</v>
      </c>
      <c r="I770">
        <f t="shared" ca="1" si="78"/>
        <v>-0.13986569221245618</v>
      </c>
      <c r="J770">
        <f t="shared" ca="1" si="79"/>
        <v>0.20126559647323142</v>
      </c>
      <c r="K770">
        <f t="shared" ca="1" si="80"/>
        <v>17.187035246250613</v>
      </c>
      <c r="L770">
        <f t="shared" ca="1" si="81"/>
        <v>20.796790515713155</v>
      </c>
      <c r="M770">
        <f t="shared" ca="1" si="82"/>
        <v>0</v>
      </c>
      <c r="N770">
        <f t="shared" ca="1" si="83"/>
        <v>0</v>
      </c>
    </row>
    <row r="771" spans="6:14" x14ac:dyDescent="0.75">
      <c r="F771">
        <v>766</v>
      </c>
      <c r="G771">
        <f t="shared" ca="1" si="77"/>
        <v>0.4961101591592969</v>
      </c>
      <c r="H771">
        <f t="shared" ca="1" si="77"/>
        <v>-0.93053317419417747</v>
      </c>
      <c r="I771">
        <f t="shared" ca="1" si="78"/>
        <v>0.4961101591592969</v>
      </c>
      <c r="J771">
        <f t="shared" ca="1" si="79"/>
        <v>-0.24340722203386239</v>
      </c>
      <c r="K771">
        <f t="shared" ca="1" si="80"/>
        <v>20.148891967725952</v>
      </c>
      <c r="L771">
        <f t="shared" ca="1" si="81"/>
        <v>18.60872334924461</v>
      </c>
      <c r="M771">
        <f t="shared" ca="1" si="82"/>
        <v>0</v>
      </c>
      <c r="N771">
        <f t="shared" ca="1" si="83"/>
        <v>0</v>
      </c>
    </row>
    <row r="772" spans="6:14" x14ac:dyDescent="0.75">
      <c r="F772">
        <v>767</v>
      </c>
      <c r="G772">
        <f t="shared" ca="1" si="77"/>
        <v>1.5889758454567566</v>
      </c>
      <c r="H772">
        <f t="shared" ca="1" si="77"/>
        <v>1.3564865304917122</v>
      </c>
      <c r="I772">
        <f t="shared" ca="1" si="78"/>
        <v>1.5889758454567566</v>
      </c>
      <c r="J772">
        <f t="shared" ca="1" si="79"/>
        <v>2.0889633882150438</v>
      </c>
      <c r="K772">
        <f t="shared" ca="1" si="80"/>
        <v>26.479364174945836</v>
      </c>
      <c r="L772">
        <f t="shared" ca="1" si="81"/>
        <v>33.338841231262982</v>
      </c>
      <c r="M772">
        <f t="shared" ca="1" si="82"/>
        <v>0</v>
      </c>
      <c r="N772">
        <f t="shared" ca="1" si="83"/>
        <v>0</v>
      </c>
    </row>
    <row r="773" spans="6:14" x14ac:dyDescent="0.75">
      <c r="F773">
        <v>768</v>
      </c>
      <c r="G773">
        <f t="shared" ca="1" si="77"/>
        <v>0.25308243896237048</v>
      </c>
      <c r="H773">
        <f t="shared" ca="1" si="77"/>
        <v>1.001412686536908</v>
      </c>
      <c r="I773">
        <f t="shared" ca="1" si="78"/>
        <v>0.25308243896237048</v>
      </c>
      <c r="J773">
        <f t="shared" ca="1" si="79"/>
        <v>0.85218406130221247</v>
      </c>
      <c r="K773">
        <f t="shared" ca="1" si="80"/>
        <v>18.961154145681888</v>
      </c>
      <c r="L773">
        <f t="shared" ca="1" si="81"/>
        <v>24.471967746682459</v>
      </c>
      <c r="M773">
        <f t="shared" ca="1" si="82"/>
        <v>0</v>
      </c>
      <c r="N773">
        <f t="shared" ca="1" si="83"/>
        <v>0</v>
      </c>
    </row>
    <row r="774" spans="6:14" x14ac:dyDescent="0.75">
      <c r="F774">
        <v>769</v>
      </c>
      <c r="G774">
        <f t="shared" ca="1" si="77"/>
        <v>5.5305348305451009E-2</v>
      </c>
      <c r="H774">
        <f t="shared" ca="1" si="77"/>
        <v>0.99154541802140006</v>
      </c>
      <c r="I774">
        <f t="shared" ca="1" si="78"/>
        <v>5.5305348305451009E-2</v>
      </c>
      <c r="J774">
        <f t="shared" ca="1" si="79"/>
        <v>0.69732465865663995</v>
      </c>
      <c r="K774">
        <f t="shared" ca="1" si="80"/>
        <v>18.046433856323578</v>
      </c>
      <c r="L774">
        <f t="shared" ca="1" si="81"/>
        <v>23.542644547063567</v>
      </c>
      <c r="M774">
        <f t="shared" ca="1" si="82"/>
        <v>0</v>
      </c>
      <c r="N774">
        <f t="shared" ca="1" si="83"/>
        <v>0</v>
      </c>
    </row>
    <row r="775" spans="6:14" x14ac:dyDescent="0.75">
      <c r="F775">
        <v>770</v>
      </c>
      <c r="G775">
        <f t="shared" ref="G775:H838" ca="1" si="84">NORMSINV(RAND())</f>
        <v>-0.96000071112839647</v>
      </c>
      <c r="H775">
        <f t="shared" ca="1" si="84"/>
        <v>-4.4320551898746237E-2</v>
      </c>
      <c r="I775">
        <f t="shared" ref="I775:I838" ca="1" si="85">G775</f>
        <v>-0.96000071112839647</v>
      </c>
      <c r="J775">
        <f t="shared" ref="J775:J838" ca="1" si="86">G775*$C$8+SQRT(1-$C$8^2)*H775</f>
        <v>-0.74931582291960086</v>
      </c>
      <c r="K775">
        <f t="shared" ref="K775:K838" ca="1" si="87">C$3*EXP(($C$5-0.5*C$4^2)*$C$6+C$4*SQRT($C$6)*I775)</f>
        <v>14.000899535880803</v>
      </c>
      <c r="L775">
        <f t="shared" ref="L775:L838" ca="1" si="88">D$3*EXP(($C$5-0.5*D$4^2)*$C$6+D$4*SQRT($C$6)*J775)</f>
        <v>16.397900655479351</v>
      </c>
      <c r="M775">
        <f t="shared" ref="M775:M838" ca="1" si="89">MAX(SQRT(K775*L775)-$C$7,0)</f>
        <v>0</v>
      </c>
      <c r="N775">
        <f t="shared" ref="N775:N838" ca="1" si="90">MAX((K775+L775)*0.5-$C$7,0)</f>
        <v>0</v>
      </c>
    </row>
    <row r="776" spans="6:14" x14ac:dyDescent="0.75">
      <c r="F776">
        <v>771</v>
      </c>
      <c r="G776">
        <f t="shared" ca="1" si="84"/>
        <v>-1.1792391979984245</v>
      </c>
      <c r="H776">
        <f t="shared" ca="1" si="84"/>
        <v>0.1176471296447915</v>
      </c>
      <c r="I776">
        <f t="shared" ca="1" si="85"/>
        <v>-1.1792391979984245</v>
      </c>
      <c r="J776">
        <f t="shared" ca="1" si="86"/>
        <v>-0.80661313662364509</v>
      </c>
      <c r="K776">
        <f t="shared" ca="1" si="87"/>
        <v>13.254166533984584</v>
      </c>
      <c r="L776">
        <f t="shared" ca="1" si="88"/>
        <v>16.164686049986091</v>
      </c>
      <c r="M776">
        <f t="shared" ca="1" si="89"/>
        <v>0</v>
      </c>
      <c r="N776">
        <f t="shared" ca="1" si="90"/>
        <v>0</v>
      </c>
    </row>
    <row r="777" spans="6:14" x14ac:dyDescent="0.75">
      <c r="F777">
        <v>772</v>
      </c>
      <c r="G777">
        <f t="shared" ca="1" si="84"/>
        <v>0.58457927899939977</v>
      </c>
      <c r="H777">
        <f t="shared" ca="1" si="84"/>
        <v>-0.56600057124686698</v>
      </c>
      <c r="I777">
        <f t="shared" ca="1" si="85"/>
        <v>0.58457927899939977</v>
      </c>
      <c r="J777">
        <f t="shared" ca="1" si="86"/>
        <v>6.4060270889623405E-2</v>
      </c>
      <c r="K777">
        <f t="shared" ca="1" si="87"/>
        <v>20.599495344301459</v>
      </c>
      <c r="L777">
        <f t="shared" ca="1" si="88"/>
        <v>20.095528774232182</v>
      </c>
      <c r="M777">
        <f t="shared" ca="1" si="89"/>
        <v>0</v>
      </c>
      <c r="N777">
        <f t="shared" ca="1" si="90"/>
        <v>0</v>
      </c>
    </row>
    <row r="778" spans="6:14" x14ac:dyDescent="0.75">
      <c r="F778">
        <v>773</v>
      </c>
      <c r="G778">
        <f t="shared" ca="1" si="84"/>
        <v>-0.19308251327592754</v>
      </c>
      <c r="H778">
        <f t="shared" ca="1" si="84"/>
        <v>0.74779667400747996</v>
      </c>
      <c r="I778">
        <f t="shared" ca="1" si="85"/>
        <v>-0.19308251327592754</v>
      </c>
      <c r="J778">
        <f t="shared" ca="1" si="86"/>
        <v>0.34980912270931197</v>
      </c>
      <c r="K778">
        <f t="shared" ca="1" si="87"/>
        <v>16.959889747018067</v>
      </c>
      <c r="L778">
        <f t="shared" ca="1" si="88"/>
        <v>21.583616990265902</v>
      </c>
      <c r="M778">
        <f t="shared" ca="1" si="89"/>
        <v>0</v>
      </c>
      <c r="N778">
        <f t="shared" ca="1" si="90"/>
        <v>0</v>
      </c>
    </row>
    <row r="779" spans="6:14" x14ac:dyDescent="0.75">
      <c r="F779">
        <v>774</v>
      </c>
      <c r="G779">
        <f t="shared" ca="1" si="84"/>
        <v>0.85773271064463452</v>
      </c>
      <c r="H779">
        <f t="shared" ca="1" si="84"/>
        <v>-0.21442246107328605</v>
      </c>
      <c r="I779">
        <f t="shared" ca="1" si="85"/>
        <v>0.85773271064463452</v>
      </c>
      <c r="J779">
        <f t="shared" ca="1" si="86"/>
        <v>0.50147240610689015</v>
      </c>
      <c r="K779">
        <f t="shared" ca="1" si="87"/>
        <v>22.055344104803623</v>
      </c>
      <c r="L779">
        <f t="shared" ca="1" si="88"/>
        <v>22.417689904751921</v>
      </c>
      <c r="M779">
        <f t="shared" ca="1" si="89"/>
        <v>0</v>
      </c>
      <c r="N779">
        <f t="shared" ca="1" si="90"/>
        <v>0</v>
      </c>
    </row>
    <row r="780" spans="6:14" x14ac:dyDescent="0.75">
      <c r="F780">
        <v>775</v>
      </c>
      <c r="G780">
        <f t="shared" ca="1" si="84"/>
        <v>-0.7326970059754534</v>
      </c>
      <c r="H780">
        <f t="shared" ca="1" si="84"/>
        <v>0.21365997339636728</v>
      </c>
      <c r="I780">
        <f t="shared" ca="1" si="85"/>
        <v>-0.7326970059754534</v>
      </c>
      <c r="J780">
        <f t="shared" ca="1" si="86"/>
        <v>-0.408199965797724</v>
      </c>
      <c r="K780">
        <f t="shared" ca="1" si="87"/>
        <v>14.819553725158697</v>
      </c>
      <c r="L780">
        <f t="shared" ca="1" si="88"/>
        <v>17.857655254807945</v>
      </c>
      <c r="M780">
        <f t="shared" ca="1" si="89"/>
        <v>0</v>
      </c>
      <c r="N780">
        <f t="shared" ca="1" si="90"/>
        <v>0</v>
      </c>
    </row>
    <row r="781" spans="6:14" x14ac:dyDescent="0.75">
      <c r="F781">
        <v>776</v>
      </c>
      <c r="G781">
        <f t="shared" ca="1" si="84"/>
        <v>5.6914617966379318E-2</v>
      </c>
      <c r="H781">
        <f t="shared" ca="1" si="84"/>
        <v>-0.5853558813490165</v>
      </c>
      <c r="I781">
        <f t="shared" ca="1" si="85"/>
        <v>5.6914617966379318E-2</v>
      </c>
      <c r="J781">
        <f t="shared" ca="1" si="86"/>
        <v>-0.34449055915484789</v>
      </c>
      <c r="K781">
        <f t="shared" ca="1" si="87"/>
        <v>18.05369571163429</v>
      </c>
      <c r="L781">
        <f t="shared" ca="1" si="88"/>
        <v>18.144357553177542</v>
      </c>
      <c r="M781">
        <f t="shared" ca="1" si="89"/>
        <v>0</v>
      </c>
      <c r="N781">
        <f t="shared" ca="1" si="90"/>
        <v>0</v>
      </c>
    </row>
    <row r="782" spans="6:14" x14ac:dyDescent="0.75">
      <c r="F782">
        <v>777</v>
      </c>
      <c r="G782">
        <f t="shared" ca="1" si="84"/>
        <v>1.8129830078642399</v>
      </c>
      <c r="H782">
        <f t="shared" ca="1" si="84"/>
        <v>0.25590202322026917</v>
      </c>
      <c r="I782">
        <f t="shared" ca="1" si="85"/>
        <v>1.8129830078642399</v>
      </c>
      <c r="J782">
        <f t="shared" ca="1" si="86"/>
        <v>1.5290005342579571</v>
      </c>
      <c r="K782">
        <f t="shared" ca="1" si="87"/>
        <v>28.004564363221363</v>
      </c>
      <c r="L782">
        <f t="shared" ca="1" si="88"/>
        <v>28.983665338921089</v>
      </c>
      <c r="M782">
        <f t="shared" ca="1" si="89"/>
        <v>0</v>
      </c>
      <c r="N782">
        <f t="shared" ca="1" si="90"/>
        <v>0</v>
      </c>
    </row>
    <row r="783" spans="6:14" x14ac:dyDescent="0.75">
      <c r="F783">
        <v>778</v>
      </c>
      <c r="G783">
        <f t="shared" ca="1" si="84"/>
        <v>0.86013512333691078</v>
      </c>
      <c r="H783">
        <f t="shared" ca="1" si="84"/>
        <v>-0.43323171748703854</v>
      </c>
      <c r="I783">
        <f t="shared" ca="1" si="85"/>
        <v>0.86013512333691078</v>
      </c>
      <c r="J783">
        <f t="shared" ca="1" si="86"/>
        <v>0.3585454963686589</v>
      </c>
      <c r="K783">
        <f t="shared" ca="1" si="87"/>
        <v>22.068594593200473</v>
      </c>
      <c r="L783">
        <f t="shared" ca="1" si="88"/>
        <v>21.6308091432781</v>
      </c>
      <c r="M783">
        <f t="shared" ca="1" si="89"/>
        <v>0</v>
      </c>
      <c r="N783">
        <f t="shared" ca="1" si="90"/>
        <v>0</v>
      </c>
    </row>
    <row r="784" spans="6:14" x14ac:dyDescent="0.75">
      <c r="F784">
        <v>779</v>
      </c>
      <c r="G784">
        <f t="shared" ca="1" si="84"/>
        <v>-0.95976037447032003</v>
      </c>
      <c r="H784">
        <f t="shared" ca="1" si="84"/>
        <v>-1.095943562052075</v>
      </c>
      <c r="I784">
        <f t="shared" ca="1" si="85"/>
        <v>-0.95976037447032003</v>
      </c>
      <c r="J784">
        <f t="shared" ca="1" si="86"/>
        <v>-1.4447188098907588</v>
      </c>
      <c r="K784">
        <f t="shared" ca="1" si="87"/>
        <v>14.00174079350481</v>
      </c>
      <c r="L784">
        <f t="shared" ca="1" si="88"/>
        <v>13.781161778703446</v>
      </c>
      <c r="M784">
        <f t="shared" ca="1" si="89"/>
        <v>0</v>
      </c>
      <c r="N784">
        <f t="shared" ca="1" si="90"/>
        <v>0</v>
      </c>
    </row>
    <row r="785" spans="6:14" x14ac:dyDescent="0.75">
      <c r="F785">
        <v>780</v>
      </c>
      <c r="G785">
        <f t="shared" ca="1" si="84"/>
        <v>-9.2796646866026553E-2</v>
      </c>
      <c r="H785">
        <f t="shared" ca="1" si="84"/>
        <v>1.4478538477137917</v>
      </c>
      <c r="I785">
        <f t="shared" ca="1" si="85"/>
        <v>-9.2796646866026553E-2</v>
      </c>
      <c r="J785">
        <f t="shared" ca="1" si="86"/>
        <v>0.88806781880514918</v>
      </c>
      <c r="K785">
        <f t="shared" ca="1" si="87"/>
        <v>17.390474193741262</v>
      </c>
      <c r="L785">
        <f t="shared" ca="1" si="88"/>
        <v>24.692491961484677</v>
      </c>
      <c r="M785">
        <f t="shared" ca="1" si="89"/>
        <v>0</v>
      </c>
      <c r="N785">
        <f t="shared" ca="1" si="90"/>
        <v>0</v>
      </c>
    </row>
    <row r="786" spans="6:14" x14ac:dyDescent="0.75">
      <c r="F786">
        <v>781</v>
      </c>
      <c r="G786">
        <f t="shared" ca="1" si="84"/>
        <v>0.56398164114260252</v>
      </c>
      <c r="H786">
        <f t="shared" ca="1" si="84"/>
        <v>-0.41989598791569271</v>
      </c>
      <c r="I786">
        <f t="shared" ca="1" si="85"/>
        <v>0.56398164114260252</v>
      </c>
      <c r="J786">
        <f t="shared" ca="1" si="86"/>
        <v>0.14525114072227546</v>
      </c>
      <c r="K786">
        <f t="shared" ca="1" si="87"/>
        <v>20.493692752244264</v>
      </c>
      <c r="L786">
        <f t="shared" ca="1" si="88"/>
        <v>20.507589942806771</v>
      </c>
      <c r="M786">
        <f t="shared" ca="1" si="89"/>
        <v>0</v>
      </c>
      <c r="N786">
        <f t="shared" ca="1" si="90"/>
        <v>0</v>
      </c>
    </row>
    <row r="787" spans="6:14" x14ac:dyDescent="0.75">
      <c r="F787">
        <v>782</v>
      </c>
      <c r="G787">
        <f t="shared" ca="1" si="84"/>
        <v>-0.36097304790522927</v>
      </c>
      <c r="H787">
        <f t="shared" ca="1" si="84"/>
        <v>-0.87301370745203022</v>
      </c>
      <c r="I787">
        <f t="shared" ca="1" si="85"/>
        <v>-0.36097304790522927</v>
      </c>
      <c r="J787">
        <f t="shared" ca="1" si="86"/>
        <v>-0.84817407619606389</v>
      </c>
      <c r="K787">
        <f t="shared" ca="1" si="87"/>
        <v>16.262770806725804</v>
      </c>
      <c r="L787">
        <f t="shared" ca="1" si="88"/>
        <v>15.997600696156677</v>
      </c>
      <c r="M787">
        <f t="shared" ca="1" si="89"/>
        <v>0</v>
      </c>
      <c r="N787">
        <f t="shared" ca="1" si="90"/>
        <v>0</v>
      </c>
    </row>
    <row r="788" spans="6:14" x14ac:dyDescent="0.75">
      <c r="F788">
        <v>783</v>
      </c>
      <c r="G788">
        <f t="shared" ca="1" si="84"/>
        <v>-0.51726911212749949</v>
      </c>
      <c r="H788">
        <f t="shared" ca="1" si="84"/>
        <v>2.2232826106800843E-2</v>
      </c>
      <c r="I788">
        <f t="shared" ca="1" si="85"/>
        <v>-0.51726911212749949</v>
      </c>
      <c r="J788">
        <f t="shared" ca="1" si="86"/>
        <v>-0.37324620189043978</v>
      </c>
      <c r="K788">
        <f t="shared" ca="1" si="87"/>
        <v>15.639573733654055</v>
      </c>
      <c r="L788">
        <f t="shared" ca="1" si="88"/>
        <v>18.014387119972554</v>
      </c>
      <c r="M788">
        <f t="shared" ca="1" si="89"/>
        <v>0</v>
      </c>
      <c r="N788">
        <f t="shared" ca="1" si="90"/>
        <v>0</v>
      </c>
    </row>
    <row r="789" spans="6:14" x14ac:dyDescent="0.75">
      <c r="F789">
        <v>784</v>
      </c>
      <c r="G789">
        <f t="shared" ca="1" si="84"/>
        <v>1.2111339034132069</v>
      </c>
      <c r="H789">
        <f t="shared" ca="1" si="84"/>
        <v>0.42209534294033185</v>
      </c>
      <c r="I789">
        <f t="shared" ca="1" si="85"/>
        <v>1.2111339034132069</v>
      </c>
      <c r="J789">
        <f t="shared" ca="1" si="86"/>
        <v>1.1875402543045654</v>
      </c>
      <c r="K789">
        <f t="shared" ca="1" si="87"/>
        <v>24.092611910070843</v>
      </c>
      <c r="L789">
        <f t="shared" ca="1" si="88"/>
        <v>26.612135595151521</v>
      </c>
      <c r="M789">
        <f t="shared" ca="1" si="89"/>
        <v>0</v>
      </c>
      <c r="N789">
        <f t="shared" ca="1" si="90"/>
        <v>0</v>
      </c>
    </row>
    <row r="790" spans="6:14" x14ac:dyDescent="0.75">
      <c r="F790">
        <v>785</v>
      </c>
      <c r="G790">
        <f t="shared" ca="1" si="84"/>
        <v>-0.90959165763903937</v>
      </c>
      <c r="H790">
        <f t="shared" ca="1" si="84"/>
        <v>0.59133421371845318</v>
      </c>
      <c r="I790">
        <f t="shared" ca="1" si="85"/>
        <v>-0.90959165763903937</v>
      </c>
      <c r="J790">
        <f t="shared" ca="1" si="86"/>
        <v>-0.2910629254235429</v>
      </c>
      <c r="K790">
        <f t="shared" ca="1" si="87"/>
        <v>14.178459035118475</v>
      </c>
      <c r="L790">
        <f t="shared" ca="1" si="88"/>
        <v>18.38833584617181</v>
      </c>
      <c r="M790">
        <f t="shared" ca="1" si="89"/>
        <v>0</v>
      </c>
      <c r="N790">
        <f t="shared" ca="1" si="90"/>
        <v>0</v>
      </c>
    </row>
    <row r="791" spans="6:14" x14ac:dyDescent="0.75">
      <c r="F791">
        <v>786</v>
      </c>
      <c r="G791">
        <f t="shared" ca="1" si="84"/>
        <v>1.676700444770274</v>
      </c>
      <c r="H791">
        <f t="shared" ca="1" si="84"/>
        <v>0.2468692830900816</v>
      </c>
      <c r="I791">
        <f t="shared" ca="1" si="85"/>
        <v>1.676700444770274</v>
      </c>
      <c r="J791">
        <f t="shared" ca="1" si="86"/>
        <v>1.4208140159269953</v>
      </c>
      <c r="K791">
        <f t="shared" ca="1" si="87"/>
        <v>27.066501847116463</v>
      </c>
      <c r="L791">
        <f t="shared" ca="1" si="88"/>
        <v>28.210261014848484</v>
      </c>
      <c r="M791">
        <f t="shared" ca="1" si="89"/>
        <v>0</v>
      </c>
      <c r="N791">
        <f t="shared" ca="1" si="90"/>
        <v>0</v>
      </c>
    </row>
    <row r="792" spans="6:14" x14ac:dyDescent="0.75">
      <c r="F792">
        <v>787</v>
      </c>
      <c r="G792">
        <f t="shared" ca="1" si="84"/>
        <v>0.48359848720616005</v>
      </c>
      <c r="H792">
        <f t="shared" ca="1" si="84"/>
        <v>-0.31836198078669442</v>
      </c>
      <c r="I792">
        <f t="shared" ca="1" si="85"/>
        <v>0.48359848720616005</v>
      </c>
      <c r="J792">
        <f t="shared" ca="1" si="86"/>
        <v>0.15212220838974083</v>
      </c>
      <c r="K792">
        <f t="shared" ca="1" si="87"/>
        <v>20.085966350485819</v>
      </c>
      <c r="L792">
        <f t="shared" ca="1" si="88"/>
        <v>20.542847475797458</v>
      </c>
      <c r="M792">
        <f t="shared" ca="1" si="89"/>
        <v>0</v>
      </c>
      <c r="N792">
        <f t="shared" ca="1" si="90"/>
        <v>0</v>
      </c>
    </row>
    <row r="793" spans="6:14" x14ac:dyDescent="0.75">
      <c r="F793">
        <v>788</v>
      </c>
      <c r="G793">
        <f t="shared" ca="1" si="84"/>
        <v>-0.23250680132841414</v>
      </c>
      <c r="H793">
        <f t="shared" ca="1" si="84"/>
        <v>-0.46632556756105276</v>
      </c>
      <c r="I793">
        <f t="shared" ca="1" si="85"/>
        <v>-0.23250680132841414</v>
      </c>
      <c r="J793">
        <f t="shared" ca="1" si="86"/>
        <v>-0.48282547143570931</v>
      </c>
      <c r="K793">
        <f t="shared" ca="1" si="87"/>
        <v>16.79355291276962</v>
      </c>
      <c r="L793">
        <f t="shared" ca="1" si="88"/>
        <v>17.527584650949674</v>
      </c>
      <c r="M793">
        <f t="shared" ca="1" si="89"/>
        <v>0</v>
      </c>
      <c r="N793">
        <f t="shared" ca="1" si="90"/>
        <v>0</v>
      </c>
    </row>
    <row r="794" spans="6:14" x14ac:dyDescent="0.75">
      <c r="F794">
        <v>789</v>
      </c>
      <c r="G794">
        <f t="shared" ca="1" si="84"/>
        <v>1.9578453990487363</v>
      </c>
      <c r="H794">
        <f t="shared" ca="1" si="84"/>
        <v>-5.5738222380863463E-2</v>
      </c>
      <c r="I794">
        <f t="shared" ca="1" si="85"/>
        <v>1.9578453990487363</v>
      </c>
      <c r="J794">
        <f t="shared" ca="1" si="86"/>
        <v>1.4315166805514075</v>
      </c>
      <c r="K794">
        <f t="shared" ca="1" si="87"/>
        <v>29.037355090512964</v>
      </c>
      <c r="L794">
        <f t="shared" ca="1" si="88"/>
        <v>28.285843326925626</v>
      </c>
      <c r="M794">
        <f t="shared" ca="1" si="89"/>
        <v>0</v>
      </c>
      <c r="N794">
        <f t="shared" ca="1" si="90"/>
        <v>0</v>
      </c>
    </row>
    <row r="795" spans="6:14" x14ac:dyDescent="0.75">
      <c r="F795">
        <v>790</v>
      </c>
      <c r="G795">
        <f t="shared" ca="1" si="84"/>
        <v>-3.3430306756486381</v>
      </c>
      <c r="H795">
        <f t="shared" ca="1" si="84"/>
        <v>1.114261604652335</v>
      </c>
      <c r="I795">
        <f t="shared" ca="1" si="85"/>
        <v>-3.3430306756486381</v>
      </c>
      <c r="J795">
        <f t="shared" ca="1" si="86"/>
        <v>-1.7702582313920161</v>
      </c>
      <c r="K795">
        <f t="shared" ca="1" si="87"/>
        <v>7.7165246590816894</v>
      </c>
      <c r="L795">
        <f t="shared" ca="1" si="88"/>
        <v>12.704010305504314</v>
      </c>
      <c r="M795">
        <f t="shared" ca="1" si="89"/>
        <v>0</v>
      </c>
      <c r="N795">
        <f t="shared" ca="1" si="90"/>
        <v>0</v>
      </c>
    </row>
    <row r="796" spans="6:14" x14ac:dyDescent="0.75">
      <c r="F796">
        <v>791</v>
      </c>
      <c r="G796">
        <f t="shared" ca="1" si="84"/>
        <v>0.13753414018338858</v>
      </c>
      <c r="H796">
        <f t="shared" ca="1" si="84"/>
        <v>-0.58104059686368803</v>
      </c>
      <c r="I796">
        <f t="shared" ca="1" si="85"/>
        <v>0.13753414018338858</v>
      </c>
      <c r="J796">
        <f t="shared" ca="1" si="86"/>
        <v>-0.28117162509592231</v>
      </c>
      <c r="K796">
        <f t="shared" ca="1" si="87"/>
        <v>18.421257431072519</v>
      </c>
      <c r="L796">
        <f t="shared" ca="1" si="88"/>
        <v>18.433863251722407</v>
      </c>
      <c r="M796">
        <f t="shared" ca="1" si="89"/>
        <v>0</v>
      </c>
      <c r="N796">
        <f t="shared" ca="1" si="90"/>
        <v>0</v>
      </c>
    </row>
    <row r="797" spans="6:14" x14ac:dyDescent="0.75">
      <c r="F797">
        <v>792</v>
      </c>
      <c r="G797">
        <f t="shared" ca="1" si="84"/>
        <v>2.5012239458269176</v>
      </c>
      <c r="H797">
        <f t="shared" ca="1" si="84"/>
        <v>2.5100630238910813</v>
      </c>
      <c r="I797">
        <f t="shared" ca="1" si="85"/>
        <v>2.5012239458269176</v>
      </c>
      <c r="J797">
        <f t="shared" ca="1" si="86"/>
        <v>3.5361685934488332</v>
      </c>
      <c r="K797">
        <f t="shared" ca="1" si="87"/>
        <v>33.262403806621833</v>
      </c>
      <c r="L797">
        <f t="shared" ca="1" si="88"/>
        <v>47.871695514185106</v>
      </c>
      <c r="M797">
        <f t="shared" ca="1" si="89"/>
        <v>0</v>
      </c>
      <c r="N797">
        <f t="shared" ca="1" si="90"/>
        <v>0</v>
      </c>
    </row>
    <row r="798" spans="6:14" x14ac:dyDescent="0.75">
      <c r="F798">
        <v>793</v>
      </c>
      <c r="G798">
        <f t="shared" ca="1" si="84"/>
        <v>-0.30634799065562673</v>
      </c>
      <c r="H798">
        <f t="shared" ca="1" si="84"/>
        <v>1.7771431816615455</v>
      </c>
      <c r="I798">
        <f t="shared" ca="1" si="85"/>
        <v>-0.30634799065562673</v>
      </c>
      <c r="J798">
        <f t="shared" ca="1" si="86"/>
        <v>0.94570873271591294</v>
      </c>
      <c r="K798">
        <f t="shared" ca="1" si="87"/>
        <v>16.486382880935452</v>
      </c>
      <c r="L798">
        <f t="shared" ca="1" si="88"/>
        <v>25.050892527412415</v>
      </c>
      <c r="M798">
        <f t="shared" ca="1" si="89"/>
        <v>0</v>
      </c>
      <c r="N798">
        <f t="shared" ca="1" si="90"/>
        <v>0</v>
      </c>
    </row>
    <row r="799" spans="6:14" x14ac:dyDescent="0.75">
      <c r="F799">
        <v>794</v>
      </c>
      <c r="G799">
        <f t="shared" ca="1" si="84"/>
        <v>1.2612030201291253</v>
      </c>
      <c r="H799">
        <f t="shared" ca="1" si="84"/>
        <v>-0.9575931910038542</v>
      </c>
      <c r="I799">
        <f t="shared" ca="1" si="85"/>
        <v>1.2612030201291253</v>
      </c>
      <c r="J799">
        <f t="shared" ca="1" si="86"/>
        <v>0.31251390495560094</v>
      </c>
      <c r="K799">
        <f t="shared" ca="1" si="87"/>
        <v>24.396081202080527</v>
      </c>
      <c r="L799">
        <f t="shared" ca="1" si="88"/>
        <v>21.38331082523473</v>
      </c>
      <c r="M799">
        <f t="shared" ca="1" si="89"/>
        <v>0</v>
      </c>
      <c r="N799">
        <f t="shared" ca="1" si="90"/>
        <v>0</v>
      </c>
    </row>
    <row r="800" spans="6:14" x14ac:dyDescent="0.75">
      <c r="F800">
        <v>795</v>
      </c>
      <c r="G800">
        <f t="shared" ca="1" si="84"/>
        <v>-1.4371888661996461</v>
      </c>
      <c r="H800">
        <f t="shared" ca="1" si="84"/>
        <v>-0.93968154716896579</v>
      </c>
      <c r="I800">
        <f t="shared" ca="1" si="85"/>
        <v>-1.4371888661996461</v>
      </c>
      <c r="J800">
        <f t="shared" ca="1" si="86"/>
        <v>-1.6994325710011082</v>
      </c>
      <c r="K800">
        <f t="shared" ca="1" si="87"/>
        <v>12.426416150039568</v>
      </c>
      <c r="L800">
        <f t="shared" ca="1" si="88"/>
        <v>12.930956053941857</v>
      </c>
      <c r="M800">
        <f t="shared" ca="1" si="89"/>
        <v>0</v>
      </c>
      <c r="N800">
        <f t="shared" ca="1" si="90"/>
        <v>0</v>
      </c>
    </row>
    <row r="801" spans="6:14" x14ac:dyDescent="0.75">
      <c r="F801">
        <v>796</v>
      </c>
      <c r="G801">
        <f t="shared" ca="1" si="84"/>
        <v>0.66732954113409826</v>
      </c>
      <c r="H801">
        <f t="shared" ca="1" si="84"/>
        <v>-0.59172438631819946</v>
      </c>
      <c r="I801">
        <f t="shared" ca="1" si="85"/>
        <v>0.66732954113409826</v>
      </c>
      <c r="J801">
        <f t="shared" ca="1" si="86"/>
        <v>0.10910826312800709</v>
      </c>
      <c r="K801">
        <f t="shared" ca="1" si="87"/>
        <v>21.030087347552044</v>
      </c>
      <c r="L801">
        <f t="shared" ca="1" si="88"/>
        <v>20.32312376191538</v>
      </c>
      <c r="M801">
        <f t="shared" ca="1" si="89"/>
        <v>0</v>
      </c>
      <c r="N801">
        <f t="shared" ca="1" si="90"/>
        <v>0</v>
      </c>
    </row>
    <row r="802" spans="6:14" x14ac:dyDescent="0.75">
      <c r="F802">
        <v>797</v>
      </c>
      <c r="G802">
        <f t="shared" ca="1" si="84"/>
        <v>1.0972551946729496</v>
      </c>
      <c r="H802">
        <f t="shared" ca="1" si="84"/>
        <v>1.273770502111953</v>
      </c>
      <c r="I802">
        <f t="shared" ca="1" si="85"/>
        <v>1.0972551946729496</v>
      </c>
      <c r="J802">
        <f t="shared" ca="1" si="86"/>
        <v>1.6654613899942377</v>
      </c>
      <c r="K802">
        <f t="shared" ca="1" si="87"/>
        <v>23.416374827005477</v>
      </c>
      <c r="L802">
        <f t="shared" ca="1" si="88"/>
        <v>29.989509016485197</v>
      </c>
      <c r="M802">
        <f t="shared" ca="1" si="89"/>
        <v>0</v>
      </c>
      <c r="N802">
        <f t="shared" ca="1" si="90"/>
        <v>0</v>
      </c>
    </row>
    <row r="803" spans="6:14" x14ac:dyDescent="0.75">
      <c r="F803">
        <v>798</v>
      </c>
      <c r="G803">
        <f t="shared" ca="1" si="84"/>
        <v>0.38638290842851614</v>
      </c>
      <c r="H803">
        <f t="shared" ca="1" si="84"/>
        <v>-0.32756292314421565</v>
      </c>
      <c r="I803">
        <f t="shared" ca="1" si="85"/>
        <v>0.38638290842851614</v>
      </c>
      <c r="J803">
        <f t="shared" ca="1" si="86"/>
        <v>7.312467298014752E-2</v>
      </c>
      <c r="K803">
        <f t="shared" ca="1" si="87"/>
        <v>19.603683553923329</v>
      </c>
      <c r="L803">
        <f t="shared" ca="1" si="88"/>
        <v>20.141118898883089</v>
      </c>
      <c r="M803">
        <f t="shared" ca="1" si="89"/>
        <v>0</v>
      </c>
      <c r="N803">
        <f t="shared" ca="1" si="90"/>
        <v>0</v>
      </c>
    </row>
    <row r="804" spans="6:14" x14ac:dyDescent="0.75">
      <c r="F804">
        <v>799</v>
      </c>
      <c r="G804">
        <f t="shared" ca="1" si="84"/>
        <v>-0.17474499360065446</v>
      </c>
      <c r="H804">
        <f t="shared" ca="1" si="84"/>
        <v>-1.7246727660823531</v>
      </c>
      <c r="I804">
        <f t="shared" ca="1" si="85"/>
        <v>-0.17474499360065446</v>
      </c>
      <c r="J804">
        <f t="shared" ca="1" si="86"/>
        <v>-1.2718225532054357</v>
      </c>
      <c r="K804">
        <f t="shared" ca="1" si="87"/>
        <v>17.037818816747617</v>
      </c>
      <c r="L804">
        <f t="shared" ca="1" si="88"/>
        <v>14.389900915885917</v>
      </c>
      <c r="M804">
        <f t="shared" ca="1" si="89"/>
        <v>0</v>
      </c>
      <c r="N804">
        <f t="shared" ca="1" si="90"/>
        <v>0</v>
      </c>
    </row>
    <row r="805" spans="6:14" x14ac:dyDescent="0.75">
      <c r="F805">
        <v>800</v>
      </c>
      <c r="G805">
        <f t="shared" ca="1" si="84"/>
        <v>0.42830736965768756</v>
      </c>
      <c r="H805">
        <f t="shared" ca="1" si="84"/>
        <v>0.30980731128213079</v>
      </c>
      <c r="I805">
        <f t="shared" ca="1" si="85"/>
        <v>0.42830736965768756</v>
      </c>
      <c r="J805">
        <f t="shared" ca="1" si="86"/>
        <v>0.52614880224378902</v>
      </c>
      <c r="K805">
        <f t="shared" ca="1" si="87"/>
        <v>19.810232562843609</v>
      </c>
      <c r="L805">
        <f t="shared" ca="1" si="88"/>
        <v>22.556414316247682</v>
      </c>
      <c r="M805">
        <f t="shared" ca="1" si="89"/>
        <v>0</v>
      </c>
      <c r="N805">
        <f t="shared" ca="1" si="90"/>
        <v>0</v>
      </c>
    </row>
    <row r="806" spans="6:14" x14ac:dyDescent="0.75">
      <c r="F806">
        <v>801</v>
      </c>
      <c r="G806">
        <f t="shared" ca="1" si="84"/>
        <v>-0.96443678229514229</v>
      </c>
      <c r="H806">
        <f t="shared" ca="1" si="84"/>
        <v>0.60490277325844444</v>
      </c>
      <c r="I806">
        <f t="shared" ca="1" si="85"/>
        <v>-0.96443678229514229</v>
      </c>
      <c r="J806">
        <f t="shared" ca="1" si="86"/>
        <v>-0.32322201036757259</v>
      </c>
      <c r="K806">
        <f t="shared" ca="1" si="87"/>
        <v>13.985380896010314</v>
      </c>
      <c r="L806">
        <f t="shared" ca="1" si="88"/>
        <v>18.241090535001454</v>
      </c>
      <c r="M806">
        <f t="shared" ca="1" si="89"/>
        <v>0</v>
      </c>
      <c r="N806">
        <f t="shared" ca="1" si="90"/>
        <v>0</v>
      </c>
    </row>
    <row r="807" spans="6:14" x14ac:dyDescent="0.75">
      <c r="F807">
        <v>802</v>
      </c>
      <c r="G807">
        <f t="shared" ca="1" si="84"/>
        <v>-0.21585413740932932</v>
      </c>
      <c r="H807">
        <f t="shared" ca="1" si="84"/>
        <v>-1.4396774971383461</v>
      </c>
      <c r="I807">
        <f t="shared" ca="1" si="85"/>
        <v>-0.21585413740932932</v>
      </c>
      <c r="J807">
        <f t="shared" ca="1" si="86"/>
        <v>-1.1141477594479889</v>
      </c>
      <c r="K807">
        <f t="shared" ca="1" si="87"/>
        <v>16.863612995622489</v>
      </c>
      <c r="L807">
        <f t="shared" ca="1" si="88"/>
        <v>14.968460194046266</v>
      </c>
      <c r="M807">
        <f t="shared" ca="1" si="89"/>
        <v>0</v>
      </c>
      <c r="N807">
        <f t="shared" ca="1" si="90"/>
        <v>0</v>
      </c>
    </row>
    <row r="808" spans="6:14" x14ac:dyDescent="0.75">
      <c r="F808">
        <v>803</v>
      </c>
      <c r="G808">
        <f t="shared" ca="1" si="84"/>
        <v>-1.5992735860276155</v>
      </c>
      <c r="H808">
        <f t="shared" ca="1" si="84"/>
        <v>-9.9086644105148072E-2</v>
      </c>
      <c r="I808">
        <f t="shared" ca="1" si="85"/>
        <v>-1.5992735860276155</v>
      </c>
      <c r="J808">
        <f t="shared" ca="1" si="86"/>
        <v>-1.2649948441582579</v>
      </c>
      <c r="K808">
        <f t="shared" ca="1" si="87"/>
        <v>11.932948568901624</v>
      </c>
      <c r="L808">
        <f t="shared" ca="1" si="88"/>
        <v>14.414484405198939</v>
      </c>
      <c r="M808">
        <f t="shared" ca="1" si="89"/>
        <v>0</v>
      </c>
      <c r="N808">
        <f t="shared" ca="1" si="90"/>
        <v>0</v>
      </c>
    </row>
    <row r="809" spans="6:14" x14ac:dyDescent="0.75">
      <c r="F809">
        <v>804</v>
      </c>
      <c r="G809">
        <f t="shared" ca="1" si="84"/>
        <v>1.9133025738819853</v>
      </c>
      <c r="H809">
        <f t="shared" ca="1" si="84"/>
        <v>0.70457050302869173</v>
      </c>
      <c r="I809">
        <f t="shared" ca="1" si="85"/>
        <v>1.9133025738819853</v>
      </c>
      <c r="J809">
        <f t="shared" ca="1" si="86"/>
        <v>1.9010065134428888</v>
      </c>
      <c r="K809">
        <f t="shared" ca="1" si="87"/>
        <v>28.715797341922137</v>
      </c>
      <c r="L809">
        <f t="shared" ca="1" si="88"/>
        <v>31.808511204488891</v>
      </c>
      <c r="M809">
        <f t="shared" ca="1" si="89"/>
        <v>0</v>
      </c>
      <c r="N809">
        <f t="shared" ca="1" si="90"/>
        <v>0</v>
      </c>
    </row>
    <row r="810" spans="6:14" x14ac:dyDescent="0.75">
      <c r="F810">
        <v>805</v>
      </c>
      <c r="G810">
        <f t="shared" ca="1" si="84"/>
        <v>-0.42563102792034824</v>
      </c>
      <c r="H810">
        <f t="shared" ca="1" si="84"/>
        <v>-0.82924426129850615</v>
      </c>
      <c r="I810">
        <f t="shared" ca="1" si="85"/>
        <v>-0.42563102792034824</v>
      </c>
      <c r="J810">
        <f t="shared" ca="1" si="86"/>
        <v>-0.86771679382108879</v>
      </c>
      <c r="K810">
        <f t="shared" ca="1" si="87"/>
        <v>16.002004584383961</v>
      </c>
      <c r="L810">
        <f t="shared" ca="1" si="88"/>
        <v>15.919632167594568</v>
      </c>
      <c r="M810">
        <f t="shared" ca="1" si="89"/>
        <v>0</v>
      </c>
      <c r="N810">
        <f t="shared" ca="1" si="90"/>
        <v>0</v>
      </c>
    </row>
    <row r="811" spans="6:14" x14ac:dyDescent="0.75">
      <c r="F811">
        <v>806</v>
      </c>
      <c r="G811">
        <f t="shared" ca="1" si="84"/>
        <v>0.77026007345824787</v>
      </c>
      <c r="H811">
        <f t="shared" ca="1" si="84"/>
        <v>0.57375168620405659</v>
      </c>
      <c r="I811">
        <f t="shared" ca="1" si="85"/>
        <v>0.77026007345824787</v>
      </c>
      <c r="J811">
        <f t="shared" ca="1" si="86"/>
        <v>0.9571961240936615</v>
      </c>
      <c r="K811">
        <f t="shared" ca="1" si="87"/>
        <v>21.578269707946752</v>
      </c>
      <c r="L811">
        <f t="shared" ca="1" si="88"/>
        <v>25.122938281824247</v>
      </c>
      <c r="M811">
        <f t="shared" ca="1" si="89"/>
        <v>0</v>
      </c>
      <c r="N811">
        <f t="shared" ca="1" si="90"/>
        <v>0</v>
      </c>
    </row>
    <row r="812" spans="6:14" x14ac:dyDescent="0.75">
      <c r="F812">
        <v>807</v>
      </c>
      <c r="G812">
        <f t="shared" ca="1" si="84"/>
        <v>-0.45195561020711761</v>
      </c>
      <c r="H812">
        <f t="shared" ca="1" si="84"/>
        <v>1.6539665565125341</v>
      </c>
      <c r="I812">
        <f t="shared" ca="1" si="85"/>
        <v>-0.45195561020711761</v>
      </c>
      <c r="J812">
        <f t="shared" ca="1" si="86"/>
        <v>0.75502933868216759</v>
      </c>
      <c r="K812">
        <f t="shared" ca="1" si="87"/>
        <v>15.897038839051792</v>
      </c>
      <c r="L812">
        <f t="shared" ca="1" si="88"/>
        <v>23.884736344078785</v>
      </c>
      <c r="M812">
        <f t="shared" ca="1" si="89"/>
        <v>0</v>
      </c>
      <c r="N812">
        <f t="shared" ca="1" si="90"/>
        <v>0</v>
      </c>
    </row>
    <row r="813" spans="6:14" x14ac:dyDescent="0.75">
      <c r="F813">
        <v>808</v>
      </c>
      <c r="G813">
        <f t="shared" ca="1" si="84"/>
        <v>0.69995578459829433</v>
      </c>
      <c r="H813">
        <f t="shared" ca="1" si="84"/>
        <v>0.38018066917058907</v>
      </c>
      <c r="I813">
        <f t="shared" ca="1" si="85"/>
        <v>0.69995578459829433</v>
      </c>
      <c r="J813">
        <f t="shared" ca="1" si="86"/>
        <v>0.77643271442359563</v>
      </c>
      <c r="K813">
        <f t="shared" ca="1" si="87"/>
        <v>21.202322001349977</v>
      </c>
      <c r="L813">
        <f t="shared" ca="1" si="88"/>
        <v>24.012882379660482</v>
      </c>
      <c r="M813">
        <f t="shared" ca="1" si="89"/>
        <v>0</v>
      </c>
      <c r="N813">
        <f t="shared" ca="1" si="90"/>
        <v>0</v>
      </c>
    </row>
    <row r="814" spans="6:14" x14ac:dyDescent="0.75">
      <c r="F814">
        <v>809</v>
      </c>
      <c r="G814">
        <f t="shared" ca="1" si="84"/>
        <v>-0.77574625127860453</v>
      </c>
      <c r="H814">
        <f t="shared" ca="1" si="84"/>
        <v>0.1629619400217428</v>
      </c>
      <c r="I814">
        <f t="shared" ca="1" si="85"/>
        <v>-0.77574625127860453</v>
      </c>
      <c r="J814">
        <f t="shared" ca="1" si="86"/>
        <v>-0.47402049684241465</v>
      </c>
      <c r="K814">
        <f t="shared" ca="1" si="87"/>
        <v>14.660916258372142</v>
      </c>
      <c r="L814">
        <f t="shared" ca="1" si="88"/>
        <v>17.56620963123293</v>
      </c>
      <c r="M814">
        <f t="shared" ca="1" si="89"/>
        <v>0</v>
      </c>
      <c r="N814">
        <f t="shared" ca="1" si="90"/>
        <v>0</v>
      </c>
    </row>
    <row r="815" spans="6:14" x14ac:dyDescent="0.75">
      <c r="F815">
        <v>810</v>
      </c>
      <c r="G815">
        <f t="shared" ca="1" si="84"/>
        <v>0.68797016689281487</v>
      </c>
      <c r="H815">
        <f t="shared" ca="1" si="84"/>
        <v>-1.3993623924759861</v>
      </c>
      <c r="I815">
        <f t="shared" ca="1" si="85"/>
        <v>0.68797016689281487</v>
      </c>
      <c r="J815">
        <f t="shared" ca="1" si="86"/>
        <v>-0.40961359596734459</v>
      </c>
      <c r="K815">
        <f t="shared" ca="1" si="87"/>
        <v>21.138886356741715</v>
      </c>
      <c r="L815">
        <f t="shared" ca="1" si="88"/>
        <v>17.851345339802677</v>
      </c>
      <c r="M815">
        <f t="shared" ca="1" si="89"/>
        <v>0</v>
      </c>
      <c r="N815">
        <f t="shared" ca="1" si="90"/>
        <v>0</v>
      </c>
    </row>
    <row r="816" spans="6:14" x14ac:dyDescent="0.75">
      <c r="F816">
        <v>811</v>
      </c>
      <c r="G816">
        <f t="shared" ca="1" si="84"/>
        <v>-0.11460304129686774</v>
      </c>
      <c r="H816">
        <f t="shared" ca="1" si="84"/>
        <v>1.8254888285597026</v>
      </c>
      <c r="I816">
        <f t="shared" ca="1" si="85"/>
        <v>-0.11460304129686774</v>
      </c>
      <c r="J816">
        <f t="shared" ca="1" si="86"/>
        <v>1.1214950844012486</v>
      </c>
      <c r="K816">
        <f t="shared" ca="1" si="87"/>
        <v>17.295926261689633</v>
      </c>
      <c r="L816">
        <f t="shared" ca="1" si="88"/>
        <v>26.176342495148948</v>
      </c>
      <c r="M816">
        <f t="shared" ca="1" si="89"/>
        <v>0</v>
      </c>
      <c r="N816">
        <f t="shared" ca="1" si="90"/>
        <v>0</v>
      </c>
    </row>
    <row r="817" spans="6:14" x14ac:dyDescent="0.75">
      <c r="F817">
        <v>812</v>
      </c>
      <c r="G817">
        <f t="shared" ca="1" si="84"/>
        <v>-0.46450274768327565</v>
      </c>
      <c r="H817">
        <f t="shared" ca="1" si="84"/>
        <v>-0.77355969688438886</v>
      </c>
      <c r="I817">
        <f t="shared" ca="1" si="85"/>
        <v>-0.46450274768327565</v>
      </c>
      <c r="J817">
        <f t="shared" ca="1" si="86"/>
        <v>-0.86003870631710644</v>
      </c>
      <c r="K817">
        <f t="shared" ca="1" si="87"/>
        <v>15.847251383187391</v>
      </c>
      <c r="L817">
        <f t="shared" ca="1" si="88"/>
        <v>15.950219597026255</v>
      </c>
      <c r="M817">
        <f t="shared" ca="1" si="89"/>
        <v>0</v>
      </c>
      <c r="N817">
        <f t="shared" ca="1" si="90"/>
        <v>0</v>
      </c>
    </row>
    <row r="818" spans="6:14" x14ac:dyDescent="0.75">
      <c r="F818">
        <v>813</v>
      </c>
      <c r="G818">
        <f t="shared" ca="1" si="84"/>
        <v>0.17177106496965669</v>
      </c>
      <c r="H818">
        <f t="shared" ca="1" si="84"/>
        <v>2.0286035898244466</v>
      </c>
      <c r="I818">
        <f t="shared" ca="1" si="85"/>
        <v>0.17177106496965669</v>
      </c>
      <c r="J818">
        <f t="shared" ca="1" si="86"/>
        <v>1.4706234505793336</v>
      </c>
      <c r="K818">
        <f t="shared" ca="1" si="87"/>
        <v>18.579605936367543</v>
      </c>
      <c r="L818">
        <f t="shared" ca="1" si="88"/>
        <v>28.563741568720729</v>
      </c>
      <c r="M818">
        <f t="shared" ca="1" si="89"/>
        <v>0</v>
      </c>
      <c r="N818">
        <f t="shared" ca="1" si="90"/>
        <v>0</v>
      </c>
    </row>
    <row r="819" spans="6:14" x14ac:dyDescent="0.75">
      <c r="F819">
        <v>814</v>
      </c>
      <c r="G819">
        <f t="shared" ca="1" si="84"/>
        <v>-0.67907036647514885</v>
      </c>
      <c r="H819">
        <f t="shared" ca="1" si="84"/>
        <v>0.15172182032866202</v>
      </c>
      <c r="I819">
        <f t="shared" ca="1" si="85"/>
        <v>-0.67907036647514885</v>
      </c>
      <c r="J819">
        <f t="shared" ca="1" si="86"/>
        <v>-0.40894822359344574</v>
      </c>
      <c r="K819">
        <f t="shared" ca="1" si="87"/>
        <v>15.019572235611065</v>
      </c>
      <c r="L819">
        <f t="shared" ca="1" si="88"/>
        <v>17.854315034796461</v>
      </c>
      <c r="M819">
        <f t="shared" ca="1" si="89"/>
        <v>0</v>
      </c>
      <c r="N819">
        <f t="shared" ca="1" si="90"/>
        <v>0</v>
      </c>
    </row>
    <row r="820" spans="6:14" x14ac:dyDescent="0.75">
      <c r="F820">
        <v>815</v>
      </c>
      <c r="G820">
        <f t="shared" ca="1" si="84"/>
        <v>0.51526897016377993</v>
      </c>
      <c r="H820">
        <f t="shared" ca="1" si="84"/>
        <v>-1.2824168767429414</v>
      </c>
      <c r="I820">
        <f t="shared" ca="1" si="85"/>
        <v>0.51526897016377993</v>
      </c>
      <c r="J820">
        <f t="shared" ca="1" si="86"/>
        <v>-0.46178730562066372</v>
      </c>
      <c r="K820">
        <f t="shared" ca="1" si="87"/>
        <v>20.245630660865977</v>
      </c>
      <c r="L820">
        <f t="shared" ca="1" si="88"/>
        <v>17.620014565416767</v>
      </c>
      <c r="M820">
        <f t="shared" ca="1" si="89"/>
        <v>0</v>
      </c>
      <c r="N820">
        <f t="shared" ca="1" si="90"/>
        <v>0</v>
      </c>
    </row>
    <row r="821" spans="6:14" x14ac:dyDescent="0.75">
      <c r="F821">
        <v>816</v>
      </c>
      <c r="G821">
        <f t="shared" ca="1" si="84"/>
        <v>-1.3375784650821481</v>
      </c>
      <c r="H821">
        <f t="shared" ca="1" si="84"/>
        <v>-0.28590388993793836</v>
      </c>
      <c r="I821">
        <f t="shared" ca="1" si="85"/>
        <v>-1.3375784650821481</v>
      </c>
      <c r="J821">
        <f t="shared" ca="1" si="86"/>
        <v>-1.1922914967220528</v>
      </c>
      <c r="K821">
        <f t="shared" ca="1" si="87"/>
        <v>12.73975146390001</v>
      </c>
      <c r="L821">
        <f t="shared" ca="1" si="88"/>
        <v>14.67887520552032</v>
      </c>
      <c r="M821">
        <f t="shared" ca="1" si="89"/>
        <v>0</v>
      </c>
      <c r="N821">
        <f t="shared" ca="1" si="90"/>
        <v>0</v>
      </c>
    </row>
    <row r="822" spans="6:14" x14ac:dyDescent="0.75">
      <c r="F822">
        <v>817</v>
      </c>
      <c r="G822">
        <f t="shared" ca="1" si="84"/>
        <v>0.9315085959288042</v>
      </c>
      <c r="H822">
        <f t="shared" ca="1" si="84"/>
        <v>-0.61541792890686886</v>
      </c>
      <c r="I822">
        <f t="shared" ca="1" si="85"/>
        <v>0.9315085959288042</v>
      </c>
      <c r="J822">
        <f t="shared" ca="1" si="86"/>
        <v>0.29157074888210233</v>
      </c>
      <c r="K822">
        <f t="shared" ca="1" si="87"/>
        <v>22.465906803564138</v>
      </c>
      <c r="L822">
        <f t="shared" ca="1" si="88"/>
        <v>21.27164490593238</v>
      </c>
      <c r="M822">
        <f t="shared" ca="1" si="89"/>
        <v>0</v>
      </c>
      <c r="N822">
        <f t="shared" ca="1" si="90"/>
        <v>0</v>
      </c>
    </row>
    <row r="823" spans="6:14" x14ac:dyDescent="0.75">
      <c r="F823">
        <v>818</v>
      </c>
      <c r="G823">
        <f t="shared" ca="1" si="84"/>
        <v>-1.3359825787629915</v>
      </c>
      <c r="H823">
        <f t="shared" ca="1" si="84"/>
        <v>-0.72821978864478043</v>
      </c>
      <c r="I823">
        <f t="shared" ca="1" si="85"/>
        <v>-1.3359825787629915</v>
      </c>
      <c r="J823">
        <f t="shared" ca="1" si="86"/>
        <v>-1.4836590492097703</v>
      </c>
      <c r="K823">
        <f t="shared" ca="1" si="87"/>
        <v>12.744835276748669</v>
      </c>
      <c r="L823">
        <f t="shared" ca="1" si="88"/>
        <v>13.647652260244506</v>
      </c>
      <c r="M823">
        <f t="shared" ca="1" si="89"/>
        <v>0</v>
      </c>
      <c r="N823">
        <f t="shared" ca="1" si="90"/>
        <v>0</v>
      </c>
    </row>
    <row r="824" spans="6:14" x14ac:dyDescent="0.75">
      <c r="F824">
        <v>819</v>
      </c>
      <c r="G824">
        <f t="shared" ca="1" si="84"/>
        <v>-1.6913892682921029E-2</v>
      </c>
      <c r="H824">
        <f t="shared" ca="1" si="84"/>
        <v>-9.7405986915925238E-2</v>
      </c>
      <c r="I824">
        <f t="shared" ca="1" si="85"/>
        <v>-1.6913892682921029E-2</v>
      </c>
      <c r="J824">
        <f t="shared" ca="1" si="86"/>
        <v>-7.7113423909278167E-2</v>
      </c>
      <c r="K824">
        <f t="shared" ca="1" si="87"/>
        <v>17.723532648886032</v>
      </c>
      <c r="L824">
        <f t="shared" ca="1" si="88"/>
        <v>19.398658565622963</v>
      </c>
      <c r="M824">
        <f t="shared" ca="1" si="89"/>
        <v>0</v>
      </c>
      <c r="N824">
        <f t="shared" ca="1" si="90"/>
        <v>0</v>
      </c>
    </row>
    <row r="825" spans="6:14" x14ac:dyDescent="0.75">
      <c r="F825">
        <v>820</v>
      </c>
      <c r="G825">
        <f t="shared" ca="1" si="84"/>
        <v>-1.3456371019071933</v>
      </c>
      <c r="H825">
        <f t="shared" ca="1" si="84"/>
        <v>0.99933949986893833</v>
      </c>
      <c r="I825">
        <f t="shared" ca="1" si="85"/>
        <v>-1.3456371019071933</v>
      </c>
      <c r="J825">
        <f t="shared" ca="1" si="86"/>
        <v>-0.34822687843617584</v>
      </c>
      <c r="K825">
        <f t="shared" ca="1" si="87"/>
        <v>12.71411104335499</v>
      </c>
      <c r="L825">
        <f t="shared" ca="1" si="88"/>
        <v>18.127417187992581</v>
      </c>
      <c r="M825">
        <f t="shared" ca="1" si="89"/>
        <v>0</v>
      </c>
      <c r="N825">
        <f t="shared" ca="1" si="90"/>
        <v>0</v>
      </c>
    </row>
    <row r="826" spans="6:14" x14ac:dyDescent="0.75">
      <c r="F826">
        <v>821</v>
      </c>
      <c r="G826">
        <f t="shared" ca="1" si="84"/>
        <v>-0.65163614795045388</v>
      </c>
      <c r="H826">
        <f t="shared" ca="1" si="84"/>
        <v>-0.81310255588381875</v>
      </c>
      <c r="I826">
        <f t="shared" ca="1" si="85"/>
        <v>-0.65163614795045388</v>
      </c>
      <c r="J826">
        <f t="shared" ca="1" si="86"/>
        <v>-1.026543899277736</v>
      </c>
      <c r="K826">
        <f t="shared" ca="1" si="87"/>
        <v>15.12293885995102</v>
      </c>
      <c r="L826">
        <f t="shared" ca="1" si="88"/>
        <v>15.299900096469528</v>
      </c>
      <c r="M826">
        <f t="shared" ca="1" si="89"/>
        <v>0</v>
      </c>
      <c r="N826">
        <f t="shared" ca="1" si="90"/>
        <v>0</v>
      </c>
    </row>
    <row r="827" spans="6:14" x14ac:dyDescent="0.75">
      <c r="F827">
        <v>822</v>
      </c>
      <c r="G827">
        <f t="shared" ca="1" si="84"/>
        <v>0.27298489901005207</v>
      </c>
      <c r="H827">
        <f t="shared" ca="1" si="84"/>
        <v>-2.9612978938204981E-2</v>
      </c>
      <c r="I827">
        <f t="shared" ca="1" si="85"/>
        <v>0.27298489901005207</v>
      </c>
      <c r="J827">
        <f t="shared" ca="1" si="86"/>
        <v>0.18515152979496807</v>
      </c>
      <c r="K827">
        <f t="shared" ca="1" si="87"/>
        <v>19.055732646876422</v>
      </c>
      <c r="L827">
        <f t="shared" ca="1" si="88"/>
        <v>20.71317882706532</v>
      </c>
      <c r="M827">
        <f t="shared" ca="1" si="89"/>
        <v>0</v>
      </c>
      <c r="N827">
        <f t="shared" ca="1" si="90"/>
        <v>0</v>
      </c>
    </row>
    <row r="828" spans="6:14" x14ac:dyDescent="0.75">
      <c r="F828">
        <v>823</v>
      </c>
      <c r="G828">
        <f t="shared" ca="1" si="84"/>
        <v>-1.546979564357464</v>
      </c>
      <c r="H828">
        <f t="shared" ca="1" si="84"/>
        <v>3.7647765418715919E-3</v>
      </c>
      <c r="I828">
        <f t="shared" ca="1" si="85"/>
        <v>-1.546979564357464</v>
      </c>
      <c r="J828">
        <f t="shared" ca="1" si="86"/>
        <v>-1.1577445076502175</v>
      </c>
      <c r="K828">
        <f t="shared" ca="1" si="87"/>
        <v>12.089978264376915</v>
      </c>
      <c r="L828">
        <f t="shared" ca="1" si="88"/>
        <v>14.806201994017428</v>
      </c>
      <c r="M828">
        <f t="shared" ca="1" si="89"/>
        <v>0</v>
      </c>
      <c r="N828">
        <f t="shared" ca="1" si="90"/>
        <v>0</v>
      </c>
    </row>
    <row r="829" spans="6:14" x14ac:dyDescent="0.75">
      <c r="F829">
        <v>824</v>
      </c>
      <c r="G829">
        <f t="shared" ca="1" si="84"/>
        <v>-0.26786264873405036</v>
      </c>
      <c r="H829">
        <f t="shared" ca="1" si="84"/>
        <v>1.8639949618761795</v>
      </c>
      <c r="I829">
        <f t="shared" ca="1" si="85"/>
        <v>-0.26786264873405036</v>
      </c>
      <c r="J829">
        <f t="shared" ca="1" si="86"/>
        <v>1.0320197919998857</v>
      </c>
      <c r="K829">
        <f t="shared" ca="1" si="87"/>
        <v>16.645769427676015</v>
      </c>
      <c r="L829">
        <f t="shared" ca="1" si="88"/>
        <v>25.597308815216721</v>
      </c>
      <c r="M829">
        <f t="shared" ca="1" si="89"/>
        <v>0</v>
      </c>
      <c r="N829">
        <f t="shared" ca="1" si="90"/>
        <v>0</v>
      </c>
    </row>
    <row r="830" spans="6:14" x14ac:dyDescent="0.75">
      <c r="F830">
        <v>825</v>
      </c>
      <c r="G830">
        <f t="shared" ca="1" si="84"/>
        <v>-0.90714243161134334</v>
      </c>
      <c r="H830">
        <f t="shared" ca="1" si="84"/>
        <v>-1.8205415211805367</v>
      </c>
      <c r="I830">
        <f t="shared" ca="1" si="85"/>
        <v>-0.90714243161134334</v>
      </c>
      <c r="J830">
        <f t="shared" ca="1" si="86"/>
        <v>-1.8845318528362398</v>
      </c>
      <c r="K830">
        <f t="shared" ca="1" si="87"/>
        <v>14.187143256275073</v>
      </c>
      <c r="L830">
        <f t="shared" ca="1" si="88"/>
        <v>12.346212184787198</v>
      </c>
      <c r="M830">
        <f t="shared" ca="1" si="89"/>
        <v>0</v>
      </c>
      <c r="N830">
        <f t="shared" ca="1" si="90"/>
        <v>0</v>
      </c>
    </row>
    <row r="831" spans="6:14" x14ac:dyDescent="0.75">
      <c r="F831">
        <v>826</v>
      </c>
      <c r="G831">
        <f t="shared" ca="1" si="84"/>
        <v>0.10842148313288545</v>
      </c>
      <c r="H831">
        <f t="shared" ca="1" si="84"/>
        <v>-0.95403781114075981</v>
      </c>
      <c r="I831">
        <f t="shared" ca="1" si="85"/>
        <v>0.10842148313288545</v>
      </c>
      <c r="J831">
        <f t="shared" ca="1" si="86"/>
        <v>-0.54972058505805033</v>
      </c>
      <c r="K831">
        <f t="shared" ca="1" si="87"/>
        <v>18.28767121446884</v>
      </c>
      <c r="L831">
        <f t="shared" ca="1" si="88"/>
        <v>17.236894701509222</v>
      </c>
      <c r="M831">
        <f t="shared" ca="1" si="89"/>
        <v>0</v>
      </c>
      <c r="N831">
        <f t="shared" ca="1" si="90"/>
        <v>0</v>
      </c>
    </row>
    <row r="832" spans="6:14" x14ac:dyDescent="0.75">
      <c r="F832">
        <v>827</v>
      </c>
      <c r="G832">
        <f t="shared" ca="1" si="84"/>
        <v>-7.8134737996726072E-2</v>
      </c>
      <c r="H832">
        <f t="shared" ca="1" si="84"/>
        <v>-1.4331170127843813</v>
      </c>
      <c r="I832">
        <f t="shared" ca="1" si="85"/>
        <v>-7.8134737996726072E-2</v>
      </c>
      <c r="J832">
        <f t="shared" ca="1" si="86"/>
        <v>-1.0065188573683563</v>
      </c>
      <c r="K832">
        <f t="shared" ca="1" si="87"/>
        <v>17.454335550368853</v>
      </c>
      <c r="L832">
        <f t="shared" ca="1" si="88"/>
        <v>15.376687429951794</v>
      </c>
      <c r="M832">
        <f t="shared" ca="1" si="89"/>
        <v>0</v>
      </c>
      <c r="N832">
        <f t="shared" ca="1" si="90"/>
        <v>0</v>
      </c>
    </row>
    <row r="833" spans="6:14" x14ac:dyDescent="0.75">
      <c r="F833">
        <v>828</v>
      </c>
      <c r="G833">
        <f t="shared" ca="1" si="84"/>
        <v>-1.56821769699631</v>
      </c>
      <c r="H833">
        <f t="shared" ca="1" si="84"/>
        <v>0.90332611729200873</v>
      </c>
      <c r="I833">
        <f t="shared" ca="1" si="85"/>
        <v>-1.56821769699631</v>
      </c>
      <c r="J833">
        <f t="shared" ca="1" si="86"/>
        <v>-0.57866920796117782</v>
      </c>
      <c r="K833">
        <f t="shared" ca="1" si="87"/>
        <v>12.025956237822919</v>
      </c>
      <c r="L833">
        <f t="shared" ca="1" si="88"/>
        <v>17.11259892677792</v>
      </c>
      <c r="M833">
        <f t="shared" ca="1" si="89"/>
        <v>0</v>
      </c>
      <c r="N833">
        <f t="shared" ca="1" si="90"/>
        <v>0</v>
      </c>
    </row>
    <row r="834" spans="6:14" x14ac:dyDescent="0.75">
      <c r="F834">
        <v>829</v>
      </c>
      <c r="G834">
        <f t="shared" ca="1" si="84"/>
        <v>0.2065899317006013</v>
      </c>
      <c r="H834">
        <f t="shared" ca="1" si="84"/>
        <v>-0.3257671178360465</v>
      </c>
      <c r="I834">
        <f t="shared" ca="1" si="85"/>
        <v>0.2065899317006013</v>
      </c>
      <c r="J834">
        <f t="shared" ca="1" si="86"/>
        <v>-6.0532246003662277E-2</v>
      </c>
      <c r="K834">
        <f t="shared" ca="1" si="87"/>
        <v>18.742042096822377</v>
      </c>
      <c r="L834">
        <f t="shared" ca="1" si="88"/>
        <v>19.479238616457486</v>
      </c>
      <c r="M834">
        <f t="shared" ca="1" si="89"/>
        <v>0</v>
      </c>
      <c r="N834">
        <f t="shared" ca="1" si="90"/>
        <v>0</v>
      </c>
    </row>
    <row r="835" spans="6:14" x14ac:dyDescent="0.75">
      <c r="F835">
        <v>830</v>
      </c>
      <c r="G835">
        <f t="shared" ca="1" si="84"/>
        <v>-0.6991019748957451</v>
      </c>
      <c r="H835">
        <f t="shared" ca="1" si="84"/>
        <v>-4.2934540732311913E-2</v>
      </c>
      <c r="I835">
        <f t="shared" ca="1" si="85"/>
        <v>-0.6991019748957451</v>
      </c>
      <c r="J835">
        <f t="shared" ca="1" si="86"/>
        <v>-0.5527250105299264</v>
      </c>
      <c r="K835">
        <f t="shared" ca="1" si="87"/>
        <v>14.944543712746528</v>
      </c>
      <c r="L835">
        <f t="shared" ca="1" si="88"/>
        <v>17.223952821107737</v>
      </c>
      <c r="M835">
        <f t="shared" ca="1" si="89"/>
        <v>0</v>
      </c>
      <c r="N835">
        <f t="shared" ca="1" si="90"/>
        <v>0</v>
      </c>
    </row>
    <row r="836" spans="6:14" x14ac:dyDescent="0.75">
      <c r="F836">
        <v>831</v>
      </c>
      <c r="G836">
        <f t="shared" ca="1" si="84"/>
        <v>-1.2345357611571615</v>
      </c>
      <c r="H836">
        <f t="shared" ca="1" si="84"/>
        <v>0.99877450411132673</v>
      </c>
      <c r="I836">
        <f t="shared" ca="1" si="85"/>
        <v>-1.2345357611571615</v>
      </c>
      <c r="J836">
        <f t="shared" ca="1" si="86"/>
        <v>-0.26527458244026381</v>
      </c>
      <c r="K836">
        <f t="shared" ca="1" si="87"/>
        <v>13.0721997350091</v>
      </c>
      <c r="L836">
        <f t="shared" ca="1" si="88"/>
        <v>18.50727000148667</v>
      </c>
      <c r="M836">
        <f t="shared" ca="1" si="89"/>
        <v>0</v>
      </c>
      <c r="N836">
        <f t="shared" ca="1" si="90"/>
        <v>0</v>
      </c>
    </row>
    <row r="837" spans="6:14" x14ac:dyDescent="0.75">
      <c r="F837">
        <v>832</v>
      </c>
      <c r="G837">
        <f t="shared" ca="1" si="84"/>
        <v>-8.6658913897536147E-2</v>
      </c>
      <c r="H837">
        <f t="shared" ca="1" si="84"/>
        <v>-1.3824025260119841</v>
      </c>
      <c r="I837">
        <f t="shared" ca="1" si="85"/>
        <v>-8.6658913897536147E-2</v>
      </c>
      <c r="J837">
        <f t="shared" ca="1" si="86"/>
        <v>-0.97936750932695427</v>
      </c>
      <c r="K837">
        <f t="shared" ca="1" si="87"/>
        <v>17.417179198724394</v>
      </c>
      <c r="L837">
        <f t="shared" ca="1" si="88"/>
        <v>15.481416919222138</v>
      </c>
      <c r="M837">
        <f t="shared" ca="1" si="89"/>
        <v>0</v>
      </c>
      <c r="N837">
        <f t="shared" ca="1" si="90"/>
        <v>0</v>
      </c>
    </row>
    <row r="838" spans="6:14" x14ac:dyDescent="0.75">
      <c r="F838">
        <v>833</v>
      </c>
      <c r="G838">
        <f t="shared" ca="1" si="84"/>
        <v>2.0835880149197114E-2</v>
      </c>
      <c r="H838">
        <f t="shared" ca="1" si="84"/>
        <v>1.1412198350346767</v>
      </c>
      <c r="I838">
        <f t="shared" ca="1" si="85"/>
        <v>2.0835880149197114E-2</v>
      </c>
      <c r="J838">
        <f t="shared" ca="1" si="86"/>
        <v>0.77047287880087589</v>
      </c>
      <c r="K838">
        <f t="shared" ca="1" si="87"/>
        <v>17.891589246671312</v>
      </c>
      <c r="L838">
        <f t="shared" ca="1" si="88"/>
        <v>23.977130812504775</v>
      </c>
      <c r="M838">
        <f t="shared" ca="1" si="89"/>
        <v>0</v>
      </c>
      <c r="N838">
        <f t="shared" ca="1" si="90"/>
        <v>0</v>
      </c>
    </row>
    <row r="839" spans="6:14" x14ac:dyDescent="0.75">
      <c r="F839">
        <v>834</v>
      </c>
      <c r="G839">
        <f t="shared" ref="G839:H870" ca="1" si="91">NORMSINV(RAND())</f>
        <v>0.33731388194752604</v>
      </c>
      <c r="H839">
        <f t="shared" ca="1" si="91"/>
        <v>0.20901291761543223</v>
      </c>
      <c r="I839">
        <f t="shared" ref="I839:I902" ca="1" si="92">G839</f>
        <v>0.33731388194752604</v>
      </c>
      <c r="J839">
        <f t="shared" ref="J839:J902" ca="1" si="93">G839*$C$8+SQRT(1-$C$8^2)*H839</f>
        <v>0.39123446166326081</v>
      </c>
      <c r="K839">
        <f t="shared" ref="K839:K902" ca="1" si="94">C$3*EXP(($C$5-0.5*C$4^2)*$C$6+C$4*SQRT($C$6)*I839)</f>
        <v>19.364669159863382</v>
      </c>
      <c r="L839">
        <f t="shared" ref="L839:L902" ca="1" si="95">D$3*EXP(($C$5-0.5*D$4^2)*$C$6+D$4*SQRT($C$6)*J839)</f>
        <v>21.808305619794321</v>
      </c>
      <c r="M839">
        <f t="shared" ref="M839:M902" ca="1" si="96">MAX(SQRT(K839*L839)-$C$7,0)</f>
        <v>0</v>
      </c>
      <c r="N839">
        <f t="shared" ref="N839:N902" ca="1" si="97">MAX((K839+L839)*0.5-$C$7,0)</f>
        <v>0</v>
      </c>
    </row>
    <row r="840" spans="6:14" x14ac:dyDescent="0.75">
      <c r="F840">
        <v>835</v>
      </c>
      <c r="G840">
        <f t="shared" ca="1" si="91"/>
        <v>-0.80175444548221919</v>
      </c>
      <c r="H840">
        <f t="shared" ca="1" si="91"/>
        <v>-0.28382999961774197</v>
      </c>
      <c r="I840">
        <f t="shared" ca="1" si="92"/>
        <v>-0.80175444548221919</v>
      </c>
      <c r="J840">
        <f t="shared" ca="1" si="93"/>
        <v>-0.78905173251369021</v>
      </c>
      <c r="K840">
        <f t="shared" ca="1" si="94"/>
        <v>14.565899505578194</v>
      </c>
      <c r="L840">
        <f t="shared" ca="1" si="95"/>
        <v>16.23581071286803</v>
      </c>
      <c r="M840">
        <f t="shared" ca="1" si="96"/>
        <v>0</v>
      </c>
      <c r="N840">
        <f t="shared" ca="1" si="97"/>
        <v>0</v>
      </c>
    </row>
    <row r="841" spans="6:14" x14ac:dyDescent="0.75">
      <c r="F841">
        <v>836</v>
      </c>
      <c r="G841">
        <f t="shared" ca="1" si="91"/>
        <v>1.4928119362997057</v>
      </c>
      <c r="H841">
        <f t="shared" ca="1" si="91"/>
        <v>6.9906594351036216E-2</v>
      </c>
      <c r="I841">
        <f t="shared" ca="1" si="92"/>
        <v>1.4928119362997057</v>
      </c>
      <c r="J841">
        <f t="shared" ca="1" si="93"/>
        <v>1.1658478181388578</v>
      </c>
      <c r="K841">
        <f t="shared" ca="1" si="94"/>
        <v>25.850365547865081</v>
      </c>
      <c r="L841">
        <f t="shared" ca="1" si="95"/>
        <v>26.468205708477978</v>
      </c>
      <c r="M841">
        <f t="shared" ca="1" si="96"/>
        <v>0</v>
      </c>
      <c r="N841">
        <f t="shared" ca="1" si="97"/>
        <v>0</v>
      </c>
    </row>
    <row r="842" spans="6:14" x14ac:dyDescent="0.75">
      <c r="F842">
        <v>837</v>
      </c>
      <c r="G842">
        <f t="shared" ca="1" si="91"/>
        <v>8.7380340429328504E-2</v>
      </c>
      <c r="H842">
        <f t="shared" ca="1" si="91"/>
        <v>-0.87214149056609025</v>
      </c>
      <c r="I842">
        <f t="shared" ca="1" si="92"/>
        <v>8.7380340429328504E-2</v>
      </c>
      <c r="J842">
        <f t="shared" ca="1" si="93"/>
        <v>-0.51133211770276854</v>
      </c>
      <c r="K842">
        <f t="shared" ca="1" si="94"/>
        <v>18.191725411939121</v>
      </c>
      <c r="L842">
        <f t="shared" ca="1" si="95"/>
        <v>17.403115538487416</v>
      </c>
      <c r="M842">
        <f t="shared" ca="1" si="96"/>
        <v>0</v>
      </c>
      <c r="N842">
        <f t="shared" ca="1" si="97"/>
        <v>0</v>
      </c>
    </row>
    <row r="843" spans="6:14" x14ac:dyDescent="0.75">
      <c r="F843">
        <v>838</v>
      </c>
      <c r="G843">
        <f t="shared" ca="1" si="91"/>
        <v>-0.81256178513081945</v>
      </c>
      <c r="H843">
        <f t="shared" ca="1" si="91"/>
        <v>-0.63505657490391543</v>
      </c>
      <c r="I843">
        <f t="shared" ca="1" si="92"/>
        <v>-0.81256178513081945</v>
      </c>
      <c r="J843">
        <f t="shared" ca="1" si="93"/>
        <v>-1.0294717802611704</v>
      </c>
      <c r="K843">
        <f t="shared" ca="1" si="94"/>
        <v>14.526597966810073</v>
      </c>
      <c r="L843">
        <f t="shared" ca="1" si="95"/>
        <v>15.288705122528054</v>
      </c>
      <c r="M843">
        <f t="shared" ca="1" si="96"/>
        <v>0</v>
      </c>
      <c r="N843">
        <f t="shared" ca="1" si="97"/>
        <v>0</v>
      </c>
    </row>
    <row r="844" spans="6:14" x14ac:dyDescent="0.75">
      <c r="F844">
        <v>839</v>
      </c>
      <c r="G844">
        <f t="shared" ca="1" si="91"/>
        <v>-0.10621992042590743</v>
      </c>
      <c r="H844">
        <f t="shared" ca="1" si="91"/>
        <v>0.8607176235462578</v>
      </c>
      <c r="I844">
        <f t="shared" ca="1" si="92"/>
        <v>-0.10621992042590743</v>
      </c>
      <c r="J844">
        <f t="shared" ca="1" si="93"/>
        <v>0.48964625491904706</v>
      </c>
      <c r="K844">
        <f t="shared" ca="1" si="94"/>
        <v>17.332212732748744</v>
      </c>
      <c r="L844">
        <f t="shared" ca="1" si="95"/>
        <v>22.351509038552031</v>
      </c>
      <c r="M844">
        <f t="shared" ca="1" si="96"/>
        <v>0</v>
      </c>
      <c r="N844">
        <f t="shared" ca="1" si="97"/>
        <v>0</v>
      </c>
    </row>
    <row r="845" spans="6:14" x14ac:dyDescent="0.75">
      <c r="F845">
        <v>840</v>
      </c>
      <c r="G845">
        <f t="shared" ca="1" si="91"/>
        <v>1.1217988266020862</v>
      </c>
      <c r="H845">
        <f t="shared" ca="1" si="91"/>
        <v>0.59453740863644577</v>
      </c>
      <c r="I845">
        <f t="shared" ca="1" si="92"/>
        <v>1.1217988266020862</v>
      </c>
      <c r="J845">
        <f t="shared" ca="1" si="93"/>
        <v>1.2345986520457697</v>
      </c>
      <c r="K845">
        <f t="shared" ca="1" si="94"/>
        <v>23.560497257030828</v>
      </c>
      <c r="L845">
        <f t="shared" ca="1" si="95"/>
        <v>26.92706559083463</v>
      </c>
      <c r="M845">
        <f t="shared" ca="1" si="96"/>
        <v>0</v>
      </c>
      <c r="N845">
        <f t="shared" ca="1" si="97"/>
        <v>0</v>
      </c>
    </row>
    <row r="846" spans="6:14" x14ac:dyDescent="0.75">
      <c r="F846">
        <v>841</v>
      </c>
      <c r="G846">
        <f t="shared" ca="1" si="91"/>
        <v>-0.20499159311737275</v>
      </c>
      <c r="H846">
        <f t="shared" ca="1" si="91"/>
        <v>-0.80639341587616464</v>
      </c>
      <c r="I846">
        <f t="shared" ca="1" si="92"/>
        <v>-0.20499159311737275</v>
      </c>
      <c r="J846">
        <f t="shared" ca="1" si="93"/>
        <v>-0.68712280416008364</v>
      </c>
      <c r="K846">
        <f t="shared" ca="1" si="94"/>
        <v>16.90947066958902</v>
      </c>
      <c r="L846">
        <f t="shared" ca="1" si="95"/>
        <v>16.654851785621478</v>
      </c>
      <c r="M846">
        <f t="shared" ca="1" si="96"/>
        <v>0</v>
      </c>
      <c r="N846">
        <f t="shared" ca="1" si="97"/>
        <v>0</v>
      </c>
    </row>
    <row r="847" spans="6:14" x14ac:dyDescent="0.75">
      <c r="F847">
        <v>842</v>
      </c>
      <c r="G847">
        <f t="shared" ca="1" si="91"/>
        <v>0.57563081086844559</v>
      </c>
      <c r="H847">
        <f t="shared" ca="1" si="91"/>
        <v>9.671931235659334E-2</v>
      </c>
      <c r="I847">
        <f t="shared" ca="1" si="92"/>
        <v>0.57563081086844559</v>
      </c>
      <c r="J847">
        <f t="shared" ca="1" si="93"/>
        <v>0.49569692001951482</v>
      </c>
      <c r="K847">
        <f t="shared" ca="1" si="94"/>
        <v>20.553463371054598</v>
      </c>
      <c r="L847">
        <f t="shared" ca="1" si="95"/>
        <v>22.385344997277606</v>
      </c>
      <c r="M847">
        <f t="shared" ca="1" si="96"/>
        <v>0</v>
      </c>
      <c r="N847">
        <f t="shared" ca="1" si="97"/>
        <v>0</v>
      </c>
    </row>
    <row r="848" spans="6:14" x14ac:dyDescent="0.75">
      <c r="F848">
        <v>843</v>
      </c>
      <c r="G848">
        <f t="shared" ca="1" si="91"/>
        <v>0.28091266051532388</v>
      </c>
      <c r="H848">
        <f t="shared" ca="1" si="91"/>
        <v>0.58870015165272971</v>
      </c>
      <c r="I848">
        <f t="shared" ca="1" si="92"/>
        <v>0.28091266051532388</v>
      </c>
      <c r="J848">
        <f t="shared" ca="1" si="93"/>
        <v>0.60007304490127611</v>
      </c>
      <c r="K848">
        <f t="shared" ca="1" si="94"/>
        <v>19.093537423841486</v>
      </c>
      <c r="L848">
        <f t="shared" ca="1" si="95"/>
        <v>22.977156684919112</v>
      </c>
      <c r="M848">
        <f t="shared" ca="1" si="96"/>
        <v>0</v>
      </c>
      <c r="N848">
        <f t="shared" ca="1" si="97"/>
        <v>0</v>
      </c>
    </row>
    <row r="849" spans="6:14" x14ac:dyDescent="0.75">
      <c r="F849">
        <v>844</v>
      </c>
      <c r="G849">
        <f t="shared" ca="1" si="91"/>
        <v>0.41949653020248373</v>
      </c>
      <c r="H849">
        <f t="shared" ca="1" si="91"/>
        <v>-0.43587551386351736</v>
      </c>
      <c r="I849">
        <f t="shared" ca="1" si="92"/>
        <v>0.41949653020248373</v>
      </c>
      <c r="J849">
        <f t="shared" ca="1" si="93"/>
        <v>2.6317844585524497E-2</v>
      </c>
      <c r="K849">
        <f t="shared" ca="1" si="94"/>
        <v>19.766644391844242</v>
      </c>
      <c r="L849">
        <f t="shared" ca="1" si="95"/>
        <v>19.906807023046216</v>
      </c>
      <c r="M849">
        <f t="shared" ca="1" si="96"/>
        <v>0</v>
      </c>
      <c r="N849">
        <f t="shared" ca="1" si="97"/>
        <v>0</v>
      </c>
    </row>
    <row r="850" spans="6:14" x14ac:dyDescent="0.75">
      <c r="F850">
        <v>845</v>
      </c>
      <c r="G850">
        <f t="shared" ca="1" si="91"/>
        <v>1.0989261980312512</v>
      </c>
      <c r="H850">
        <f t="shared" ca="1" si="91"/>
        <v>-1.2296067279247163</v>
      </c>
      <c r="I850">
        <f t="shared" ca="1" si="92"/>
        <v>1.0989261980312512</v>
      </c>
      <c r="J850">
        <f t="shared" ca="1" si="93"/>
        <v>1.0886245398273542E-2</v>
      </c>
      <c r="K850">
        <f t="shared" ca="1" si="94"/>
        <v>23.426159080797095</v>
      </c>
      <c r="L850">
        <f t="shared" ca="1" si="95"/>
        <v>19.830156506351482</v>
      </c>
      <c r="M850">
        <f t="shared" ca="1" si="96"/>
        <v>0</v>
      </c>
      <c r="N850">
        <f t="shared" ca="1" si="97"/>
        <v>0</v>
      </c>
    </row>
    <row r="851" spans="6:14" x14ac:dyDescent="0.75">
      <c r="F851">
        <v>846</v>
      </c>
      <c r="G851">
        <f t="shared" ca="1" si="91"/>
        <v>1.2304715213432937</v>
      </c>
      <c r="H851">
        <f t="shared" ca="1" si="91"/>
        <v>1.3078036531274375</v>
      </c>
      <c r="I851">
        <f t="shared" ca="1" si="92"/>
        <v>1.2304715213432937</v>
      </c>
      <c r="J851">
        <f t="shared" ca="1" si="93"/>
        <v>1.7878844484767151</v>
      </c>
      <c r="K851">
        <f t="shared" ca="1" si="94"/>
        <v>24.209367335164391</v>
      </c>
      <c r="L851">
        <f t="shared" ca="1" si="95"/>
        <v>30.921551046517525</v>
      </c>
      <c r="M851">
        <f t="shared" ca="1" si="96"/>
        <v>0</v>
      </c>
      <c r="N851">
        <f t="shared" ca="1" si="97"/>
        <v>0</v>
      </c>
    </row>
    <row r="852" spans="6:14" x14ac:dyDescent="0.75">
      <c r="F852">
        <v>847</v>
      </c>
      <c r="G852">
        <f t="shared" ca="1" si="91"/>
        <v>-1.5450501685230664</v>
      </c>
      <c r="H852">
        <f t="shared" ca="1" si="91"/>
        <v>-0.27139696343866382</v>
      </c>
      <c r="I852">
        <f t="shared" ca="1" si="92"/>
        <v>-1.5450501685230664</v>
      </c>
      <c r="J852">
        <f t="shared" ca="1" si="93"/>
        <v>-1.3382998443514982</v>
      </c>
      <c r="K852">
        <f t="shared" ca="1" si="94"/>
        <v>12.095811259458687</v>
      </c>
      <c r="L852">
        <f t="shared" ca="1" si="95"/>
        <v>14.152726803235915</v>
      </c>
      <c r="M852">
        <f t="shared" ca="1" si="96"/>
        <v>0</v>
      </c>
      <c r="N852">
        <f t="shared" ca="1" si="97"/>
        <v>0</v>
      </c>
    </row>
    <row r="853" spans="6:14" x14ac:dyDescent="0.75">
      <c r="F853">
        <v>848</v>
      </c>
      <c r="G853">
        <f t="shared" ca="1" si="91"/>
        <v>-0.90310611415882969</v>
      </c>
      <c r="H853">
        <f t="shared" ca="1" si="91"/>
        <v>-0.74148648477677115</v>
      </c>
      <c r="I853">
        <f t="shared" ca="1" si="92"/>
        <v>-0.90310611415882969</v>
      </c>
      <c r="J853">
        <f t="shared" ca="1" si="93"/>
        <v>-1.1677767954278266</v>
      </c>
      <c r="K853">
        <f t="shared" ca="1" si="94"/>
        <v>14.201466435153465</v>
      </c>
      <c r="L853">
        <f t="shared" ca="1" si="95"/>
        <v>14.769113503935658</v>
      </c>
      <c r="M853">
        <f t="shared" ca="1" si="96"/>
        <v>0</v>
      </c>
      <c r="N853">
        <f t="shared" ca="1" si="97"/>
        <v>0</v>
      </c>
    </row>
    <row r="854" spans="6:14" x14ac:dyDescent="0.75">
      <c r="F854">
        <v>849</v>
      </c>
      <c r="G854">
        <f t="shared" ca="1" si="91"/>
        <v>-1.2207383903269349</v>
      </c>
      <c r="H854">
        <f t="shared" ca="1" si="91"/>
        <v>-1.3798656003086529</v>
      </c>
      <c r="I854">
        <f t="shared" ca="1" si="92"/>
        <v>-1.2207383903269349</v>
      </c>
      <c r="J854">
        <f t="shared" ca="1" si="93"/>
        <v>-1.8282490980225878</v>
      </c>
      <c r="K854">
        <f t="shared" ca="1" si="94"/>
        <v>13.117368087616335</v>
      </c>
      <c r="L854">
        <f t="shared" ca="1" si="95"/>
        <v>12.521159823590782</v>
      </c>
      <c r="M854">
        <f t="shared" ca="1" si="96"/>
        <v>0</v>
      </c>
      <c r="N854">
        <f t="shared" ca="1" si="97"/>
        <v>0</v>
      </c>
    </row>
    <row r="855" spans="6:14" x14ac:dyDescent="0.75">
      <c r="F855">
        <v>850</v>
      </c>
      <c r="G855">
        <f t="shared" ca="1" si="91"/>
        <v>0.36518686923442045</v>
      </c>
      <c r="H855">
        <f t="shared" ca="1" si="91"/>
        <v>0.20647817954062758</v>
      </c>
      <c r="I855">
        <f t="shared" ca="1" si="92"/>
        <v>0.36518686923442045</v>
      </c>
      <c r="J855">
        <f t="shared" ca="1" si="93"/>
        <v>0.41046263048227671</v>
      </c>
      <c r="K855">
        <f t="shared" ca="1" si="94"/>
        <v>19.500078188040593</v>
      </c>
      <c r="L855">
        <f t="shared" ca="1" si="95"/>
        <v>21.913391438949589</v>
      </c>
      <c r="M855">
        <f t="shared" ca="1" si="96"/>
        <v>0</v>
      </c>
      <c r="N855">
        <f t="shared" ca="1" si="97"/>
        <v>0</v>
      </c>
    </row>
    <row r="856" spans="6:14" x14ac:dyDescent="0.75">
      <c r="F856">
        <v>851</v>
      </c>
      <c r="G856">
        <f t="shared" ca="1" si="91"/>
        <v>-1.0891124020767062</v>
      </c>
      <c r="H856">
        <f t="shared" ca="1" si="91"/>
        <v>-0.61243943113307531</v>
      </c>
      <c r="I856">
        <f t="shared" ca="1" si="92"/>
        <v>-1.0891124020767062</v>
      </c>
      <c r="J856">
        <f t="shared" ca="1" si="93"/>
        <v>-1.2219249085245263</v>
      </c>
      <c r="K856">
        <f t="shared" ca="1" si="94"/>
        <v>13.556195257044079</v>
      </c>
      <c r="L856">
        <f t="shared" ca="1" si="95"/>
        <v>14.570530739629779</v>
      </c>
      <c r="M856">
        <f t="shared" ca="1" si="96"/>
        <v>0</v>
      </c>
      <c r="N856">
        <f t="shared" ca="1" si="97"/>
        <v>0</v>
      </c>
    </row>
    <row r="857" spans="6:14" x14ac:dyDescent="0.75">
      <c r="F857">
        <v>852</v>
      </c>
      <c r="G857">
        <f t="shared" ca="1" si="91"/>
        <v>0.60784507165067303</v>
      </c>
      <c r="H857">
        <f t="shared" ca="1" si="91"/>
        <v>1.0101864779746623</v>
      </c>
      <c r="I857">
        <f t="shared" ca="1" si="92"/>
        <v>0.60784507165067303</v>
      </c>
      <c r="J857">
        <f t="shared" ca="1" si="93"/>
        <v>1.1240593533683008</v>
      </c>
      <c r="K857">
        <f t="shared" ca="1" si="94"/>
        <v>20.719660369195203</v>
      </c>
      <c r="L857">
        <f t="shared" ca="1" si="95"/>
        <v>26.193128670790536</v>
      </c>
      <c r="M857">
        <f t="shared" ca="1" si="96"/>
        <v>0</v>
      </c>
      <c r="N857">
        <f t="shared" ca="1" si="97"/>
        <v>0</v>
      </c>
    </row>
    <row r="858" spans="6:14" x14ac:dyDescent="0.75">
      <c r="F858">
        <v>853</v>
      </c>
      <c r="G858">
        <f t="shared" ca="1" si="91"/>
        <v>-2.2033290389816749</v>
      </c>
      <c r="H858">
        <f t="shared" ca="1" si="91"/>
        <v>-1.6325862403964695</v>
      </c>
      <c r="I858">
        <f t="shared" ca="1" si="92"/>
        <v>-2.2033290389816749</v>
      </c>
      <c r="J858">
        <f t="shared" ca="1" si="93"/>
        <v>-2.7323510757249987</v>
      </c>
      <c r="K858">
        <f t="shared" ca="1" si="94"/>
        <v>10.260376122161315</v>
      </c>
      <c r="L858">
        <f t="shared" ca="1" si="95"/>
        <v>9.9881012009783774</v>
      </c>
      <c r="M858">
        <f t="shared" ca="1" si="96"/>
        <v>0</v>
      </c>
      <c r="N858">
        <f t="shared" ca="1" si="97"/>
        <v>0</v>
      </c>
    </row>
    <row r="859" spans="6:14" x14ac:dyDescent="0.75">
      <c r="F859">
        <v>854</v>
      </c>
      <c r="G859">
        <f t="shared" ca="1" si="91"/>
        <v>1.1233210943941883</v>
      </c>
      <c r="H859">
        <f t="shared" ca="1" si="91"/>
        <v>3.9043902503736364E-2</v>
      </c>
      <c r="I859">
        <f t="shared" ca="1" si="92"/>
        <v>1.1233210943941883</v>
      </c>
      <c r="J859">
        <f t="shared" ca="1" si="93"/>
        <v>0.86831593485522585</v>
      </c>
      <c r="K859">
        <f t="shared" ca="1" si="94"/>
        <v>23.569465309929928</v>
      </c>
      <c r="L859">
        <f t="shared" ca="1" si="95"/>
        <v>24.570861703062011</v>
      </c>
      <c r="M859">
        <f t="shared" ca="1" si="96"/>
        <v>0</v>
      </c>
      <c r="N859">
        <f t="shared" ca="1" si="97"/>
        <v>0</v>
      </c>
    </row>
    <row r="860" spans="6:14" x14ac:dyDescent="0.75">
      <c r="F860">
        <v>855</v>
      </c>
      <c r="G860">
        <f t="shared" ca="1" si="91"/>
        <v>0.67438740454153001</v>
      </c>
      <c r="H860">
        <f t="shared" ca="1" si="91"/>
        <v>0.23880085656277436</v>
      </c>
      <c r="I860">
        <f t="shared" ca="1" si="92"/>
        <v>0.67438740454153001</v>
      </c>
      <c r="J860">
        <f t="shared" ca="1" si="93"/>
        <v>0.66374247323972435</v>
      </c>
      <c r="K860">
        <f t="shared" ca="1" si="94"/>
        <v>21.067226974704635</v>
      </c>
      <c r="L860">
        <f t="shared" ca="1" si="95"/>
        <v>23.345818570381518</v>
      </c>
      <c r="M860">
        <f t="shared" ca="1" si="96"/>
        <v>0</v>
      </c>
      <c r="N860">
        <f t="shared" ca="1" si="97"/>
        <v>0</v>
      </c>
    </row>
    <row r="861" spans="6:14" x14ac:dyDescent="0.75">
      <c r="F861">
        <v>856</v>
      </c>
      <c r="G861">
        <f t="shared" ca="1" si="91"/>
        <v>8.6848717181395099E-2</v>
      </c>
      <c r="H861">
        <f t="shared" ca="1" si="91"/>
        <v>-0.23056526759444601</v>
      </c>
      <c r="I861">
        <f t="shared" ca="1" si="92"/>
        <v>8.6848717181395099E-2</v>
      </c>
      <c r="J861">
        <f t="shared" ca="1" si="93"/>
        <v>-8.7368051869944605E-2</v>
      </c>
      <c r="K861">
        <f t="shared" ca="1" si="94"/>
        <v>18.18930778656366</v>
      </c>
      <c r="L861">
        <f t="shared" ca="1" si="95"/>
        <v>19.348990751813176</v>
      </c>
      <c r="M861">
        <f t="shared" ca="1" si="96"/>
        <v>0</v>
      </c>
      <c r="N861">
        <f t="shared" ca="1" si="97"/>
        <v>0</v>
      </c>
    </row>
    <row r="862" spans="6:14" x14ac:dyDescent="0.75">
      <c r="F862">
        <v>857</v>
      </c>
      <c r="G862">
        <f t="shared" ca="1" si="91"/>
        <v>0.45968725639796665</v>
      </c>
      <c r="H862">
        <f t="shared" ca="1" si="91"/>
        <v>1.558495953522701</v>
      </c>
      <c r="I862">
        <f t="shared" ca="1" si="92"/>
        <v>0.45968725639796665</v>
      </c>
      <c r="J862">
        <f t="shared" ca="1" si="93"/>
        <v>1.3756136203788614</v>
      </c>
      <c r="K862">
        <f t="shared" ca="1" si="94"/>
        <v>19.96625446991731</v>
      </c>
      <c r="L862">
        <f t="shared" ca="1" si="95"/>
        <v>27.893276626249982</v>
      </c>
      <c r="M862">
        <f t="shared" ca="1" si="96"/>
        <v>0</v>
      </c>
      <c r="N862">
        <f t="shared" ca="1" si="97"/>
        <v>0</v>
      </c>
    </row>
    <row r="863" spans="6:14" x14ac:dyDescent="0.75">
      <c r="F863">
        <v>858</v>
      </c>
      <c r="G863">
        <f t="shared" ca="1" si="91"/>
        <v>-0.73861567749341372</v>
      </c>
      <c r="H863">
        <f t="shared" ca="1" si="91"/>
        <v>-0.11057939691848809</v>
      </c>
      <c r="I863">
        <f t="shared" ca="1" si="92"/>
        <v>-0.73861567749341372</v>
      </c>
      <c r="J863">
        <f t="shared" ca="1" si="93"/>
        <v>-0.6271031542135157</v>
      </c>
      <c r="K863">
        <f t="shared" ca="1" si="94"/>
        <v>14.797641922616243</v>
      </c>
      <c r="L863">
        <f t="shared" ca="1" si="95"/>
        <v>16.906640690265352</v>
      </c>
      <c r="M863">
        <f t="shared" ca="1" si="96"/>
        <v>0</v>
      </c>
      <c r="N863">
        <f t="shared" ca="1" si="97"/>
        <v>0</v>
      </c>
    </row>
    <row r="864" spans="6:14" x14ac:dyDescent="0.75">
      <c r="F864">
        <v>859</v>
      </c>
      <c r="G864">
        <f t="shared" ca="1" si="91"/>
        <v>1.6493979558496268</v>
      </c>
      <c r="H864">
        <f t="shared" ca="1" si="91"/>
        <v>-0.23354460393769796</v>
      </c>
      <c r="I864">
        <f t="shared" ca="1" si="92"/>
        <v>1.6493979558496268</v>
      </c>
      <c r="J864">
        <f t="shared" ca="1" si="93"/>
        <v>1.0825732313721639</v>
      </c>
      <c r="K864">
        <f t="shared" ca="1" si="94"/>
        <v>26.882385200572671</v>
      </c>
      <c r="L864">
        <f t="shared" ca="1" si="95"/>
        <v>25.92286975979637</v>
      </c>
      <c r="M864">
        <f t="shared" ca="1" si="96"/>
        <v>0</v>
      </c>
      <c r="N864">
        <f t="shared" ca="1" si="97"/>
        <v>0</v>
      </c>
    </row>
    <row r="865" spans="6:14" x14ac:dyDescent="0.75">
      <c r="F865">
        <v>860</v>
      </c>
      <c r="G865">
        <f t="shared" ca="1" si="91"/>
        <v>2.0692775915378854</v>
      </c>
      <c r="H865">
        <f t="shared" ca="1" si="91"/>
        <v>1.4452855968910256</v>
      </c>
      <c r="I865">
        <f t="shared" ca="1" si="92"/>
        <v>2.0692775915378854</v>
      </c>
      <c r="J865">
        <f t="shared" ca="1" si="93"/>
        <v>2.5079247593627141</v>
      </c>
      <c r="K865">
        <f t="shared" ca="1" si="94"/>
        <v>29.857652011493819</v>
      </c>
      <c r="L865">
        <f t="shared" ca="1" si="95"/>
        <v>37.020190884841881</v>
      </c>
      <c r="M865">
        <f t="shared" ca="1" si="96"/>
        <v>0</v>
      </c>
      <c r="N865">
        <f t="shared" ca="1" si="97"/>
        <v>0</v>
      </c>
    </row>
    <row r="866" spans="6:14" x14ac:dyDescent="0.75">
      <c r="F866">
        <v>861</v>
      </c>
      <c r="G866">
        <f t="shared" ca="1" si="91"/>
        <v>-0.98247663973589983</v>
      </c>
      <c r="H866">
        <f t="shared" ca="1" si="91"/>
        <v>0.26264832340972571</v>
      </c>
      <c r="I866">
        <f t="shared" ca="1" si="92"/>
        <v>-0.98247663973589983</v>
      </c>
      <c r="J866">
        <f t="shared" ca="1" si="93"/>
        <v>-0.56313194329937521</v>
      </c>
      <c r="K866">
        <f t="shared" ca="1" si="94"/>
        <v>13.922449342804464</v>
      </c>
      <c r="L866">
        <f t="shared" ca="1" si="95"/>
        <v>17.179198935429287</v>
      </c>
      <c r="M866">
        <f t="shared" ca="1" si="96"/>
        <v>0</v>
      </c>
      <c r="N866">
        <f t="shared" ca="1" si="97"/>
        <v>0</v>
      </c>
    </row>
    <row r="867" spans="6:14" x14ac:dyDescent="0.75">
      <c r="F867">
        <v>862</v>
      </c>
      <c r="G867">
        <f t="shared" ca="1" si="91"/>
        <v>1.4519793494386433</v>
      </c>
      <c r="H867">
        <f t="shared" ca="1" si="91"/>
        <v>0.47382155621857125</v>
      </c>
      <c r="I867">
        <f t="shared" ca="1" si="92"/>
        <v>1.4519793494386433</v>
      </c>
      <c r="J867">
        <f t="shared" ca="1" si="93"/>
        <v>1.40238801297297</v>
      </c>
      <c r="K867">
        <f t="shared" ca="1" si="94"/>
        <v>25.587823537263578</v>
      </c>
      <c r="L867">
        <f t="shared" ca="1" si="95"/>
        <v>28.080609276330524</v>
      </c>
      <c r="M867">
        <f t="shared" ca="1" si="96"/>
        <v>0</v>
      </c>
      <c r="N867">
        <f t="shared" ca="1" si="97"/>
        <v>0</v>
      </c>
    </row>
    <row r="868" spans="6:14" x14ac:dyDescent="0.75">
      <c r="F868">
        <v>863</v>
      </c>
      <c r="G868">
        <f t="shared" ca="1" si="91"/>
        <v>-5.2876910599371781E-2</v>
      </c>
      <c r="H868">
        <f t="shared" ca="1" si="91"/>
        <v>-1.1364501312589199</v>
      </c>
      <c r="I868">
        <f t="shared" ca="1" si="92"/>
        <v>-5.2876910599371781E-2</v>
      </c>
      <c r="J868">
        <f t="shared" ca="1" si="93"/>
        <v>-0.79134878913398221</v>
      </c>
      <c r="K868">
        <f t="shared" ca="1" si="94"/>
        <v>17.564898905434578</v>
      </c>
      <c r="L868">
        <f t="shared" ca="1" si="95"/>
        <v>16.226489745351998</v>
      </c>
      <c r="M868">
        <f t="shared" ca="1" si="96"/>
        <v>0</v>
      </c>
      <c r="N868">
        <f t="shared" ca="1" si="97"/>
        <v>0</v>
      </c>
    </row>
    <row r="869" spans="6:14" x14ac:dyDescent="0.75">
      <c r="F869">
        <v>864</v>
      </c>
      <c r="G869">
        <f t="shared" ca="1" si="91"/>
        <v>1.6574689792327564</v>
      </c>
      <c r="H869">
        <f t="shared" ca="1" si="91"/>
        <v>-1.7785680611837968</v>
      </c>
      <c r="I869">
        <f t="shared" ca="1" si="92"/>
        <v>1.6574689792327564</v>
      </c>
      <c r="J869">
        <f t="shared" ca="1" si="93"/>
        <v>6.6689539500907724E-2</v>
      </c>
      <c r="K869">
        <f t="shared" ca="1" si="94"/>
        <v>26.936682050931573</v>
      </c>
      <c r="L869">
        <f t="shared" ca="1" si="95"/>
        <v>20.108742252237608</v>
      </c>
      <c r="M869">
        <f t="shared" ca="1" si="96"/>
        <v>0</v>
      </c>
      <c r="N869">
        <f t="shared" ca="1" si="97"/>
        <v>0</v>
      </c>
    </row>
    <row r="870" spans="6:14" x14ac:dyDescent="0.75">
      <c r="F870">
        <v>865</v>
      </c>
      <c r="G870">
        <f t="shared" ca="1" si="91"/>
        <v>1.4894428894665248</v>
      </c>
      <c r="H870">
        <f t="shared" ca="1" si="91"/>
        <v>-1.0629988644261663</v>
      </c>
      <c r="I870">
        <f t="shared" ca="1" si="92"/>
        <v>1.4894428894665248</v>
      </c>
      <c r="J870">
        <f t="shared" ca="1" si="93"/>
        <v>0.41397450729596841</v>
      </c>
      <c r="K870">
        <f t="shared" ca="1" si="94"/>
        <v>25.828601941431451</v>
      </c>
      <c r="L870">
        <f t="shared" ca="1" si="95"/>
        <v>21.93263916999669</v>
      </c>
      <c r="M870">
        <f t="shared" ca="1" si="96"/>
        <v>0</v>
      </c>
      <c r="N870">
        <f t="shared" ca="1" si="97"/>
        <v>0</v>
      </c>
    </row>
    <row r="871" spans="6:14" x14ac:dyDescent="0.75">
      <c r="F871">
        <v>866</v>
      </c>
      <c r="G871">
        <f t="shared" ref="G871:H902" ca="1" si="98">NORMSINV(RAND())</f>
        <v>1.2320494903961172</v>
      </c>
      <c r="H871">
        <f t="shared" ca="1" si="98"/>
        <v>0.8250637791276928</v>
      </c>
      <c r="I871">
        <f t="shared" ca="1" si="92"/>
        <v>1.2320494903961172</v>
      </c>
      <c r="J871">
        <f t="shared" ca="1" si="93"/>
        <v>1.4697655116318376</v>
      </c>
      <c r="K871">
        <f t="shared" ca="1" si="94"/>
        <v>24.218919627304015</v>
      </c>
      <c r="L871">
        <f t="shared" ca="1" si="95"/>
        <v>28.557615739098186</v>
      </c>
      <c r="M871">
        <f t="shared" ca="1" si="96"/>
        <v>0</v>
      </c>
      <c r="N871">
        <f t="shared" ca="1" si="97"/>
        <v>0</v>
      </c>
    </row>
    <row r="872" spans="6:14" x14ac:dyDescent="0.75">
      <c r="F872">
        <v>867</v>
      </c>
      <c r="G872">
        <f t="shared" ca="1" si="98"/>
        <v>0.56041665340945435</v>
      </c>
      <c r="H872">
        <f t="shared" ca="1" si="98"/>
        <v>-0.73453285638439425</v>
      </c>
      <c r="I872">
        <f t="shared" ca="1" si="92"/>
        <v>0.56041665340945435</v>
      </c>
      <c r="J872">
        <f t="shared" ca="1" si="93"/>
        <v>-6.5535326892666668E-2</v>
      </c>
      <c r="K872">
        <f t="shared" ca="1" si="94"/>
        <v>20.475435948295846</v>
      </c>
      <c r="L872">
        <f t="shared" ca="1" si="95"/>
        <v>19.454889795408384</v>
      </c>
      <c r="M872">
        <f t="shared" ca="1" si="96"/>
        <v>0</v>
      </c>
      <c r="N872">
        <f t="shared" ca="1" si="97"/>
        <v>0</v>
      </c>
    </row>
    <row r="873" spans="6:14" x14ac:dyDescent="0.75">
      <c r="F873">
        <v>868</v>
      </c>
      <c r="G873">
        <f t="shared" ca="1" si="98"/>
        <v>0.56833145554341535</v>
      </c>
      <c r="H873">
        <f t="shared" ca="1" si="98"/>
        <v>-6.8405614829610717E-2</v>
      </c>
      <c r="I873">
        <f t="shared" ca="1" si="92"/>
        <v>0.56833145554341535</v>
      </c>
      <c r="J873">
        <f t="shared" ca="1" si="93"/>
        <v>0.38100253037765602</v>
      </c>
      <c r="K873">
        <f t="shared" ca="1" si="94"/>
        <v>20.515990814065564</v>
      </c>
      <c r="L873">
        <f t="shared" ca="1" si="95"/>
        <v>21.752591636740132</v>
      </c>
      <c r="M873">
        <f t="shared" ca="1" si="96"/>
        <v>0</v>
      </c>
      <c r="N873">
        <f t="shared" ca="1" si="97"/>
        <v>0</v>
      </c>
    </row>
    <row r="874" spans="6:14" x14ac:dyDescent="0.75">
      <c r="F874">
        <v>869</v>
      </c>
      <c r="G874">
        <f t="shared" ca="1" si="98"/>
        <v>-0.93931586496070052</v>
      </c>
      <c r="H874">
        <f t="shared" ca="1" si="98"/>
        <v>0.73770768160660838</v>
      </c>
      <c r="I874">
        <f t="shared" ca="1" si="92"/>
        <v>-0.93931586496070052</v>
      </c>
      <c r="J874">
        <f t="shared" ca="1" si="93"/>
        <v>-0.21653913227224947</v>
      </c>
      <c r="K874">
        <f t="shared" ca="1" si="94"/>
        <v>14.073488674291884</v>
      </c>
      <c r="L874">
        <f t="shared" ca="1" si="95"/>
        <v>18.734139300902775</v>
      </c>
      <c r="M874">
        <f t="shared" ca="1" si="96"/>
        <v>0</v>
      </c>
      <c r="N874">
        <f t="shared" ca="1" si="97"/>
        <v>0</v>
      </c>
    </row>
    <row r="875" spans="6:14" x14ac:dyDescent="0.75">
      <c r="F875">
        <v>870</v>
      </c>
      <c r="G875">
        <f t="shared" ca="1" si="98"/>
        <v>-0.55709672320552517</v>
      </c>
      <c r="H875">
        <f t="shared" ca="1" si="98"/>
        <v>0.53258529034355828</v>
      </c>
      <c r="I875">
        <f t="shared" ca="1" si="92"/>
        <v>-0.55709672320552517</v>
      </c>
      <c r="J875">
        <f t="shared" ca="1" si="93"/>
        <v>-6.5550484859097591E-2</v>
      </c>
      <c r="K875">
        <f t="shared" ca="1" si="94"/>
        <v>15.484624704971928</v>
      </c>
      <c r="L875">
        <f t="shared" ca="1" si="95"/>
        <v>19.454816071406466</v>
      </c>
      <c r="M875">
        <f t="shared" ca="1" si="96"/>
        <v>0</v>
      </c>
      <c r="N875">
        <f t="shared" ca="1" si="97"/>
        <v>0</v>
      </c>
    </row>
    <row r="876" spans="6:14" x14ac:dyDescent="0.75">
      <c r="F876">
        <v>871</v>
      </c>
      <c r="G876">
        <f t="shared" ca="1" si="98"/>
        <v>-0.66452276925709086</v>
      </c>
      <c r="H876">
        <f t="shared" ca="1" si="98"/>
        <v>0.54683666582486268</v>
      </c>
      <c r="I876">
        <f t="shared" ca="1" si="92"/>
        <v>-0.66452276925709086</v>
      </c>
      <c r="J876">
        <f t="shared" ca="1" si="93"/>
        <v>-0.13669362055673823</v>
      </c>
      <c r="K876">
        <f t="shared" ca="1" si="94"/>
        <v>15.074296360174326</v>
      </c>
      <c r="L876">
        <f t="shared" ca="1" si="95"/>
        <v>19.111855865317992</v>
      </c>
      <c r="M876">
        <f t="shared" ca="1" si="96"/>
        <v>0</v>
      </c>
      <c r="N876">
        <f t="shared" ca="1" si="97"/>
        <v>0</v>
      </c>
    </row>
    <row r="877" spans="6:14" x14ac:dyDescent="0.75">
      <c r="F877">
        <v>872</v>
      </c>
      <c r="G877">
        <f t="shared" ca="1" si="98"/>
        <v>0.98229821056853517</v>
      </c>
      <c r="H877">
        <f t="shared" ca="1" si="98"/>
        <v>-2.7808321346926384E-2</v>
      </c>
      <c r="I877">
        <f t="shared" ca="1" si="92"/>
        <v>0.98229821056853517</v>
      </c>
      <c r="J877">
        <f t="shared" ca="1" si="93"/>
        <v>0.71833018226086742</v>
      </c>
      <c r="K877">
        <f t="shared" ca="1" si="94"/>
        <v>22.75298420267287</v>
      </c>
      <c r="L877">
        <f t="shared" ca="1" si="95"/>
        <v>23.666601127746134</v>
      </c>
      <c r="M877">
        <f t="shared" ca="1" si="96"/>
        <v>0</v>
      </c>
      <c r="N877">
        <f t="shared" ca="1" si="97"/>
        <v>0</v>
      </c>
    </row>
    <row r="878" spans="6:14" x14ac:dyDescent="0.75">
      <c r="F878">
        <v>873</v>
      </c>
      <c r="G878">
        <f t="shared" ca="1" si="98"/>
        <v>0.79254617310899478</v>
      </c>
      <c r="H878">
        <f t="shared" ca="1" si="98"/>
        <v>0.44958677216957593</v>
      </c>
      <c r="I878">
        <f t="shared" ca="1" si="92"/>
        <v>0.79254617310899478</v>
      </c>
      <c r="J878">
        <f t="shared" ca="1" si="93"/>
        <v>0.89178332780798431</v>
      </c>
      <c r="K878">
        <f t="shared" ca="1" si="94"/>
        <v>21.698829113196332</v>
      </c>
      <c r="L878">
        <f t="shared" ca="1" si="95"/>
        <v>24.715438911330946</v>
      </c>
      <c r="M878">
        <f t="shared" ca="1" si="96"/>
        <v>0</v>
      </c>
      <c r="N878">
        <f t="shared" ca="1" si="97"/>
        <v>0</v>
      </c>
    </row>
    <row r="879" spans="6:14" x14ac:dyDescent="0.75">
      <c r="F879">
        <v>874</v>
      </c>
      <c r="G879">
        <f t="shared" ca="1" si="98"/>
        <v>0.19988453147447918</v>
      </c>
      <c r="H879">
        <f t="shared" ca="1" si="98"/>
        <v>-0.96674415188399521</v>
      </c>
      <c r="I879">
        <f t="shared" ca="1" si="92"/>
        <v>0.19988453147447918</v>
      </c>
      <c r="J879">
        <f t="shared" ca="1" si="93"/>
        <v>-0.48952775322191711</v>
      </c>
      <c r="K879">
        <f t="shared" ca="1" si="94"/>
        <v>18.710650192755278</v>
      </c>
      <c r="L879">
        <f t="shared" ca="1" si="95"/>
        <v>17.498240539037841</v>
      </c>
      <c r="M879">
        <f t="shared" ca="1" si="96"/>
        <v>0</v>
      </c>
      <c r="N879">
        <f t="shared" ca="1" si="97"/>
        <v>0</v>
      </c>
    </row>
    <row r="880" spans="6:14" x14ac:dyDescent="0.75">
      <c r="F880">
        <v>875</v>
      </c>
      <c r="G880">
        <f t="shared" ca="1" si="98"/>
        <v>1.0495043533226243</v>
      </c>
      <c r="H880">
        <f t="shared" ca="1" si="98"/>
        <v>0.21234242378146573</v>
      </c>
      <c r="I880">
        <f t="shared" ca="1" si="92"/>
        <v>1.0495043533226243</v>
      </c>
      <c r="J880">
        <f t="shared" ca="1" si="93"/>
        <v>0.92757957652057965</v>
      </c>
      <c r="K880">
        <f t="shared" ca="1" si="94"/>
        <v>23.138498828729428</v>
      </c>
      <c r="L880">
        <f t="shared" ca="1" si="95"/>
        <v>24.937611546536189</v>
      </c>
      <c r="M880">
        <f t="shared" ca="1" si="96"/>
        <v>0</v>
      </c>
      <c r="N880">
        <f t="shared" ca="1" si="97"/>
        <v>0</v>
      </c>
    </row>
    <row r="881" spans="6:14" x14ac:dyDescent="0.75">
      <c r="F881">
        <v>876</v>
      </c>
      <c r="G881">
        <f t="shared" ca="1" si="98"/>
        <v>1.2753969697093814</v>
      </c>
      <c r="H881">
        <f t="shared" ca="1" si="98"/>
        <v>1.0784999573017009</v>
      </c>
      <c r="I881">
        <f t="shared" ca="1" si="92"/>
        <v>1.2753969697093814</v>
      </c>
      <c r="J881">
        <f t="shared" ca="1" si="93"/>
        <v>1.6699083962855561</v>
      </c>
      <c r="K881">
        <f t="shared" ca="1" si="94"/>
        <v>24.482804165386579</v>
      </c>
      <c r="L881">
        <f t="shared" ca="1" si="95"/>
        <v>30.022868440562757</v>
      </c>
      <c r="M881">
        <f t="shared" ca="1" si="96"/>
        <v>0</v>
      </c>
      <c r="N881">
        <f t="shared" ca="1" si="97"/>
        <v>0</v>
      </c>
    </row>
    <row r="882" spans="6:14" x14ac:dyDescent="0.75">
      <c r="F882">
        <v>877</v>
      </c>
      <c r="G882">
        <f t="shared" ca="1" si="98"/>
        <v>1.4182047726772495</v>
      </c>
      <c r="H882">
        <f t="shared" ca="1" si="98"/>
        <v>-2.5521531516792288</v>
      </c>
      <c r="I882">
        <f t="shared" ca="1" si="92"/>
        <v>1.4182047726772495</v>
      </c>
      <c r="J882">
        <f t="shared" ca="1" si="93"/>
        <v>-0.62443705726529952</v>
      </c>
      <c r="K882">
        <f t="shared" ca="1" si="94"/>
        <v>25.372678641414833</v>
      </c>
      <c r="L882">
        <f t="shared" ca="1" si="95"/>
        <v>16.917913132313174</v>
      </c>
      <c r="M882">
        <f t="shared" ca="1" si="96"/>
        <v>0</v>
      </c>
      <c r="N882">
        <f t="shared" ca="1" si="97"/>
        <v>0</v>
      </c>
    </row>
    <row r="883" spans="6:14" x14ac:dyDescent="0.75">
      <c r="F883">
        <v>878</v>
      </c>
      <c r="G883">
        <f t="shared" ca="1" si="98"/>
        <v>-0.89038720191194831</v>
      </c>
      <c r="H883">
        <f t="shared" ca="1" si="98"/>
        <v>0.57101447530492311</v>
      </c>
      <c r="I883">
        <f t="shared" ca="1" si="92"/>
        <v>-0.89038720191194831</v>
      </c>
      <c r="J883">
        <f t="shared" ca="1" si="93"/>
        <v>-0.29009982726524636</v>
      </c>
      <c r="K883">
        <f t="shared" ca="1" si="94"/>
        <v>14.246695105823889</v>
      </c>
      <c r="L883">
        <f t="shared" ca="1" si="95"/>
        <v>18.392763822319271</v>
      </c>
      <c r="M883">
        <f t="shared" ca="1" si="96"/>
        <v>0</v>
      </c>
      <c r="N883">
        <f t="shared" ca="1" si="97"/>
        <v>0</v>
      </c>
    </row>
    <row r="884" spans="6:14" x14ac:dyDescent="0.75">
      <c r="F884">
        <v>879</v>
      </c>
      <c r="G884">
        <f t="shared" ca="1" si="98"/>
        <v>1.7041559562045518</v>
      </c>
      <c r="H884">
        <f t="shared" ca="1" si="98"/>
        <v>-0.30783381439582075</v>
      </c>
      <c r="I884">
        <f t="shared" ca="1" si="92"/>
        <v>1.7041559562045518</v>
      </c>
      <c r="J884">
        <f t="shared" ca="1" si="93"/>
        <v>1.0745040376464747</v>
      </c>
      <c r="K884">
        <f t="shared" ca="1" si="94"/>
        <v>27.252922060744257</v>
      </c>
      <c r="L884">
        <f t="shared" ca="1" si="95"/>
        <v>25.870628306309406</v>
      </c>
      <c r="M884">
        <f t="shared" ca="1" si="96"/>
        <v>0</v>
      </c>
      <c r="N884">
        <f t="shared" ca="1" si="97"/>
        <v>0</v>
      </c>
    </row>
    <row r="885" spans="6:14" x14ac:dyDescent="0.75">
      <c r="F885">
        <v>880</v>
      </c>
      <c r="G885">
        <f t="shared" ca="1" si="98"/>
        <v>0.49420538054459234</v>
      </c>
      <c r="H885">
        <f t="shared" ca="1" si="98"/>
        <v>1.6299617342130568</v>
      </c>
      <c r="I885">
        <f t="shared" ca="1" si="92"/>
        <v>0.49420538054459234</v>
      </c>
      <c r="J885">
        <f t="shared" ca="1" si="93"/>
        <v>1.4487723842282714</v>
      </c>
      <c r="K885">
        <f t="shared" ca="1" si="94"/>
        <v>20.139299457225796</v>
      </c>
      <c r="L885">
        <f t="shared" ca="1" si="95"/>
        <v>28.408129937644656</v>
      </c>
      <c r="M885">
        <f t="shared" ca="1" si="96"/>
        <v>0</v>
      </c>
      <c r="N885">
        <f t="shared" ca="1" si="97"/>
        <v>0</v>
      </c>
    </row>
    <row r="886" spans="6:14" x14ac:dyDescent="0.75">
      <c r="F886">
        <v>881</v>
      </c>
      <c r="G886">
        <f t="shared" ca="1" si="98"/>
        <v>0.28817395043830885</v>
      </c>
      <c r="H886">
        <f t="shared" ca="1" si="98"/>
        <v>-1.7548561468859443</v>
      </c>
      <c r="I886">
        <f t="shared" ca="1" si="92"/>
        <v>0.28817395043830885</v>
      </c>
      <c r="J886">
        <f t="shared" ca="1" si="93"/>
        <v>-0.9445977750095792</v>
      </c>
      <c r="K886">
        <f t="shared" ca="1" si="94"/>
        <v>19.128229830990158</v>
      </c>
      <c r="L886">
        <f t="shared" ca="1" si="95"/>
        <v>15.616574681417612</v>
      </c>
      <c r="M886">
        <f t="shared" ca="1" si="96"/>
        <v>0</v>
      </c>
      <c r="N886">
        <f t="shared" ca="1" si="97"/>
        <v>0</v>
      </c>
    </row>
    <row r="887" spans="6:14" x14ac:dyDescent="0.75">
      <c r="F887">
        <v>882</v>
      </c>
      <c r="G887">
        <f t="shared" ca="1" si="98"/>
        <v>-0.935851945345055</v>
      </c>
      <c r="H887">
        <f t="shared" ca="1" si="98"/>
        <v>-1.2107847824377982</v>
      </c>
      <c r="I887">
        <f t="shared" ca="1" si="92"/>
        <v>-0.935851945345055</v>
      </c>
      <c r="J887">
        <f t="shared" ca="1" si="93"/>
        <v>-1.5027478153967562</v>
      </c>
      <c r="K887">
        <f t="shared" ca="1" si="94"/>
        <v>14.085681311189049</v>
      </c>
      <c r="L887">
        <f t="shared" ca="1" si="95"/>
        <v>13.582678207117635</v>
      </c>
      <c r="M887">
        <f t="shared" ca="1" si="96"/>
        <v>0</v>
      </c>
      <c r="N887">
        <f t="shared" ca="1" si="97"/>
        <v>0</v>
      </c>
    </row>
    <row r="888" spans="6:14" x14ac:dyDescent="0.75">
      <c r="F888">
        <v>883</v>
      </c>
      <c r="G888">
        <f t="shared" ca="1" si="98"/>
        <v>-0.16434981979724236</v>
      </c>
      <c r="H888">
        <f t="shared" ca="1" si="98"/>
        <v>0.10584684978630468</v>
      </c>
      <c r="I888">
        <f t="shared" ca="1" si="92"/>
        <v>-0.16434981979724236</v>
      </c>
      <c r="J888">
        <f t="shared" ca="1" si="93"/>
        <v>-5.3251254449388663E-2</v>
      </c>
      <c r="K888">
        <f t="shared" ca="1" si="94"/>
        <v>17.082154172969691</v>
      </c>
      <c r="L888">
        <f t="shared" ca="1" si="95"/>
        <v>19.514727949312704</v>
      </c>
      <c r="M888">
        <f t="shared" ca="1" si="96"/>
        <v>0</v>
      </c>
      <c r="N888">
        <f t="shared" ca="1" si="97"/>
        <v>0</v>
      </c>
    </row>
    <row r="889" spans="6:14" x14ac:dyDescent="0.75">
      <c r="F889">
        <v>884</v>
      </c>
      <c r="G889">
        <f t="shared" ca="1" si="98"/>
        <v>-1.3328526542338774</v>
      </c>
      <c r="H889">
        <f t="shared" ca="1" si="98"/>
        <v>0.86359264528866453</v>
      </c>
      <c r="I889">
        <f t="shared" ca="1" si="92"/>
        <v>-1.3328526542338774</v>
      </c>
      <c r="J889">
        <f t="shared" ca="1" si="93"/>
        <v>-0.42842664730085245</v>
      </c>
      <c r="K889">
        <f t="shared" ca="1" si="94"/>
        <v>12.754811772587571</v>
      </c>
      <c r="L889">
        <f t="shared" ca="1" si="95"/>
        <v>17.767582903523685</v>
      </c>
      <c r="M889">
        <f t="shared" ca="1" si="96"/>
        <v>0</v>
      </c>
      <c r="N889">
        <f t="shared" ca="1" si="97"/>
        <v>0</v>
      </c>
    </row>
    <row r="890" spans="6:14" x14ac:dyDescent="0.75">
      <c r="F890">
        <v>885</v>
      </c>
      <c r="G890">
        <f t="shared" ca="1" si="98"/>
        <v>0.85844495576958002</v>
      </c>
      <c r="H890">
        <f t="shared" ca="1" si="98"/>
        <v>-2.0196130125224081</v>
      </c>
      <c r="I890">
        <f t="shared" ca="1" si="92"/>
        <v>0.85844495576958002</v>
      </c>
      <c r="J890">
        <f t="shared" ca="1" si="93"/>
        <v>-0.69201472710388212</v>
      </c>
      <c r="K890">
        <f t="shared" ca="1" si="94"/>
        <v>22.05927165729517</v>
      </c>
      <c r="L890">
        <f t="shared" ca="1" si="95"/>
        <v>16.634495672831658</v>
      </c>
      <c r="M890">
        <f t="shared" ca="1" si="96"/>
        <v>0</v>
      </c>
      <c r="N890">
        <f t="shared" ca="1" si="97"/>
        <v>0</v>
      </c>
    </row>
    <row r="891" spans="6:14" x14ac:dyDescent="0.75">
      <c r="F891">
        <v>886</v>
      </c>
      <c r="G891">
        <f t="shared" ca="1" si="98"/>
        <v>-8.1759343557937611E-2</v>
      </c>
      <c r="H891">
        <f t="shared" ca="1" si="98"/>
        <v>1.3897328757927614</v>
      </c>
      <c r="I891">
        <f t="shared" ca="1" si="92"/>
        <v>-8.1759343557937611E-2</v>
      </c>
      <c r="J891">
        <f t="shared" ca="1" si="93"/>
        <v>0.85790238687111242</v>
      </c>
      <c r="K891">
        <f t="shared" ca="1" si="94"/>
        <v>17.438526443746795</v>
      </c>
      <c r="L891">
        <f t="shared" ca="1" si="95"/>
        <v>24.506977435041311</v>
      </c>
      <c r="M891">
        <f t="shared" ca="1" si="96"/>
        <v>0</v>
      </c>
      <c r="N891">
        <f t="shared" ca="1" si="97"/>
        <v>0</v>
      </c>
    </row>
    <row r="892" spans="6:14" x14ac:dyDescent="0.75">
      <c r="F892">
        <v>887</v>
      </c>
      <c r="G892">
        <f t="shared" ca="1" si="98"/>
        <v>-0.52659518748237955</v>
      </c>
      <c r="H892">
        <f t="shared" ca="1" si="98"/>
        <v>-0.20194295953788813</v>
      </c>
      <c r="I892">
        <f t="shared" ca="1" si="92"/>
        <v>-0.52659518748237955</v>
      </c>
      <c r="J892">
        <f t="shared" ca="1" si="93"/>
        <v>-0.52851910310119243</v>
      </c>
      <c r="K892">
        <f t="shared" ca="1" si="94"/>
        <v>15.603152248053268</v>
      </c>
      <c r="L892">
        <f t="shared" ca="1" si="95"/>
        <v>17.328499183897655</v>
      </c>
      <c r="M892">
        <f t="shared" ca="1" si="96"/>
        <v>0</v>
      </c>
      <c r="N892">
        <f t="shared" ca="1" si="97"/>
        <v>0</v>
      </c>
    </row>
    <row r="893" spans="6:14" x14ac:dyDescent="0.75">
      <c r="F893">
        <v>888</v>
      </c>
      <c r="G893">
        <f t="shared" ca="1" si="98"/>
        <v>-1.7845336863712626</v>
      </c>
      <c r="H893">
        <f t="shared" ca="1" si="98"/>
        <v>0.99897151985302934</v>
      </c>
      <c r="I893">
        <f t="shared" ca="1" si="92"/>
        <v>-1.7845336863712626</v>
      </c>
      <c r="J893">
        <f t="shared" ca="1" si="93"/>
        <v>-0.67764271268661214</v>
      </c>
      <c r="K893">
        <f t="shared" ca="1" si="94"/>
        <v>11.392877008527783</v>
      </c>
      <c r="L893">
        <f t="shared" ca="1" si="95"/>
        <v>16.694370977418526</v>
      </c>
      <c r="M893">
        <f t="shared" ca="1" si="96"/>
        <v>0</v>
      </c>
      <c r="N893">
        <f t="shared" ca="1" si="97"/>
        <v>0</v>
      </c>
    </row>
    <row r="894" spans="6:14" x14ac:dyDescent="0.75">
      <c r="F894">
        <v>889</v>
      </c>
      <c r="G894">
        <f t="shared" ca="1" si="98"/>
        <v>-1.0026079012506506</v>
      </c>
      <c r="H894">
        <f t="shared" ca="1" si="98"/>
        <v>0.52805197239091672</v>
      </c>
      <c r="I894">
        <f t="shared" ca="1" si="92"/>
        <v>-1.0026079012506506</v>
      </c>
      <c r="J894">
        <f t="shared" ca="1" si="93"/>
        <v>-0.40268237637211024</v>
      </c>
      <c r="K894">
        <f t="shared" ca="1" si="94"/>
        <v>13.852556252680539</v>
      </c>
      <c r="L894">
        <f t="shared" ca="1" si="95"/>
        <v>17.882305054283599</v>
      </c>
      <c r="M894">
        <f t="shared" ca="1" si="96"/>
        <v>0</v>
      </c>
      <c r="N894">
        <f t="shared" ca="1" si="97"/>
        <v>0</v>
      </c>
    </row>
    <row r="895" spans="6:14" x14ac:dyDescent="0.75">
      <c r="F895">
        <v>890</v>
      </c>
      <c r="G895">
        <f t="shared" ca="1" si="98"/>
        <v>6.5277491463137535E-2</v>
      </c>
      <c r="H895">
        <f t="shared" ca="1" si="98"/>
        <v>1.0410266607789207</v>
      </c>
      <c r="I895">
        <f t="shared" ca="1" si="92"/>
        <v>6.5277491463137535E-2</v>
      </c>
      <c r="J895">
        <f t="shared" ca="1" si="93"/>
        <v>0.73753253174960876</v>
      </c>
      <c r="K895">
        <f t="shared" ca="1" si="94"/>
        <v>18.091480389777665</v>
      </c>
      <c r="L895">
        <f t="shared" ca="1" si="95"/>
        <v>23.780487857144085</v>
      </c>
      <c r="M895">
        <f t="shared" ca="1" si="96"/>
        <v>0</v>
      </c>
      <c r="N895">
        <f t="shared" ca="1" si="97"/>
        <v>0</v>
      </c>
    </row>
    <row r="896" spans="6:14" x14ac:dyDescent="0.75">
      <c r="F896">
        <v>891</v>
      </c>
      <c r="G896">
        <f t="shared" ca="1" si="98"/>
        <v>1.4519465863948215</v>
      </c>
      <c r="H896">
        <f t="shared" ca="1" si="98"/>
        <v>1.0768287874215505</v>
      </c>
      <c r="I896">
        <f t="shared" ca="1" si="92"/>
        <v>1.4519465863948215</v>
      </c>
      <c r="J896">
        <f t="shared" ca="1" si="93"/>
        <v>1.8012152338242813</v>
      </c>
      <c r="K896">
        <f t="shared" ca="1" si="94"/>
        <v>25.587613954375939</v>
      </c>
      <c r="L896">
        <f t="shared" ca="1" si="95"/>
        <v>31.024775098089258</v>
      </c>
      <c r="M896">
        <f t="shared" ca="1" si="96"/>
        <v>0</v>
      </c>
      <c r="N896">
        <f t="shared" ca="1" si="97"/>
        <v>0</v>
      </c>
    </row>
    <row r="897" spans="6:14" x14ac:dyDescent="0.75">
      <c r="F897">
        <v>892</v>
      </c>
      <c r="G897">
        <f t="shared" ca="1" si="98"/>
        <v>-0.53109362226262458</v>
      </c>
      <c r="H897">
        <f t="shared" ca="1" si="98"/>
        <v>-3.7794865165613929E-2</v>
      </c>
      <c r="I897">
        <f t="shared" ca="1" si="92"/>
        <v>-0.53109362226262458</v>
      </c>
      <c r="J897">
        <f t="shared" ca="1" si="93"/>
        <v>-0.42331917021282656</v>
      </c>
      <c r="K897">
        <f t="shared" ca="1" si="94"/>
        <v>15.585614670669132</v>
      </c>
      <c r="L897">
        <f t="shared" ca="1" si="95"/>
        <v>17.790284274428142</v>
      </c>
      <c r="M897">
        <f t="shared" ca="1" si="96"/>
        <v>0</v>
      </c>
      <c r="N897">
        <f t="shared" ca="1" si="97"/>
        <v>0</v>
      </c>
    </row>
    <row r="898" spans="6:14" x14ac:dyDescent="0.75">
      <c r="F898">
        <v>893</v>
      </c>
      <c r="G898">
        <f t="shared" ca="1" si="98"/>
        <v>-0.45323094973918848</v>
      </c>
      <c r="H898">
        <f t="shared" ca="1" si="98"/>
        <v>-0.22271678448604912</v>
      </c>
      <c r="I898">
        <f t="shared" ca="1" si="92"/>
        <v>-0.45323094973918848</v>
      </c>
      <c r="J898">
        <f t="shared" ca="1" si="93"/>
        <v>-0.48723651844190496</v>
      </c>
      <c r="K898">
        <f t="shared" ca="1" si="94"/>
        <v>15.891971116459516</v>
      </c>
      <c r="L898">
        <f t="shared" ca="1" si="95"/>
        <v>17.508266554586161</v>
      </c>
      <c r="M898">
        <f t="shared" ca="1" si="96"/>
        <v>0</v>
      </c>
      <c r="N898">
        <f t="shared" ca="1" si="97"/>
        <v>0</v>
      </c>
    </row>
    <row r="899" spans="6:14" x14ac:dyDescent="0.75">
      <c r="F899">
        <v>894</v>
      </c>
      <c r="G899">
        <f t="shared" ca="1" si="98"/>
        <v>1.101146521858553</v>
      </c>
      <c r="H899">
        <f t="shared" ca="1" si="98"/>
        <v>0.61398512977251241</v>
      </c>
      <c r="I899">
        <f t="shared" ca="1" si="92"/>
        <v>1.101146521858553</v>
      </c>
      <c r="J899">
        <f t="shared" ca="1" si="93"/>
        <v>1.2319728819113616</v>
      </c>
      <c r="K899">
        <f t="shared" ca="1" si="94"/>
        <v>23.439166105236225</v>
      </c>
      <c r="L899">
        <f t="shared" ca="1" si="95"/>
        <v>26.909395320068903</v>
      </c>
      <c r="M899">
        <f t="shared" ca="1" si="96"/>
        <v>0</v>
      </c>
      <c r="N899">
        <f t="shared" ca="1" si="97"/>
        <v>0</v>
      </c>
    </row>
    <row r="900" spans="6:14" x14ac:dyDescent="0.75">
      <c r="F900">
        <v>895</v>
      </c>
      <c r="G900">
        <f t="shared" ca="1" si="98"/>
        <v>-1.1601592171598114</v>
      </c>
      <c r="H900">
        <f t="shared" ca="1" si="98"/>
        <v>-0.78024240664196898</v>
      </c>
      <c r="I900">
        <f t="shared" ca="1" si="92"/>
        <v>-1.1601592171598114</v>
      </c>
      <c r="J900">
        <f t="shared" ca="1" si="93"/>
        <v>-1.3862012554501537</v>
      </c>
      <c r="K900">
        <f t="shared" ca="1" si="94"/>
        <v>13.317539869953823</v>
      </c>
      <c r="L900">
        <f t="shared" ca="1" si="95"/>
        <v>13.984253682944365</v>
      </c>
      <c r="M900">
        <f t="shared" ca="1" si="96"/>
        <v>0</v>
      </c>
      <c r="N900">
        <f t="shared" ca="1" si="97"/>
        <v>0</v>
      </c>
    </row>
    <row r="901" spans="6:14" x14ac:dyDescent="0.75">
      <c r="F901">
        <v>896</v>
      </c>
      <c r="G901">
        <f t="shared" ca="1" si="98"/>
        <v>-0.11871832961929191</v>
      </c>
      <c r="H901">
        <f t="shared" ca="1" si="98"/>
        <v>0.34645183738828372</v>
      </c>
      <c r="I901">
        <f t="shared" ca="1" si="92"/>
        <v>-0.11871832961929191</v>
      </c>
      <c r="J901">
        <f t="shared" ca="1" si="93"/>
        <v>0.14011760353322811</v>
      </c>
      <c r="K901">
        <f t="shared" ca="1" si="94"/>
        <v>17.278140981360401</v>
      </c>
      <c r="L901">
        <f t="shared" ca="1" si="95"/>
        <v>20.481287705448842</v>
      </c>
      <c r="M901">
        <f t="shared" ca="1" si="96"/>
        <v>0</v>
      </c>
      <c r="N901">
        <f t="shared" ca="1" si="97"/>
        <v>0</v>
      </c>
    </row>
    <row r="902" spans="6:14" x14ac:dyDescent="0.75">
      <c r="F902">
        <v>897</v>
      </c>
      <c r="G902">
        <f t="shared" ca="1" si="98"/>
        <v>-0.3301726776868395</v>
      </c>
      <c r="H902">
        <f t="shared" ca="1" si="98"/>
        <v>0.5696092834640426</v>
      </c>
      <c r="I902">
        <f t="shared" ca="1" si="92"/>
        <v>-0.3301726776868395</v>
      </c>
      <c r="J902">
        <f t="shared" ca="1" si="93"/>
        <v>0.12913161886475855</v>
      </c>
      <c r="K902">
        <f t="shared" ca="1" si="94"/>
        <v>16.388479008408122</v>
      </c>
      <c r="L902">
        <f t="shared" ca="1" si="95"/>
        <v>20.425113104243188</v>
      </c>
      <c r="M902">
        <f t="shared" ca="1" si="96"/>
        <v>0</v>
      </c>
      <c r="N902">
        <f t="shared" ca="1" si="97"/>
        <v>0</v>
      </c>
    </row>
    <row r="903" spans="6:14" x14ac:dyDescent="0.75">
      <c r="F903">
        <v>898</v>
      </c>
      <c r="G903">
        <f t="shared" ref="G903:H934" ca="1" si="99">NORMSINV(RAND())</f>
        <v>0.54593500115569193</v>
      </c>
      <c r="H903">
        <f t="shared" ca="1" si="99"/>
        <v>-0.73133048481890928</v>
      </c>
      <c r="I903">
        <f t="shared" ref="I903:I966" ca="1" si="100">G903</f>
        <v>0.54593500115569193</v>
      </c>
      <c r="J903">
        <f t="shared" ref="J903:J966" ca="1" si="101">G903*$C$8+SQRT(1-$C$8^2)*H903</f>
        <v>-7.4278396391014079E-2</v>
      </c>
      <c r="K903">
        <f t="shared" ref="K903:K966" ca="1" si="102">C$3*EXP(($C$5-0.5*C$4^2)*$C$6+C$4*SQRT($C$6)*I903)</f>
        <v>20.401440440484539</v>
      </c>
      <c r="L903">
        <f t="shared" ref="L903:L966" ca="1" si="103">D$3*EXP(($C$5-0.5*D$4^2)*$C$6+D$4*SQRT($C$6)*J903)</f>
        <v>19.412412371812326</v>
      </c>
      <c r="M903">
        <f t="shared" ref="M903:M966" ca="1" si="104">MAX(SQRT(K903*L903)-$C$7,0)</f>
        <v>0</v>
      </c>
      <c r="N903">
        <f t="shared" ref="N903:N966" ca="1" si="105">MAX((K903+L903)*0.5-$C$7,0)</f>
        <v>0</v>
      </c>
    </row>
    <row r="904" spans="6:14" x14ac:dyDescent="0.75">
      <c r="F904">
        <v>899</v>
      </c>
      <c r="G904">
        <f t="shared" ca="1" si="99"/>
        <v>-0.47867259994112987</v>
      </c>
      <c r="H904">
        <f t="shared" ca="1" si="99"/>
        <v>0.40107682258620547</v>
      </c>
      <c r="I904">
        <f t="shared" ca="1" si="100"/>
        <v>-0.47867259994112987</v>
      </c>
      <c r="J904">
        <f t="shared" ca="1" si="101"/>
        <v>-9.3717067657079045E-2</v>
      </c>
      <c r="K904">
        <f t="shared" ca="1" si="102"/>
        <v>15.791212397111318</v>
      </c>
      <c r="L904">
        <f t="shared" ca="1" si="103"/>
        <v>19.318303350668131</v>
      </c>
      <c r="M904">
        <f t="shared" ca="1" si="104"/>
        <v>0</v>
      </c>
      <c r="N904">
        <f t="shared" ca="1" si="105"/>
        <v>0</v>
      </c>
    </row>
    <row r="905" spans="6:14" x14ac:dyDescent="0.75">
      <c r="F905">
        <v>900</v>
      </c>
      <c r="G905">
        <f t="shared" ca="1" si="99"/>
        <v>-1.4481059393735536</v>
      </c>
      <c r="H905">
        <f t="shared" ca="1" si="99"/>
        <v>-1.3865433530532743</v>
      </c>
      <c r="I905">
        <f t="shared" ca="1" si="100"/>
        <v>-1.4481059393735536</v>
      </c>
      <c r="J905">
        <f t="shared" ca="1" si="101"/>
        <v>-2.0031916780773136</v>
      </c>
      <c r="K905">
        <f t="shared" ca="1" si="102"/>
        <v>12.392547365962756</v>
      </c>
      <c r="L905">
        <f t="shared" ca="1" si="103"/>
        <v>11.985341411350278</v>
      </c>
      <c r="M905">
        <f t="shared" ca="1" si="104"/>
        <v>0</v>
      </c>
      <c r="N905">
        <f t="shared" ca="1" si="105"/>
        <v>0</v>
      </c>
    </row>
    <row r="906" spans="6:14" x14ac:dyDescent="0.75">
      <c r="F906">
        <v>901</v>
      </c>
      <c r="G906">
        <f t="shared" ca="1" si="99"/>
        <v>1.689227485927667</v>
      </c>
      <c r="H906">
        <f t="shared" ca="1" si="99"/>
        <v>-0.75973796929287185</v>
      </c>
      <c r="I906">
        <f t="shared" ca="1" si="100"/>
        <v>1.689227485927667</v>
      </c>
      <c r="J906">
        <f t="shared" ca="1" si="101"/>
        <v>0.76440118236520893</v>
      </c>
      <c r="K906">
        <f t="shared" ca="1" si="102"/>
        <v>27.151400514520478</v>
      </c>
      <c r="L906">
        <f t="shared" ca="1" si="103"/>
        <v>23.940762956387527</v>
      </c>
      <c r="M906">
        <f t="shared" ca="1" si="104"/>
        <v>0</v>
      </c>
      <c r="N906">
        <f t="shared" ca="1" si="105"/>
        <v>0</v>
      </c>
    </row>
    <row r="907" spans="6:14" x14ac:dyDescent="0.75">
      <c r="F907">
        <v>902</v>
      </c>
      <c r="G907">
        <f t="shared" ca="1" si="99"/>
        <v>-1.1407325538245985</v>
      </c>
      <c r="H907">
        <f t="shared" ca="1" si="99"/>
        <v>-0.84287640347061188</v>
      </c>
      <c r="I907">
        <f t="shared" ca="1" si="100"/>
        <v>-1.1407325538245985</v>
      </c>
      <c r="J907">
        <f t="shared" ca="1" si="101"/>
        <v>-1.4130597527553934</v>
      </c>
      <c r="K907">
        <f t="shared" ca="1" si="102"/>
        <v>13.38237602716338</v>
      </c>
      <c r="L907">
        <f t="shared" ca="1" si="103"/>
        <v>13.890669216859422</v>
      </c>
      <c r="M907">
        <f t="shared" ca="1" si="104"/>
        <v>0</v>
      </c>
      <c r="N907">
        <f t="shared" ca="1" si="105"/>
        <v>0</v>
      </c>
    </row>
    <row r="908" spans="6:14" x14ac:dyDescent="0.75">
      <c r="F908">
        <v>903</v>
      </c>
      <c r="G908">
        <f t="shared" ca="1" si="99"/>
        <v>0.15470216907421469</v>
      </c>
      <c r="H908">
        <f t="shared" ca="1" si="99"/>
        <v>-0.96290159115161178</v>
      </c>
      <c r="I908">
        <f t="shared" ca="1" si="100"/>
        <v>0.15470216907421469</v>
      </c>
      <c r="J908">
        <f t="shared" ca="1" si="101"/>
        <v>-0.52087290999822833</v>
      </c>
      <c r="K908">
        <f t="shared" ca="1" si="102"/>
        <v>18.500491516017416</v>
      </c>
      <c r="L908">
        <f t="shared" ca="1" si="103"/>
        <v>17.361655126129889</v>
      </c>
      <c r="M908">
        <f t="shared" ca="1" si="104"/>
        <v>0</v>
      </c>
      <c r="N908">
        <f t="shared" ca="1" si="105"/>
        <v>0</v>
      </c>
    </row>
    <row r="909" spans="6:14" x14ac:dyDescent="0.75">
      <c r="F909">
        <v>904</v>
      </c>
      <c r="G909">
        <f t="shared" ca="1" si="99"/>
        <v>-0.22080660772993541</v>
      </c>
      <c r="H909">
        <f t="shared" ca="1" si="99"/>
        <v>-1.3859741679555568</v>
      </c>
      <c r="I909">
        <f t="shared" ca="1" si="100"/>
        <v>-0.22080660772993541</v>
      </c>
      <c r="J909">
        <f t="shared" ca="1" si="101"/>
        <v>-1.0823406987899691</v>
      </c>
      <c r="K909">
        <f t="shared" ca="1" si="102"/>
        <v>16.842746779987486</v>
      </c>
      <c r="L909">
        <f t="shared" ca="1" si="103"/>
        <v>15.087960363353973</v>
      </c>
      <c r="M909">
        <f t="shared" ca="1" si="104"/>
        <v>0</v>
      </c>
      <c r="N909">
        <f t="shared" ca="1" si="105"/>
        <v>0</v>
      </c>
    </row>
    <row r="910" spans="6:14" x14ac:dyDescent="0.75">
      <c r="F910">
        <v>905</v>
      </c>
      <c r="G910">
        <f t="shared" ca="1" si="99"/>
        <v>-1.1623261016805211</v>
      </c>
      <c r="H910">
        <f t="shared" ca="1" si="99"/>
        <v>1.9773268088871445</v>
      </c>
      <c r="I910">
        <f t="shared" ca="1" si="100"/>
        <v>-1.1623261016805211</v>
      </c>
      <c r="J910">
        <f t="shared" ca="1" si="101"/>
        <v>0.43613417299369073</v>
      </c>
      <c r="K910">
        <f t="shared" ca="1" si="102"/>
        <v>13.310327430945975</v>
      </c>
      <c r="L910">
        <f t="shared" ca="1" si="103"/>
        <v>22.054481344078312</v>
      </c>
      <c r="M910">
        <f t="shared" ca="1" si="104"/>
        <v>0</v>
      </c>
      <c r="N910">
        <f t="shared" ca="1" si="105"/>
        <v>0</v>
      </c>
    </row>
    <row r="911" spans="6:14" x14ac:dyDescent="0.75">
      <c r="F911">
        <v>906</v>
      </c>
      <c r="G911">
        <f t="shared" ca="1" si="99"/>
        <v>0.38624502869162874</v>
      </c>
      <c r="H911">
        <f t="shared" ca="1" si="99"/>
        <v>2.5979518666957802</v>
      </c>
      <c r="I911">
        <f t="shared" ca="1" si="100"/>
        <v>0.38624502869162874</v>
      </c>
      <c r="J911">
        <f t="shared" ca="1" si="101"/>
        <v>2.0080674108669867</v>
      </c>
      <c r="K911">
        <f t="shared" ca="1" si="102"/>
        <v>19.603007827886906</v>
      </c>
      <c r="L911">
        <f t="shared" ca="1" si="103"/>
        <v>32.671368923168174</v>
      </c>
      <c r="M911">
        <f t="shared" ca="1" si="104"/>
        <v>0</v>
      </c>
      <c r="N911">
        <f t="shared" ca="1" si="105"/>
        <v>0</v>
      </c>
    </row>
    <row r="912" spans="6:14" x14ac:dyDescent="0.75">
      <c r="F912">
        <v>907</v>
      </c>
      <c r="G912">
        <f t="shared" ca="1" si="99"/>
        <v>-0.49505657498649674</v>
      </c>
      <c r="H912">
        <f t="shared" ca="1" si="99"/>
        <v>0.11527191922968463</v>
      </c>
      <c r="I912">
        <f t="shared" ca="1" si="100"/>
        <v>-0.49505657498649674</v>
      </c>
      <c r="J912">
        <f t="shared" ca="1" si="101"/>
        <v>-0.29504722338215511</v>
      </c>
      <c r="K912">
        <f t="shared" ca="1" si="102"/>
        <v>15.726663974861083</v>
      </c>
      <c r="L912">
        <f t="shared" ca="1" si="103"/>
        <v>18.370028813026245</v>
      </c>
      <c r="M912">
        <f t="shared" ca="1" si="104"/>
        <v>0</v>
      </c>
      <c r="N912">
        <f t="shared" ca="1" si="105"/>
        <v>0</v>
      </c>
    </row>
    <row r="913" spans="6:14" x14ac:dyDescent="0.75">
      <c r="F913">
        <v>908</v>
      </c>
      <c r="G913">
        <f t="shared" ca="1" si="99"/>
        <v>1.1571489178030101</v>
      </c>
      <c r="H913">
        <f t="shared" ca="1" si="99"/>
        <v>-1.2002399103165344</v>
      </c>
      <c r="I913">
        <f t="shared" ca="1" si="100"/>
        <v>1.1571489178030101</v>
      </c>
      <c r="J913">
        <f t="shared" ca="1" si="101"/>
        <v>7.3977609274253231E-2</v>
      </c>
      <c r="K913">
        <f t="shared" ca="1" si="102"/>
        <v>23.769636463801319</v>
      </c>
      <c r="L913">
        <f t="shared" ca="1" si="103"/>
        <v>20.145414129639782</v>
      </c>
      <c r="M913">
        <f t="shared" ca="1" si="104"/>
        <v>0</v>
      </c>
      <c r="N913">
        <f t="shared" ca="1" si="105"/>
        <v>0</v>
      </c>
    </row>
    <row r="914" spans="6:14" x14ac:dyDescent="0.75">
      <c r="F914">
        <v>909</v>
      </c>
      <c r="G914">
        <f t="shared" ca="1" si="99"/>
        <v>0.34904028236276141</v>
      </c>
      <c r="H914">
        <f t="shared" ca="1" si="99"/>
        <v>-0.6412382547278167</v>
      </c>
      <c r="I914">
        <f t="shared" ca="1" si="100"/>
        <v>0.34904028236276141</v>
      </c>
      <c r="J914">
        <f t="shared" ca="1" si="101"/>
        <v>-0.16235902651565171</v>
      </c>
      <c r="K914">
        <f t="shared" ca="1" si="102"/>
        <v>19.421521920044121</v>
      </c>
      <c r="L914">
        <f t="shared" ca="1" si="103"/>
        <v>18.989620053796756</v>
      </c>
      <c r="M914">
        <f t="shared" ca="1" si="104"/>
        <v>0</v>
      </c>
      <c r="N914">
        <f t="shared" ca="1" si="105"/>
        <v>0</v>
      </c>
    </row>
    <row r="915" spans="6:14" x14ac:dyDescent="0.75">
      <c r="F915">
        <v>910</v>
      </c>
      <c r="G915">
        <f t="shared" ca="1" si="99"/>
        <v>-1.9419727495270267</v>
      </c>
      <c r="H915">
        <f t="shared" ca="1" si="99"/>
        <v>0.22491934258046753</v>
      </c>
      <c r="I915">
        <f t="shared" ca="1" si="100"/>
        <v>-1.9419727495270267</v>
      </c>
      <c r="J915">
        <f t="shared" ca="1" si="101"/>
        <v>-1.3077094007662555</v>
      </c>
      <c r="K915">
        <f t="shared" ca="1" si="102"/>
        <v>10.953166258741495</v>
      </c>
      <c r="L915">
        <f t="shared" ca="1" si="103"/>
        <v>14.261376275855719</v>
      </c>
      <c r="M915">
        <f t="shared" ca="1" si="104"/>
        <v>0</v>
      </c>
      <c r="N915">
        <f t="shared" ca="1" si="105"/>
        <v>0</v>
      </c>
    </row>
    <row r="916" spans="6:14" x14ac:dyDescent="0.75">
      <c r="F916">
        <v>911</v>
      </c>
      <c r="G916">
        <f t="shared" ca="1" si="99"/>
        <v>0.59436051461625206</v>
      </c>
      <c r="H916">
        <f t="shared" ca="1" si="99"/>
        <v>-9.5180100279481945E-3</v>
      </c>
      <c r="I916">
        <f t="shared" ca="1" si="100"/>
        <v>0.59436051461625206</v>
      </c>
      <c r="J916">
        <f t="shared" ca="1" si="101"/>
        <v>0.43947481408464656</v>
      </c>
      <c r="K916">
        <f t="shared" ca="1" si="102"/>
        <v>20.649929111628467</v>
      </c>
      <c r="L916">
        <f t="shared" ca="1" si="103"/>
        <v>22.072908064294051</v>
      </c>
      <c r="M916">
        <f t="shared" ca="1" si="104"/>
        <v>0</v>
      </c>
      <c r="N916">
        <f t="shared" ca="1" si="105"/>
        <v>0</v>
      </c>
    </row>
    <row r="917" spans="6:14" x14ac:dyDescent="0.75">
      <c r="F917">
        <v>912</v>
      </c>
      <c r="G917">
        <f t="shared" ca="1" si="99"/>
        <v>-0.44811086058642363</v>
      </c>
      <c r="H917">
        <f t="shared" ca="1" si="99"/>
        <v>-1.3326408026228038</v>
      </c>
      <c r="I917">
        <f t="shared" ca="1" si="100"/>
        <v>-0.44811086058642363</v>
      </c>
      <c r="J917">
        <f t="shared" ca="1" si="101"/>
        <v>-1.2175421831191806</v>
      </c>
      <c r="K917">
        <f t="shared" ca="1" si="102"/>
        <v>15.912326218404711</v>
      </c>
      <c r="L917">
        <f t="shared" ca="1" si="103"/>
        <v>14.58650414772492</v>
      </c>
      <c r="M917">
        <f t="shared" ca="1" si="104"/>
        <v>0</v>
      </c>
      <c r="N917">
        <f t="shared" ca="1" si="105"/>
        <v>0</v>
      </c>
    </row>
    <row r="918" spans="6:14" x14ac:dyDescent="0.75">
      <c r="F918">
        <v>913</v>
      </c>
      <c r="G918">
        <f t="shared" ca="1" si="99"/>
        <v>2.6132835142167909</v>
      </c>
      <c r="H918">
        <f t="shared" ca="1" si="99"/>
        <v>0.32965472928853295</v>
      </c>
      <c r="I918">
        <f t="shared" ca="1" si="100"/>
        <v>2.6132835142167909</v>
      </c>
      <c r="J918">
        <f t="shared" ca="1" si="101"/>
        <v>2.1780087437160378</v>
      </c>
      <c r="K918">
        <f t="shared" ca="1" si="102"/>
        <v>34.207421944681265</v>
      </c>
      <c r="L918">
        <f t="shared" ca="1" si="103"/>
        <v>34.089330933494196</v>
      </c>
      <c r="M918">
        <f t="shared" ca="1" si="104"/>
        <v>0</v>
      </c>
      <c r="N918">
        <f t="shared" ca="1" si="105"/>
        <v>0</v>
      </c>
    </row>
    <row r="919" spans="6:14" x14ac:dyDescent="0.75">
      <c r="F919">
        <v>914</v>
      </c>
      <c r="G919">
        <f t="shared" ca="1" si="99"/>
        <v>0.36746661568265743</v>
      </c>
      <c r="H919">
        <f t="shared" ca="1" si="99"/>
        <v>-1.6674428415156239</v>
      </c>
      <c r="I919">
        <f t="shared" ca="1" si="100"/>
        <v>0.36746661568265743</v>
      </c>
      <c r="J919">
        <f t="shared" ca="1" si="101"/>
        <v>-0.82730980925431408</v>
      </c>
      <c r="K919">
        <f t="shared" ca="1" si="102"/>
        <v>19.511195164222922</v>
      </c>
      <c r="L919">
        <f t="shared" ca="1" si="103"/>
        <v>16.081263254051027</v>
      </c>
      <c r="M919">
        <f t="shared" ca="1" si="104"/>
        <v>0</v>
      </c>
      <c r="N919">
        <f t="shared" ca="1" si="105"/>
        <v>0</v>
      </c>
    </row>
    <row r="920" spans="6:14" x14ac:dyDescent="0.75">
      <c r="F920">
        <v>915</v>
      </c>
      <c r="G920">
        <f t="shared" ca="1" si="99"/>
        <v>-0.52750641394381681</v>
      </c>
      <c r="H920">
        <f t="shared" ca="1" si="99"/>
        <v>-6.9113818087227108E-2</v>
      </c>
      <c r="I920">
        <f t="shared" ca="1" si="100"/>
        <v>-0.52750641394381681</v>
      </c>
      <c r="J920">
        <f t="shared" ca="1" si="101"/>
        <v>-0.4413443041621028</v>
      </c>
      <c r="K920">
        <f t="shared" ca="1" si="102"/>
        <v>15.599598151589417</v>
      </c>
      <c r="L920">
        <f t="shared" ca="1" si="103"/>
        <v>17.710296569161713</v>
      </c>
      <c r="M920">
        <f t="shared" ca="1" si="104"/>
        <v>0</v>
      </c>
      <c r="N920">
        <f t="shared" ca="1" si="105"/>
        <v>0</v>
      </c>
    </row>
    <row r="921" spans="6:14" x14ac:dyDescent="0.75">
      <c r="F921">
        <v>916</v>
      </c>
      <c r="G921">
        <f t="shared" ca="1" si="99"/>
        <v>0.70216716495238607</v>
      </c>
      <c r="H921">
        <f t="shared" ca="1" si="99"/>
        <v>0.8095397791323492</v>
      </c>
      <c r="I921">
        <f t="shared" ca="1" si="100"/>
        <v>0.70216716495238607</v>
      </c>
      <c r="J921">
        <f t="shared" ca="1" si="101"/>
        <v>1.0620856067138775</v>
      </c>
      <c r="K921">
        <f t="shared" ca="1" si="102"/>
        <v>21.214046841645263</v>
      </c>
      <c r="L921">
        <f t="shared" ca="1" si="103"/>
        <v>25.790434702861667</v>
      </c>
      <c r="M921">
        <f t="shared" ca="1" si="104"/>
        <v>0</v>
      </c>
      <c r="N921">
        <f t="shared" ca="1" si="105"/>
        <v>0</v>
      </c>
    </row>
    <row r="922" spans="6:14" x14ac:dyDescent="0.75">
      <c r="F922">
        <v>917</v>
      </c>
      <c r="G922">
        <f t="shared" ca="1" si="99"/>
        <v>-0.53025145104724869</v>
      </c>
      <c r="H922">
        <f t="shared" ca="1" si="99"/>
        <v>-0.47498863573699529</v>
      </c>
      <c r="I922">
        <f t="shared" ca="1" si="100"/>
        <v>-0.53025145104724869</v>
      </c>
      <c r="J922">
        <f t="shared" ca="1" si="101"/>
        <v>-0.7118640397209206</v>
      </c>
      <c r="K922">
        <f t="shared" ca="1" si="102"/>
        <v>15.588896455147456</v>
      </c>
      <c r="L922">
        <f t="shared" ca="1" si="103"/>
        <v>16.552154318003318</v>
      </c>
      <c r="M922">
        <f t="shared" ca="1" si="104"/>
        <v>0</v>
      </c>
      <c r="N922">
        <f t="shared" ca="1" si="105"/>
        <v>0</v>
      </c>
    </row>
    <row r="923" spans="6:14" x14ac:dyDescent="0.75">
      <c r="F923">
        <v>918</v>
      </c>
      <c r="G923">
        <f t="shared" ca="1" si="99"/>
        <v>1.0149581969591364</v>
      </c>
      <c r="H923">
        <f t="shared" ca="1" si="99"/>
        <v>1.7752633031969285</v>
      </c>
      <c r="I923">
        <f t="shared" ca="1" si="100"/>
        <v>1.0149581969591364</v>
      </c>
      <c r="J923">
        <f t="shared" ca="1" si="101"/>
        <v>1.9354449506988847</v>
      </c>
      <c r="K923">
        <f t="shared" ca="1" si="102"/>
        <v>22.939522748237096</v>
      </c>
      <c r="L923">
        <f t="shared" ca="1" si="103"/>
        <v>32.083552358300722</v>
      </c>
      <c r="M923">
        <f t="shared" ca="1" si="104"/>
        <v>0</v>
      </c>
      <c r="N923">
        <f t="shared" ca="1" si="105"/>
        <v>0</v>
      </c>
    </row>
    <row r="924" spans="6:14" x14ac:dyDescent="0.75">
      <c r="F924">
        <v>919</v>
      </c>
      <c r="G924">
        <f t="shared" ca="1" si="99"/>
        <v>-0.16797943369801821</v>
      </c>
      <c r="H924">
        <f t="shared" ca="1" si="99"/>
        <v>-0.40454859322031117</v>
      </c>
      <c r="I924">
        <f t="shared" ca="1" si="100"/>
        <v>-0.16797943369801821</v>
      </c>
      <c r="J924">
        <f t="shared" ca="1" si="101"/>
        <v>-0.39356831799900716</v>
      </c>
      <c r="K924">
        <f t="shared" ca="1" si="102"/>
        <v>17.066660797343861</v>
      </c>
      <c r="L924">
        <f t="shared" ca="1" si="103"/>
        <v>17.923096601731384</v>
      </c>
      <c r="M924">
        <f t="shared" ca="1" si="104"/>
        <v>0</v>
      </c>
      <c r="N924">
        <f t="shared" ca="1" si="105"/>
        <v>0</v>
      </c>
    </row>
    <row r="925" spans="6:14" x14ac:dyDescent="0.75">
      <c r="F925">
        <v>920</v>
      </c>
      <c r="G925">
        <f t="shared" ca="1" si="99"/>
        <v>8.7278582607843352E-2</v>
      </c>
      <c r="H925">
        <f t="shared" ca="1" si="99"/>
        <v>0.56484901801450238</v>
      </c>
      <c r="I925">
        <f t="shared" ca="1" si="100"/>
        <v>8.7278582607843352E-2</v>
      </c>
      <c r="J925">
        <f t="shared" ca="1" si="101"/>
        <v>0.43907144444723656</v>
      </c>
      <c r="K925">
        <f t="shared" ca="1" si="102"/>
        <v>18.19126263023886</v>
      </c>
      <c r="L925">
        <f t="shared" ca="1" si="103"/>
        <v>22.070682291291472</v>
      </c>
      <c r="M925">
        <f t="shared" ca="1" si="104"/>
        <v>0</v>
      </c>
      <c r="N925">
        <f t="shared" ca="1" si="105"/>
        <v>0</v>
      </c>
    </row>
    <row r="926" spans="6:14" x14ac:dyDescent="0.75">
      <c r="F926">
        <v>921</v>
      </c>
      <c r="G926">
        <f t="shared" ca="1" si="99"/>
        <v>0.67382044117869477</v>
      </c>
      <c r="H926">
        <f t="shared" ca="1" si="99"/>
        <v>-1.628302667675781</v>
      </c>
      <c r="I926">
        <f t="shared" ca="1" si="100"/>
        <v>0.67382044117869477</v>
      </c>
      <c r="J926">
        <f t="shared" ca="1" si="101"/>
        <v>-0.57165564856927098</v>
      </c>
      <c r="K926">
        <f t="shared" ca="1" si="102"/>
        <v>21.064241099857039</v>
      </c>
      <c r="L926">
        <f t="shared" ca="1" si="103"/>
        <v>17.142630304671208</v>
      </c>
      <c r="M926">
        <f t="shared" ca="1" si="104"/>
        <v>0</v>
      </c>
      <c r="N926">
        <f t="shared" ca="1" si="105"/>
        <v>0</v>
      </c>
    </row>
    <row r="927" spans="6:14" x14ac:dyDescent="0.75">
      <c r="F927">
        <v>922</v>
      </c>
      <c r="G927">
        <f t="shared" ca="1" si="99"/>
        <v>0.43198663815318389</v>
      </c>
      <c r="H927">
        <f t="shared" ca="1" si="99"/>
        <v>-0.79271525292219613</v>
      </c>
      <c r="I927">
        <f t="shared" ca="1" si="100"/>
        <v>0.43198663815318389</v>
      </c>
      <c r="J927">
        <f t="shared" ca="1" si="101"/>
        <v>-0.20034187631506178</v>
      </c>
      <c r="K927">
        <f t="shared" ca="1" si="102"/>
        <v>19.828462736910659</v>
      </c>
      <c r="L927">
        <f t="shared" ca="1" si="103"/>
        <v>18.810153512089027</v>
      </c>
      <c r="M927">
        <f t="shared" ca="1" si="104"/>
        <v>0</v>
      </c>
      <c r="N927">
        <f t="shared" ca="1" si="105"/>
        <v>0</v>
      </c>
    </row>
    <row r="928" spans="6:14" x14ac:dyDescent="0.75">
      <c r="F928">
        <v>923</v>
      </c>
      <c r="G928">
        <f t="shared" ca="1" si="99"/>
        <v>-0.56678846920025439</v>
      </c>
      <c r="H928">
        <f t="shared" ca="1" si="99"/>
        <v>-1.5417089499552576</v>
      </c>
      <c r="I928">
        <f t="shared" ca="1" si="100"/>
        <v>-0.56678846920025439</v>
      </c>
      <c r="J928">
        <f t="shared" ca="1" si="101"/>
        <v>-1.4448359708062251</v>
      </c>
      <c r="K928">
        <f t="shared" ca="1" si="102"/>
        <v>15.447151858102457</v>
      </c>
      <c r="L928">
        <f t="shared" ca="1" si="103"/>
        <v>13.780758131232393</v>
      </c>
      <c r="M928">
        <f t="shared" ca="1" si="104"/>
        <v>0</v>
      </c>
      <c r="N928">
        <f t="shared" ca="1" si="105"/>
        <v>0</v>
      </c>
    </row>
    <row r="929" spans="6:14" x14ac:dyDescent="0.75">
      <c r="F929">
        <v>924</v>
      </c>
      <c r="G929">
        <f t="shared" ca="1" si="99"/>
        <v>9.7064997519362359E-2</v>
      </c>
      <c r="H929">
        <f t="shared" ca="1" si="99"/>
        <v>2.1058864348639101</v>
      </c>
      <c r="I929">
        <f t="shared" ca="1" si="100"/>
        <v>9.7064997519362359E-2</v>
      </c>
      <c r="J929">
        <f t="shared" ca="1" si="101"/>
        <v>1.4657116971381037</v>
      </c>
      <c r="K929">
        <f t="shared" ca="1" si="102"/>
        <v>18.235823930898821</v>
      </c>
      <c r="L929">
        <f t="shared" ca="1" si="103"/>
        <v>28.528688580593471</v>
      </c>
      <c r="M929">
        <f t="shared" ca="1" si="104"/>
        <v>0</v>
      </c>
      <c r="N929">
        <f t="shared" ca="1" si="105"/>
        <v>0</v>
      </c>
    </row>
    <row r="930" spans="6:14" x14ac:dyDescent="0.75">
      <c r="F930">
        <v>925</v>
      </c>
      <c r="G930">
        <f t="shared" ca="1" si="99"/>
        <v>-4.0712236119341202E-2</v>
      </c>
      <c r="H930">
        <f t="shared" ca="1" si="99"/>
        <v>1.2592774104678712</v>
      </c>
      <c r="I930">
        <f t="shared" ca="1" si="100"/>
        <v>-4.0712236119341202E-2</v>
      </c>
      <c r="J930">
        <f t="shared" ca="1" si="101"/>
        <v>0.80239953784534235</v>
      </c>
      <c r="K930">
        <f t="shared" ca="1" si="102"/>
        <v>17.618398033500991</v>
      </c>
      <c r="L930">
        <f t="shared" ca="1" si="103"/>
        <v>24.169274023862446</v>
      </c>
      <c r="M930">
        <f t="shared" ca="1" si="104"/>
        <v>0</v>
      </c>
      <c r="N930">
        <f t="shared" ca="1" si="105"/>
        <v>0</v>
      </c>
    </row>
    <row r="931" spans="6:14" x14ac:dyDescent="0.75">
      <c r="F931">
        <v>926</v>
      </c>
      <c r="G931">
        <f t="shared" ca="1" si="99"/>
        <v>-0.87576595669047508</v>
      </c>
      <c r="H931">
        <f t="shared" ca="1" si="99"/>
        <v>0.52008260159022612</v>
      </c>
      <c r="I931">
        <f t="shared" ca="1" si="100"/>
        <v>-0.87576595669047508</v>
      </c>
      <c r="J931">
        <f t="shared" ca="1" si="101"/>
        <v>-0.31282216126305029</v>
      </c>
      <c r="K931">
        <f t="shared" ca="1" si="102"/>
        <v>14.298866504770736</v>
      </c>
      <c r="L931">
        <f t="shared" ca="1" si="103"/>
        <v>18.288578388831496</v>
      </c>
      <c r="M931">
        <f t="shared" ca="1" si="104"/>
        <v>0</v>
      </c>
      <c r="N931">
        <f t="shared" ca="1" si="105"/>
        <v>0</v>
      </c>
    </row>
    <row r="932" spans="6:14" x14ac:dyDescent="0.75">
      <c r="F932">
        <v>927</v>
      </c>
      <c r="G932">
        <f t="shared" ca="1" si="99"/>
        <v>4.874383088068944E-2</v>
      </c>
      <c r="H932">
        <f t="shared" ca="1" si="99"/>
        <v>-0.49756645198238864</v>
      </c>
      <c r="I932">
        <f t="shared" ca="1" si="100"/>
        <v>4.874383088068944E-2</v>
      </c>
      <c r="J932">
        <f t="shared" ca="1" si="101"/>
        <v>-0.29255140000802332</v>
      </c>
      <c r="K932">
        <f t="shared" ca="1" si="102"/>
        <v>18.016855125575105</v>
      </c>
      <c r="L932">
        <f t="shared" ca="1" si="103"/>
        <v>18.381494476511882</v>
      </c>
      <c r="M932">
        <f t="shared" ca="1" si="104"/>
        <v>0</v>
      </c>
      <c r="N932">
        <f t="shared" ca="1" si="105"/>
        <v>0</v>
      </c>
    </row>
    <row r="933" spans="6:14" x14ac:dyDescent="0.75">
      <c r="F933">
        <v>928</v>
      </c>
      <c r="G933">
        <f t="shared" ca="1" si="99"/>
        <v>0.18808704623256134</v>
      </c>
      <c r="H933">
        <f t="shared" ca="1" si="99"/>
        <v>0.48160615924822298</v>
      </c>
      <c r="I933">
        <f t="shared" ca="1" si="100"/>
        <v>0.18808704623256134</v>
      </c>
      <c r="J933">
        <f t="shared" ca="1" si="101"/>
        <v>0.45961781648636302</v>
      </c>
      <c r="K933">
        <f t="shared" ca="1" si="102"/>
        <v>18.655546837947618</v>
      </c>
      <c r="L933">
        <f t="shared" ca="1" si="103"/>
        <v>22.184342065766142</v>
      </c>
      <c r="M933">
        <f t="shared" ca="1" si="104"/>
        <v>0</v>
      </c>
      <c r="N933">
        <f t="shared" ca="1" si="105"/>
        <v>0</v>
      </c>
    </row>
    <row r="934" spans="6:14" x14ac:dyDescent="0.75">
      <c r="F934">
        <v>929</v>
      </c>
      <c r="G934">
        <f t="shared" ca="1" si="99"/>
        <v>0.78899151382194721</v>
      </c>
      <c r="H934">
        <f t="shared" ca="1" si="99"/>
        <v>0.85715020375677675</v>
      </c>
      <c r="I934">
        <f t="shared" ca="1" si="100"/>
        <v>0.78899151382194721</v>
      </c>
      <c r="J934">
        <f t="shared" ca="1" si="101"/>
        <v>1.1586952042086538</v>
      </c>
      <c r="K934">
        <f t="shared" ca="1" si="102"/>
        <v>21.679554692608239</v>
      </c>
      <c r="L934">
        <f t="shared" ca="1" si="103"/>
        <v>26.420918785001902</v>
      </c>
      <c r="M934">
        <f t="shared" ca="1" si="104"/>
        <v>0</v>
      </c>
      <c r="N934">
        <f t="shared" ca="1" si="105"/>
        <v>0</v>
      </c>
    </row>
    <row r="935" spans="6:14" x14ac:dyDescent="0.75">
      <c r="F935">
        <v>930</v>
      </c>
      <c r="G935">
        <f t="shared" ref="G935:H966" ca="1" si="106">NORMSINV(RAND())</f>
        <v>0.23509573114231788</v>
      </c>
      <c r="H935">
        <f t="shared" ca="1" si="106"/>
        <v>-0.88108622581192864</v>
      </c>
      <c r="I935">
        <f t="shared" ca="1" si="100"/>
        <v>0.23509573114231788</v>
      </c>
      <c r="J935">
        <f t="shared" ca="1" si="101"/>
        <v>-0.40646196091897713</v>
      </c>
      <c r="K935">
        <f t="shared" ca="1" si="102"/>
        <v>18.876083372033197</v>
      </c>
      <c r="L935">
        <f t="shared" ca="1" si="103"/>
        <v>17.865416113726138</v>
      </c>
      <c r="M935">
        <f t="shared" ca="1" si="104"/>
        <v>0</v>
      </c>
      <c r="N935">
        <f t="shared" ca="1" si="105"/>
        <v>0</v>
      </c>
    </row>
    <row r="936" spans="6:14" x14ac:dyDescent="0.75">
      <c r="F936">
        <v>931</v>
      </c>
      <c r="G936">
        <f t="shared" ca="1" si="106"/>
        <v>-0.5915750611082502</v>
      </c>
      <c r="H936">
        <f t="shared" ca="1" si="106"/>
        <v>-0.16756494902248015</v>
      </c>
      <c r="I936">
        <f t="shared" ca="1" si="100"/>
        <v>-0.5915750611082502</v>
      </c>
      <c r="J936">
        <f t="shared" ca="1" si="101"/>
        <v>-0.55451509172236224</v>
      </c>
      <c r="K936">
        <f t="shared" ca="1" si="102"/>
        <v>15.351727257465965</v>
      </c>
      <c r="L936">
        <f t="shared" ca="1" si="103"/>
        <v>17.216246477107919</v>
      </c>
      <c r="M936">
        <f t="shared" ca="1" si="104"/>
        <v>0</v>
      </c>
      <c r="N936">
        <f t="shared" ca="1" si="105"/>
        <v>0</v>
      </c>
    </row>
    <row r="937" spans="6:14" x14ac:dyDescent="0.75">
      <c r="F937">
        <v>932</v>
      </c>
      <c r="G937">
        <f t="shared" ca="1" si="106"/>
        <v>-1.3035335176241358</v>
      </c>
      <c r="H937">
        <f t="shared" ca="1" si="106"/>
        <v>-0.94280344747827671</v>
      </c>
      <c r="I937">
        <f t="shared" ca="1" si="100"/>
        <v>-1.3035335176241358</v>
      </c>
      <c r="J937">
        <f t="shared" ca="1" si="101"/>
        <v>-1.6012560025285685</v>
      </c>
      <c r="K937">
        <f t="shared" ca="1" si="102"/>
        <v>12.848645259281733</v>
      </c>
      <c r="L937">
        <f t="shared" ca="1" si="103"/>
        <v>13.252262239587264</v>
      </c>
      <c r="M937">
        <f t="shared" ca="1" si="104"/>
        <v>0</v>
      </c>
      <c r="N937">
        <f t="shared" ca="1" si="105"/>
        <v>0</v>
      </c>
    </row>
    <row r="938" spans="6:14" x14ac:dyDescent="0.75">
      <c r="F938">
        <v>933</v>
      </c>
      <c r="G938">
        <f t="shared" ca="1" si="106"/>
        <v>1.5924804255635647</v>
      </c>
      <c r="H938">
        <f t="shared" ca="1" si="106"/>
        <v>-0.16672180985692198</v>
      </c>
      <c r="I938">
        <f t="shared" ca="1" si="100"/>
        <v>1.5924804255635647</v>
      </c>
      <c r="J938">
        <f t="shared" ca="1" si="101"/>
        <v>1.0840842074196704</v>
      </c>
      <c r="K938">
        <f t="shared" ca="1" si="102"/>
        <v>26.502574104325323</v>
      </c>
      <c r="L938">
        <f t="shared" ca="1" si="103"/>
        <v>25.93266381832581</v>
      </c>
      <c r="M938">
        <f t="shared" ca="1" si="104"/>
        <v>0</v>
      </c>
      <c r="N938">
        <f t="shared" ca="1" si="105"/>
        <v>0</v>
      </c>
    </row>
    <row r="939" spans="6:14" x14ac:dyDescent="0.75">
      <c r="F939">
        <v>934</v>
      </c>
      <c r="G939">
        <f t="shared" ca="1" si="106"/>
        <v>-1.2172374108873627</v>
      </c>
      <c r="H939">
        <f t="shared" ca="1" si="106"/>
        <v>2.6737502474642603E-2</v>
      </c>
      <c r="I939">
        <f t="shared" ca="1" si="100"/>
        <v>-1.2172374108873627</v>
      </c>
      <c r="J939">
        <f t="shared" ca="1" si="101"/>
        <v>-0.89524286260880248</v>
      </c>
      <c r="K939">
        <f t="shared" ca="1" si="102"/>
        <v>13.128854022379789</v>
      </c>
      <c r="L939">
        <f t="shared" ca="1" si="103"/>
        <v>15.810457021222728</v>
      </c>
      <c r="M939">
        <f t="shared" ca="1" si="104"/>
        <v>0</v>
      </c>
      <c r="N939">
        <f t="shared" ca="1" si="105"/>
        <v>0</v>
      </c>
    </row>
    <row r="940" spans="6:14" x14ac:dyDescent="0.75">
      <c r="F940">
        <v>935</v>
      </c>
      <c r="G940">
        <f t="shared" ca="1" si="106"/>
        <v>-0.95149978288140769</v>
      </c>
      <c r="H940">
        <f t="shared" ca="1" si="106"/>
        <v>0.53357385768013399</v>
      </c>
      <c r="I940">
        <f t="shared" ca="1" si="100"/>
        <v>-0.95149978288140769</v>
      </c>
      <c r="J940">
        <f t="shared" ca="1" si="101"/>
        <v>-0.3606989037843043</v>
      </c>
      <c r="K940">
        <f t="shared" ca="1" si="102"/>
        <v>14.030686337189053</v>
      </c>
      <c r="L940">
        <f t="shared" ca="1" si="103"/>
        <v>18.070983811858859</v>
      </c>
      <c r="M940">
        <f t="shared" ca="1" si="104"/>
        <v>0</v>
      </c>
      <c r="N940">
        <f t="shared" ca="1" si="105"/>
        <v>0</v>
      </c>
    </row>
    <row r="941" spans="6:14" x14ac:dyDescent="0.75">
      <c r="F941">
        <v>936</v>
      </c>
      <c r="G941">
        <f t="shared" ca="1" si="106"/>
        <v>-0.17592852210456295</v>
      </c>
      <c r="H941">
        <f t="shared" ca="1" si="106"/>
        <v>4.7579136460106655E-2</v>
      </c>
      <c r="I941">
        <f t="shared" ca="1" si="100"/>
        <v>-0.17592852210456295</v>
      </c>
      <c r="J941">
        <f t="shared" ca="1" si="101"/>
        <v>-0.10047575091126013</v>
      </c>
      <c r="K941">
        <f t="shared" ca="1" si="102"/>
        <v>17.032778376418978</v>
      </c>
      <c r="L941">
        <f t="shared" ca="1" si="103"/>
        <v>19.285689338560861</v>
      </c>
      <c r="M941">
        <f t="shared" ca="1" si="104"/>
        <v>0</v>
      </c>
      <c r="N941">
        <f t="shared" ca="1" si="105"/>
        <v>0</v>
      </c>
    </row>
    <row r="942" spans="6:14" x14ac:dyDescent="0.75">
      <c r="F942">
        <v>937</v>
      </c>
      <c r="G942">
        <f t="shared" ca="1" si="106"/>
        <v>1.9305608055075487</v>
      </c>
      <c r="H942">
        <f t="shared" ca="1" si="106"/>
        <v>-1.4751446951823983</v>
      </c>
      <c r="I942">
        <f t="shared" ca="1" si="100"/>
        <v>1.9305608055075487</v>
      </c>
      <c r="J942">
        <f t="shared" ca="1" si="101"/>
        <v>0.47220410130846002</v>
      </c>
      <c r="K942">
        <f t="shared" ca="1" si="102"/>
        <v>28.839960975362199</v>
      </c>
      <c r="L942">
        <f t="shared" ca="1" si="103"/>
        <v>22.254256615593654</v>
      </c>
      <c r="M942">
        <f t="shared" ca="1" si="104"/>
        <v>0</v>
      </c>
      <c r="N942">
        <f t="shared" ca="1" si="105"/>
        <v>0</v>
      </c>
    </row>
    <row r="943" spans="6:14" x14ac:dyDescent="0.75">
      <c r="F943">
        <v>938</v>
      </c>
      <c r="G943">
        <f t="shared" ca="1" si="106"/>
        <v>0.29099309175514659</v>
      </c>
      <c r="H943">
        <f t="shared" ca="1" si="106"/>
        <v>0.16304452090984989</v>
      </c>
      <c r="I943">
        <f t="shared" ca="1" si="100"/>
        <v>0.29099309175514659</v>
      </c>
      <c r="J943">
        <f t="shared" ca="1" si="101"/>
        <v>0.32608863255614329</v>
      </c>
      <c r="K943">
        <f t="shared" ca="1" si="102"/>
        <v>19.141715878574797</v>
      </c>
      <c r="L943">
        <f t="shared" ca="1" si="103"/>
        <v>21.456002256177996</v>
      </c>
      <c r="M943">
        <f t="shared" ca="1" si="104"/>
        <v>0</v>
      </c>
      <c r="N943">
        <f t="shared" ca="1" si="105"/>
        <v>0</v>
      </c>
    </row>
    <row r="944" spans="6:14" x14ac:dyDescent="0.75">
      <c r="F944">
        <v>939</v>
      </c>
      <c r="G944">
        <f t="shared" ca="1" si="106"/>
        <v>-0.44285735414532723</v>
      </c>
      <c r="H944">
        <f t="shared" ca="1" si="106"/>
        <v>-0.79846018598682567</v>
      </c>
      <c r="I944">
        <f t="shared" ca="1" si="100"/>
        <v>-0.44285735414532723</v>
      </c>
      <c r="J944">
        <f t="shared" ca="1" si="101"/>
        <v>-0.86027478658587564</v>
      </c>
      <c r="K944">
        <f t="shared" ca="1" si="102"/>
        <v>15.933238825533433</v>
      </c>
      <c r="L944">
        <f t="shared" ca="1" si="103"/>
        <v>15.949278241773603</v>
      </c>
      <c r="M944">
        <f t="shared" ca="1" si="104"/>
        <v>0</v>
      </c>
      <c r="N944">
        <f t="shared" ca="1" si="105"/>
        <v>0</v>
      </c>
    </row>
    <row r="945" spans="6:14" x14ac:dyDescent="0.75">
      <c r="F945">
        <v>940</v>
      </c>
      <c r="G945">
        <f t="shared" ca="1" si="106"/>
        <v>0.38800425669342947</v>
      </c>
      <c r="H945">
        <f t="shared" ca="1" si="106"/>
        <v>0.94195193041615299</v>
      </c>
      <c r="I945">
        <f t="shared" ca="1" si="100"/>
        <v>0.38800425669342947</v>
      </c>
      <c r="J945">
        <f t="shared" ca="1" si="101"/>
        <v>0.91404583123466188</v>
      </c>
      <c r="K945">
        <f t="shared" ca="1" si="102"/>
        <v>19.611631264144304</v>
      </c>
      <c r="L945">
        <f t="shared" ca="1" si="103"/>
        <v>24.853379303429108</v>
      </c>
      <c r="M945">
        <f t="shared" ca="1" si="104"/>
        <v>0</v>
      </c>
      <c r="N945">
        <f t="shared" ca="1" si="105"/>
        <v>0</v>
      </c>
    </row>
    <row r="946" spans="6:14" x14ac:dyDescent="0.75">
      <c r="F946">
        <v>941</v>
      </c>
      <c r="G946">
        <f t="shared" ca="1" si="106"/>
        <v>-0.19124082998664813</v>
      </c>
      <c r="H946">
        <f t="shared" ca="1" si="106"/>
        <v>-1.6742659576454342</v>
      </c>
      <c r="I946">
        <f t="shared" ca="1" si="100"/>
        <v>-0.19124082998664813</v>
      </c>
      <c r="J946">
        <f t="shared" ca="1" si="101"/>
        <v>-1.2508534606177912</v>
      </c>
      <c r="K946">
        <f t="shared" ca="1" si="102"/>
        <v>16.967700231318666</v>
      </c>
      <c r="L946">
        <f t="shared" ca="1" si="103"/>
        <v>14.465534780522297</v>
      </c>
      <c r="M946">
        <f t="shared" ca="1" si="104"/>
        <v>0</v>
      </c>
      <c r="N946">
        <f t="shared" ca="1" si="105"/>
        <v>0</v>
      </c>
    </row>
    <row r="947" spans="6:14" x14ac:dyDescent="0.75">
      <c r="F947">
        <v>942</v>
      </c>
      <c r="G947">
        <f t="shared" ca="1" si="106"/>
        <v>-1.8252874029364314</v>
      </c>
      <c r="H947">
        <f t="shared" ca="1" si="106"/>
        <v>2.4791046428743861</v>
      </c>
      <c r="I947">
        <f t="shared" ca="1" si="100"/>
        <v>-1.8252874029364314</v>
      </c>
      <c r="J947">
        <f t="shared" ca="1" si="101"/>
        <v>0.27080803758548155</v>
      </c>
      <c r="K947">
        <f t="shared" ca="1" si="102"/>
        <v>11.277390798935883</v>
      </c>
      <c r="L947">
        <f t="shared" ca="1" si="103"/>
        <v>21.161516717674608</v>
      </c>
      <c r="M947">
        <f t="shared" ca="1" si="104"/>
        <v>0</v>
      </c>
      <c r="N947">
        <f t="shared" ca="1" si="105"/>
        <v>0</v>
      </c>
    </row>
    <row r="948" spans="6:14" x14ac:dyDescent="0.75">
      <c r="F948">
        <v>943</v>
      </c>
      <c r="G948">
        <f t="shared" ca="1" si="106"/>
        <v>0.53417545621318308</v>
      </c>
      <c r="H948">
        <f t="shared" ca="1" si="106"/>
        <v>-0.74859641989047843</v>
      </c>
      <c r="I948">
        <f t="shared" ca="1" si="100"/>
        <v>0.53417545621318308</v>
      </c>
      <c r="J948">
        <f t="shared" ca="1" si="101"/>
        <v>-9.4518397685985744E-2</v>
      </c>
      <c r="K948">
        <f t="shared" ca="1" si="102"/>
        <v>20.341550604334373</v>
      </c>
      <c r="L948">
        <f t="shared" ca="1" si="103"/>
        <v>19.31443365414847</v>
      </c>
      <c r="M948">
        <f t="shared" ca="1" si="104"/>
        <v>0</v>
      </c>
      <c r="N948">
        <f t="shared" ca="1" si="105"/>
        <v>0</v>
      </c>
    </row>
    <row r="949" spans="6:14" x14ac:dyDescent="0.75">
      <c r="F949">
        <v>944</v>
      </c>
      <c r="G949">
        <f t="shared" ca="1" si="106"/>
        <v>1.0891255962157464</v>
      </c>
      <c r="H949">
        <f t="shared" ca="1" si="106"/>
        <v>0.60641044400339883</v>
      </c>
      <c r="I949">
        <f t="shared" ca="1" si="100"/>
        <v>1.0891255962157464</v>
      </c>
      <c r="J949">
        <f t="shared" ca="1" si="101"/>
        <v>1.2179470039781233</v>
      </c>
      <c r="K949">
        <f t="shared" ca="1" si="102"/>
        <v>23.368831725494651</v>
      </c>
      <c r="L949">
        <f t="shared" ca="1" si="103"/>
        <v>26.815203583299891</v>
      </c>
      <c r="M949">
        <f t="shared" ca="1" si="104"/>
        <v>0</v>
      </c>
      <c r="N949">
        <f t="shared" ca="1" si="105"/>
        <v>0</v>
      </c>
    </row>
    <row r="950" spans="6:14" x14ac:dyDescent="0.75">
      <c r="F950">
        <v>945</v>
      </c>
      <c r="G950">
        <f t="shared" ca="1" si="106"/>
        <v>-0.83645031190362873</v>
      </c>
      <c r="H950">
        <f t="shared" ca="1" si="106"/>
        <v>2.5803871631575586</v>
      </c>
      <c r="I950">
        <f t="shared" ca="1" si="100"/>
        <v>-0.83645031190362873</v>
      </c>
      <c r="J950">
        <f t="shared" ca="1" si="101"/>
        <v>1.0794279460668661</v>
      </c>
      <c r="K950">
        <f t="shared" ca="1" si="102"/>
        <v>14.440101751177028</v>
      </c>
      <c r="L950">
        <f t="shared" ca="1" si="103"/>
        <v>25.902494066435686</v>
      </c>
      <c r="M950">
        <f t="shared" ca="1" si="104"/>
        <v>0</v>
      </c>
      <c r="N950">
        <f t="shared" ca="1" si="105"/>
        <v>0</v>
      </c>
    </row>
    <row r="951" spans="6:14" x14ac:dyDescent="0.75">
      <c r="F951">
        <v>946</v>
      </c>
      <c r="G951">
        <f t="shared" ca="1" si="106"/>
        <v>-5.9735951278813849E-2</v>
      </c>
      <c r="H951">
        <f t="shared" ca="1" si="106"/>
        <v>-0.12960908048672157</v>
      </c>
      <c r="I951">
        <f t="shared" ca="1" si="100"/>
        <v>-5.9735951278813849E-2</v>
      </c>
      <c r="J951">
        <f t="shared" ca="1" si="101"/>
        <v>-0.13053031211501531</v>
      </c>
      <c r="K951">
        <f t="shared" ca="1" si="102"/>
        <v>17.534805125585422</v>
      </c>
      <c r="L951">
        <f t="shared" ca="1" si="103"/>
        <v>19.141326629811704</v>
      </c>
      <c r="M951">
        <f t="shared" ca="1" si="104"/>
        <v>0</v>
      </c>
      <c r="N951">
        <f t="shared" ca="1" si="105"/>
        <v>0</v>
      </c>
    </row>
    <row r="952" spans="6:14" x14ac:dyDescent="0.75">
      <c r="F952">
        <v>947</v>
      </c>
      <c r="G952">
        <f t="shared" ca="1" si="106"/>
        <v>0.37040797522253693</v>
      </c>
      <c r="H952">
        <f t="shared" ca="1" si="106"/>
        <v>0.88938661811819786</v>
      </c>
      <c r="I952">
        <f t="shared" ca="1" si="100"/>
        <v>0.37040797522253693</v>
      </c>
      <c r="J952">
        <f t="shared" ca="1" si="101"/>
        <v>0.86607993414928386</v>
      </c>
      <c r="K952">
        <f t="shared" ca="1" si="102"/>
        <v>19.525547800616867</v>
      </c>
      <c r="L952">
        <f t="shared" ca="1" si="103"/>
        <v>24.557130425284512</v>
      </c>
      <c r="M952">
        <f t="shared" ca="1" si="104"/>
        <v>0</v>
      </c>
      <c r="N952">
        <f t="shared" ca="1" si="105"/>
        <v>0</v>
      </c>
    </row>
    <row r="953" spans="6:14" x14ac:dyDescent="0.75">
      <c r="F953">
        <v>948</v>
      </c>
      <c r="G953">
        <f t="shared" ca="1" si="106"/>
        <v>-0.44115979279376522</v>
      </c>
      <c r="H953">
        <f t="shared" ca="1" si="106"/>
        <v>-0.32929720398326828</v>
      </c>
      <c r="I953">
        <f t="shared" ca="1" si="100"/>
        <v>-0.44115979279376522</v>
      </c>
      <c r="J953">
        <f t="shared" ca="1" si="101"/>
        <v>-0.54867947188748289</v>
      </c>
      <c r="K953">
        <f t="shared" ca="1" si="102"/>
        <v>15.940002173190479</v>
      </c>
      <c r="L953">
        <f t="shared" ca="1" si="103"/>
        <v>17.241381674938136</v>
      </c>
      <c r="M953">
        <f t="shared" ca="1" si="104"/>
        <v>0</v>
      </c>
      <c r="N953">
        <f t="shared" ca="1" si="105"/>
        <v>0</v>
      </c>
    </row>
    <row r="954" spans="6:14" x14ac:dyDescent="0.75">
      <c r="F954">
        <v>949</v>
      </c>
      <c r="G954">
        <f t="shared" ca="1" si="106"/>
        <v>0.13360020509324105</v>
      </c>
      <c r="H954">
        <f t="shared" ca="1" si="106"/>
        <v>0.32742665425498629</v>
      </c>
      <c r="I954">
        <f t="shared" ca="1" si="100"/>
        <v>0.13360020509324105</v>
      </c>
      <c r="J954">
        <f t="shared" ca="1" si="101"/>
        <v>0.31677252876308643</v>
      </c>
      <c r="K954">
        <f t="shared" ca="1" si="102"/>
        <v>18.403149329291036</v>
      </c>
      <c r="L954">
        <f t="shared" ca="1" si="103"/>
        <v>21.406088817586539</v>
      </c>
      <c r="M954">
        <f t="shared" ca="1" si="104"/>
        <v>0</v>
      </c>
      <c r="N954">
        <f t="shared" ca="1" si="105"/>
        <v>0</v>
      </c>
    </row>
    <row r="955" spans="6:14" x14ac:dyDescent="0.75">
      <c r="F955">
        <v>950</v>
      </c>
      <c r="G955">
        <f t="shared" ca="1" si="106"/>
        <v>0.39554768643128047</v>
      </c>
      <c r="H955">
        <f t="shared" ca="1" si="106"/>
        <v>0.12064430992176714</v>
      </c>
      <c r="I955">
        <f t="shared" ca="1" si="100"/>
        <v>0.39554768643128047</v>
      </c>
      <c r="J955">
        <f t="shared" ca="1" si="101"/>
        <v>0.37645947511045996</v>
      </c>
      <c r="K955">
        <f t="shared" ca="1" si="102"/>
        <v>19.64865090067255</v>
      </c>
      <c r="L955">
        <f t="shared" ca="1" si="103"/>
        <v>21.727899854907985</v>
      </c>
      <c r="M955">
        <f t="shared" ca="1" si="104"/>
        <v>0</v>
      </c>
      <c r="N955">
        <f t="shared" ca="1" si="105"/>
        <v>0</v>
      </c>
    </row>
    <row r="956" spans="6:14" x14ac:dyDescent="0.75">
      <c r="F956">
        <v>951</v>
      </c>
      <c r="G956">
        <f t="shared" ca="1" si="106"/>
        <v>0.49045527409454265</v>
      </c>
      <c r="H956">
        <f t="shared" ca="1" si="106"/>
        <v>-0.71357866522220015</v>
      </c>
      <c r="I956">
        <f t="shared" ca="1" si="100"/>
        <v>0.49045527409454265</v>
      </c>
      <c r="J956">
        <f t="shared" ca="1" si="101"/>
        <v>-0.10414646669393218</v>
      </c>
      <c r="K956">
        <f t="shared" ca="1" si="102"/>
        <v>20.120427176042543</v>
      </c>
      <c r="L956">
        <f t="shared" ca="1" si="103"/>
        <v>19.267999385592308</v>
      </c>
      <c r="M956">
        <f t="shared" ca="1" si="104"/>
        <v>0</v>
      </c>
      <c r="N956">
        <f t="shared" ca="1" si="105"/>
        <v>0</v>
      </c>
    </row>
    <row r="957" spans="6:14" x14ac:dyDescent="0.75">
      <c r="F957">
        <v>952</v>
      </c>
      <c r="G957">
        <f t="shared" ca="1" si="106"/>
        <v>-0.18187409956961645</v>
      </c>
      <c r="H957">
        <f t="shared" ca="1" si="106"/>
        <v>-0.16446612871171751</v>
      </c>
      <c r="I957">
        <f t="shared" ca="1" si="100"/>
        <v>-0.18187409956961645</v>
      </c>
      <c r="J957">
        <f t="shared" ca="1" si="101"/>
        <v>-0.24518969359339843</v>
      </c>
      <c r="K957">
        <f t="shared" ca="1" si="102"/>
        <v>17.007479757118887</v>
      </c>
      <c r="L957">
        <f t="shared" ca="1" si="103"/>
        <v>18.600432816554317</v>
      </c>
      <c r="M957">
        <f t="shared" ca="1" si="104"/>
        <v>0</v>
      </c>
      <c r="N957">
        <f t="shared" ca="1" si="105"/>
        <v>0</v>
      </c>
    </row>
    <row r="958" spans="6:14" x14ac:dyDescent="0.75">
      <c r="F958">
        <v>953</v>
      </c>
      <c r="G958">
        <f t="shared" ca="1" si="106"/>
        <v>-0.938104841259496</v>
      </c>
      <c r="H958">
        <f t="shared" ca="1" si="106"/>
        <v>-0.39896897287636213</v>
      </c>
      <c r="I958">
        <f t="shared" ca="1" si="100"/>
        <v>-0.938104841259496</v>
      </c>
      <c r="J958">
        <f t="shared" ca="1" si="101"/>
        <v>-0.96747180171005409</v>
      </c>
      <c r="K958">
        <f t="shared" ca="1" si="102"/>
        <v>14.077750151438861</v>
      </c>
      <c r="L958">
        <f t="shared" ca="1" si="103"/>
        <v>15.527526050122844</v>
      </c>
      <c r="M958">
        <f t="shared" ca="1" si="104"/>
        <v>0</v>
      </c>
      <c r="N958">
        <f t="shared" ca="1" si="105"/>
        <v>0</v>
      </c>
    </row>
    <row r="959" spans="6:14" x14ac:dyDescent="0.75">
      <c r="F959">
        <v>954</v>
      </c>
      <c r="G959">
        <f t="shared" ca="1" si="106"/>
        <v>8.3406617557802848E-3</v>
      </c>
      <c r="H959">
        <f t="shared" ca="1" si="106"/>
        <v>0.84720074022945835</v>
      </c>
      <c r="I959">
        <f t="shared" ca="1" si="100"/>
        <v>8.3406617557802848E-3</v>
      </c>
      <c r="J959">
        <f t="shared" ca="1" si="101"/>
        <v>0.56662611361608051</v>
      </c>
      <c r="K959">
        <f t="shared" ca="1" si="102"/>
        <v>17.835786621536744</v>
      </c>
      <c r="L959">
        <f t="shared" ca="1" si="103"/>
        <v>22.785828870538655</v>
      </c>
      <c r="M959">
        <f t="shared" ca="1" si="104"/>
        <v>0</v>
      </c>
      <c r="N959">
        <f t="shared" ca="1" si="105"/>
        <v>0</v>
      </c>
    </row>
    <row r="960" spans="6:14" x14ac:dyDescent="0.75">
      <c r="F960">
        <v>955</v>
      </c>
      <c r="G960">
        <f t="shared" ca="1" si="106"/>
        <v>1.0491968962740679</v>
      </c>
      <c r="H960">
        <f t="shared" ca="1" si="106"/>
        <v>0.42493850694234142</v>
      </c>
      <c r="I960">
        <f t="shared" ca="1" si="100"/>
        <v>1.0491968962740679</v>
      </c>
      <c r="J960">
        <f t="shared" ca="1" si="101"/>
        <v>1.0679680751716834</v>
      </c>
      <c r="K960">
        <f t="shared" ca="1" si="102"/>
        <v>23.136720373440657</v>
      </c>
      <c r="L960">
        <f t="shared" ca="1" si="103"/>
        <v>25.828390459877149</v>
      </c>
      <c r="M960">
        <f t="shared" ca="1" si="104"/>
        <v>0</v>
      </c>
      <c r="N960">
        <f t="shared" ca="1" si="105"/>
        <v>0</v>
      </c>
    </row>
    <row r="961" spans="6:14" x14ac:dyDescent="0.75">
      <c r="F961">
        <v>956</v>
      </c>
      <c r="G961">
        <f t="shared" ca="1" si="106"/>
        <v>-0.18536784139789952</v>
      </c>
      <c r="H961">
        <f t="shared" ca="1" si="106"/>
        <v>-5.3858953531222477E-2</v>
      </c>
      <c r="I961">
        <f t="shared" ca="1" si="100"/>
        <v>-0.18536784139789952</v>
      </c>
      <c r="J961">
        <f t="shared" ca="1" si="101"/>
        <v>-0.17465023027787432</v>
      </c>
      <c r="K961">
        <f t="shared" ca="1" si="102"/>
        <v>16.992631306789086</v>
      </c>
      <c r="L961">
        <f t="shared" ca="1" si="103"/>
        <v>18.931358290677711</v>
      </c>
      <c r="M961">
        <f t="shared" ca="1" si="104"/>
        <v>0</v>
      </c>
      <c r="N961">
        <f t="shared" ca="1" si="105"/>
        <v>0</v>
      </c>
    </row>
    <row r="962" spans="6:14" x14ac:dyDescent="0.75">
      <c r="F962">
        <v>957</v>
      </c>
      <c r="G962">
        <f t="shared" ca="1" si="106"/>
        <v>-0.98013601645185522</v>
      </c>
      <c r="H962">
        <f t="shared" ca="1" si="106"/>
        <v>0.38266720365842938</v>
      </c>
      <c r="I962">
        <f t="shared" ca="1" si="100"/>
        <v>-0.98013601645185522</v>
      </c>
      <c r="J962">
        <f t="shared" ca="1" si="101"/>
        <v>-0.48199144839371383</v>
      </c>
      <c r="K962">
        <f t="shared" ca="1" si="102"/>
        <v>13.930598529119514</v>
      </c>
      <c r="L962">
        <f t="shared" ca="1" si="103"/>
        <v>17.531239634346331</v>
      </c>
      <c r="M962">
        <f t="shared" ca="1" si="104"/>
        <v>0</v>
      </c>
      <c r="N962">
        <f t="shared" ca="1" si="105"/>
        <v>0</v>
      </c>
    </row>
    <row r="963" spans="6:14" x14ac:dyDescent="0.75">
      <c r="F963">
        <v>958</v>
      </c>
      <c r="G963">
        <f t="shared" ca="1" si="106"/>
        <v>-0.26144209108976446</v>
      </c>
      <c r="H963">
        <f t="shared" ca="1" si="106"/>
        <v>0.66755055657813012</v>
      </c>
      <c r="I963">
        <f t="shared" ca="1" si="100"/>
        <v>-0.26144209108976446</v>
      </c>
      <c r="J963">
        <f t="shared" ca="1" si="101"/>
        <v>0.24546162174979788</v>
      </c>
      <c r="K963">
        <f t="shared" ca="1" si="102"/>
        <v>16.672509663373784</v>
      </c>
      <c r="L963">
        <f t="shared" ca="1" si="103"/>
        <v>21.027848515553622</v>
      </c>
      <c r="M963">
        <f t="shared" ca="1" si="104"/>
        <v>0</v>
      </c>
      <c r="N963">
        <f t="shared" ca="1" si="105"/>
        <v>0</v>
      </c>
    </row>
    <row r="964" spans="6:14" x14ac:dyDescent="0.75">
      <c r="F964">
        <v>959</v>
      </c>
      <c r="G964">
        <f t="shared" ca="1" si="106"/>
        <v>-2.0637716593589746</v>
      </c>
      <c r="H964">
        <f t="shared" ca="1" si="106"/>
        <v>1.0792628249491139</v>
      </c>
      <c r="I964">
        <f t="shared" ca="1" si="100"/>
        <v>-2.0637716593589746</v>
      </c>
      <c r="J964">
        <f t="shared" ca="1" si="101"/>
        <v>-0.8339634859961329</v>
      </c>
      <c r="K964">
        <f t="shared" ca="1" si="102"/>
        <v>10.624671992676223</v>
      </c>
      <c r="L964">
        <f t="shared" ca="1" si="103"/>
        <v>16.054535608030346</v>
      </c>
      <c r="M964">
        <f t="shared" ca="1" si="104"/>
        <v>0</v>
      </c>
      <c r="N964">
        <f t="shared" ca="1" si="105"/>
        <v>0</v>
      </c>
    </row>
    <row r="965" spans="6:14" x14ac:dyDescent="0.75">
      <c r="F965">
        <v>960</v>
      </c>
      <c r="G965">
        <f t="shared" ca="1" si="106"/>
        <v>1.6386563424105445</v>
      </c>
      <c r="H965">
        <f t="shared" ca="1" si="106"/>
        <v>0.397519564326</v>
      </c>
      <c r="I965">
        <f t="shared" ca="1" si="100"/>
        <v>1.6386563424105445</v>
      </c>
      <c r="J965">
        <f t="shared" ca="1" si="101"/>
        <v>1.4919267339302431</v>
      </c>
      <c r="K965">
        <f t="shared" ca="1" si="102"/>
        <v>26.810291996027608</v>
      </c>
      <c r="L965">
        <f t="shared" ca="1" si="103"/>
        <v>28.716272755118961</v>
      </c>
      <c r="M965">
        <f t="shared" ca="1" si="104"/>
        <v>0</v>
      </c>
      <c r="N965">
        <f t="shared" ca="1" si="105"/>
        <v>0</v>
      </c>
    </row>
    <row r="966" spans="6:14" x14ac:dyDescent="0.75">
      <c r="F966">
        <v>961</v>
      </c>
      <c r="G966">
        <f t="shared" ca="1" si="106"/>
        <v>-1.3188048123118123</v>
      </c>
      <c r="H966">
        <f t="shared" ca="1" si="106"/>
        <v>0.31602819353932055</v>
      </c>
      <c r="I966">
        <f t="shared" ca="1" si="100"/>
        <v>-1.3188048123118123</v>
      </c>
      <c r="J966">
        <f t="shared" ca="1" si="101"/>
        <v>-0.78007060738635126</v>
      </c>
      <c r="K966">
        <f t="shared" ca="1" si="102"/>
        <v>12.799684917703861</v>
      </c>
      <c r="L966">
        <f t="shared" ca="1" si="103"/>
        <v>16.272305630102537</v>
      </c>
      <c r="M966">
        <f t="shared" ca="1" si="104"/>
        <v>0</v>
      </c>
      <c r="N966">
        <f t="shared" ca="1" si="105"/>
        <v>0</v>
      </c>
    </row>
    <row r="967" spans="6:14" x14ac:dyDescent="0.75">
      <c r="F967">
        <v>962</v>
      </c>
      <c r="G967">
        <f t="shared" ref="G967:H1005" ca="1" si="107">NORMSINV(RAND())</f>
        <v>2.2440768653608942</v>
      </c>
      <c r="H967">
        <f t="shared" ca="1" si="107"/>
        <v>7.7969811240799949E-2</v>
      </c>
      <c r="I967">
        <f t="shared" ref="I967:I1005" ca="1" si="108">G967</f>
        <v>2.2440768653608942</v>
      </c>
      <c r="J967">
        <f t="shared" ref="J967:J1005" ca="1" si="109">G967*$C$8+SQRT(1-$C$8^2)*H967</f>
        <v>1.734629831599122</v>
      </c>
      <c r="K967">
        <f t="shared" ref="K967:K1005" ca="1" si="110">C$3*EXP(($C$5-0.5*C$4^2)*$C$6+C$4*SQRT($C$6)*I967)</f>
        <v>31.191355035837752</v>
      </c>
      <c r="L967">
        <f t="shared" ref="L967:L1005" ca="1" si="111">D$3*EXP(($C$5-0.5*D$4^2)*$C$6+D$4*SQRT($C$6)*J967)</f>
        <v>30.512600561270531</v>
      </c>
      <c r="M967">
        <f t="shared" ref="M967:M1005" ca="1" si="112">MAX(SQRT(K967*L967)-$C$7,0)</f>
        <v>0</v>
      </c>
      <c r="N967">
        <f t="shared" ref="N967:N1005" ca="1" si="113">MAX((K967+L967)*0.5-$C$7,0)</f>
        <v>0</v>
      </c>
    </row>
    <row r="968" spans="6:14" x14ac:dyDescent="0.75">
      <c r="F968">
        <v>963</v>
      </c>
      <c r="G968">
        <f t="shared" ca="1" si="107"/>
        <v>-0.98234601710364144</v>
      </c>
      <c r="H968">
        <f t="shared" ca="1" si="107"/>
        <v>0.9095380179328969</v>
      </c>
      <c r="I968">
        <f t="shared" ca="1" si="108"/>
        <v>-0.98234601710364144</v>
      </c>
      <c r="J968">
        <f t="shared" ca="1" si="109"/>
        <v>-0.13515666197546827</v>
      </c>
      <c r="K968">
        <f t="shared" ca="1" si="110"/>
        <v>13.922903996973099</v>
      </c>
      <c r="L968">
        <f t="shared" ca="1" si="111"/>
        <v>19.119200809055961</v>
      </c>
      <c r="M968">
        <f t="shared" ca="1" si="112"/>
        <v>0</v>
      </c>
      <c r="N968">
        <f t="shared" ca="1" si="113"/>
        <v>0</v>
      </c>
    </row>
    <row r="969" spans="6:14" x14ac:dyDescent="0.75">
      <c r="F969">
        <v>964</v>
      </c>
      <c r="G969">
        <f t="shared" ca="1" si="107"/>
        <v>-0.89845397919905756</v>
      </c>
      <c r="H969">
        <f t="shared" ca="1" si="107"/>
        <v>-1.1552973437479657</v>
      </c>
      <c r="I969">
        <f t="shared" ca="1" si="108"/>
        <v>-0.89845397919905756</v>
      </c>
      <c r="J969">
        <f t="shared" ca="1" si="109"/>
        <v>-1.4379978498719479</v>
      </c>
      <c r="K969">
        <f t="shared" ca="1" si="110"/>
        <v>14.217992828287759</v>
      </c>
      <c r="L969">
        <f t="shared" ca="1" si="111"/>
        <v>13.804336902467988</v>
      </c>
      <c r="M969">
        <f t="shared" ca="1" si="112"/>
        <v>0</v>
      </c>
      <c r="N969">
        <f t="shared" ca="1" si="113"/>
        <v>0</v>
      </c>
    </row>
    <row r="970" spans="6:14" x14ac:dyDescent="0.75">
      <c r="F970">
        <v>965</v>
      </c>
      <c r="G970">
        <f t="shared" ca="1" si="107"/>
        <v>3.7824963140566051E-3</v>
      </c>
      <c r="H970">
        <f t="shared" ca="1" si="107"/>
        <v>0.97858170617017382</v>
      </c>
      <c r="I970">
        <f t="shared" ca="1" si="108"/>
        <v>3.7824963140566051E-3</v>
      </c>
      <c r="J970">
        <f t="shared" ca="1" si="109"/>
        <v>0.65010783025643282</v>
      </c>
      <c r="K970">
        <f t="shared" ca="1" si="110"/>
        <v>17.815473580958763</v>
      </c>
      <c r="L970">
        <f t="shared" ca="1" si="111"/>
        <v>23.266376068230844</v>
      </c>
      <c r="M970">
        <f t="shared" ca="1" si="112"/>
        <v>0</v>
      </c>
      <c r="N970">
        <f t="shared" ca="1" si="113"/>
        <v>0</v>
      </c>
    </row>
    <row r="971" spans="6:14" x14ac:dyDescent="0.75">
      <c r="F971">
        <v>966</v>
      </c>
      <c r="G971">
        <f t="shared" ca="1" si="107"/>
        <v>0.68013211545891727</v>
      </c>
      <c r="H971">
        <f t="shared" ca="1" si="107"/>
        <v>5.4994814518935717E-2</v>
      </c>
      <c r="I971">
        <f t="shared" ca="1" si="108"/>
        <v>0.68013211545891727</v>
      </c>
      <c r="J971">
        <f t="shared" ca="1" si="109"/>
        <v>0.54647473724799489</v>
      </c>
      <c r="K971">
        <f t="shared" ca="1" si="110"/>
        <v>21.097504994009004</v>
      </c>
      <c r="L971">
        <f t="shared" ca="1" si="111"/>
        <v>22.671326082949474</v>
      </c>
      <c r="M971">
        <f t="shared" ca="1" si="112"/>
        <v>0</v>
      </c>
      <c r="N971">
        <f t="shared" ca="1" si="113"/>
        <v>0</v>
      </c>
    </row>
    <row r="972" spans="6:14" x14ac:dyDescent="0.75">
      <c r="F972">
        <v>967</v>
      </c>
      <c r="G972">
        <f t="shared" ca="1" si="107"/>
        <v>-1.5292877225664547</v>
      </c>
      <c r="H972">
        <f t="shared" ca="1" si="107"/>
        <v>0.4807505276886157</v>
      </c>
      <c r="I972">
        <f t="shared" ca="1" si="108"/>
        <v>-1.5292877225664547</v>
      </c>
      <c r="J972">
        <f t="shared" ca="1" si="109"/>
        <v>-0.82897920719305385</v>
      </c>
      <c r="K972">
        <f t="shared" ca="1" si="110"/>
        <v>12.143570190172166</v>
      </c>
      <c r="L972">
        <f t="shared" ca="1" si="111"/>
        <v>16.074553147446029</v>
      </c>
      <c r="M972">
        <f t="shared" ca="1" si="112"/>
        <v>0</v>
      </c>
      <c r="N972">
        <f t="shared" ca="1" si="113"/>
        <v>0</v>
      </c>
    </row>
    <row r="973" spans="6:14" x14ac:dyDescent="0.75">
      <c r="F973">
        <v>968</v>
      </c>
      <c r="G973">
        <f t="shared" ca="1" si="107"/>
        <v>9.7808659464252837E-2</v>
      </c>
      <c r="H973">
        <f t="shared" ca="1" si="107"/>
        <v>-0.87716675341618511</v>
      </c>
      <c r="I973">
        <f t="shared" ca="1" si="108"/>
        <v>9.7808659464252837E-2</v>
      </c>
      <c r="J973">
        <f t="shared" ca="1" si="109"/>
        <v>-0.50683477737009597</v>
      </c>
      <c r="K973">
        <f t="shared" ca="1" si="110"/>
        <v>18.239214568147823</v>
      </c>
      <c r="L973">
        <f t="shared" ca="1" si="111"/>
        <v>17.422693475862268</v>
      </c>
      <c r="M973">
        <f t="shared" ca="1" si="112"/>
        <v>0</v>
      </c>
      <c r="N973">
        <f t="shared" ca="1" si="113"/>
        <v>0</v>
      </c>
    </row>
    <row r="974" spans="6:14" x14ac:dyDescent="0.75">
      <c r="F974">
        <v>969</v>
      </c>
      <c r="G974">
        <f t="shared" ca="1" si="107"/>
        <v>1.5167057989351849</v>
      </c>
      <c r="H974">
        <f t="shared" ca="1" si="107"/>
        <v>0.13835356461667433</v>
      </c>
      <c r="I974">
        <f t="shared" ca="1" si="108"/>
        <v>1.5167057989351849</v>
      </c>
      <c r="J974">
        <f t="shared" ca="1" si="109"/>
        <v>1.229041630445145</v>
      </c>
      <c r="K974">
        <f t="shared" ca="1" si="110"/>
        <v>26.005243938574196</v>
      </c>
      <c r="L974">
        <f t="shared" ca="1" si="111"/>
        <v>26.889682992552935</v>
      </c>
      <c r="M974">
        <f t="shared" ca="1" si="112"/>
        <v>0</v>
      </c>
      <c r="N974">
        <f t="shared" ca="1" si="113"/>
        <v>0</v>
      </c>
    </row>
    <row r="975" spans="6:14" x14ac:dyDescent="0.75">
      <c r="F975">
        <v>970</v>
      </c>
      <c r="G975">
        <f t="shared" ca="1" si="107"/>
        <v>-1.6658841103522091</v>
      </c>
      <c r="H975">
        <f t="shared" ca="1" si="107"/>
        <v>-0.69531045013594861</v>
      </c>
      <c r="I975">
        <f t="shared" ca="1" si="108"/>
        <v>-1.6658841103522091</v>
      </c>
      <c r="J975">
        <f t="shared" ca="1" si="109"/>
        <v>-1.7093177165251809</v>
      </c>
      <c r="K975">
        <f t="shared" ca="1" si="110"/>
        <v>11.735878996213588</v>
      </c>
      <c r="L975">
        <f t="shared" ca="1" si="111"/>
        <v>12.899039412176858</v>
      </c>
      <c r="M975">
        <f t="shared" ca="1" si="112"/>
        <v>0</v>
      </c>
      <c r="N975">
        <f t="shared" ca="1" si="113"/>
        <v>0</v>
      </c>
    </row>
    <row r="976" spans="6:14" x14ac:dyDescent="0.75">
      <c r="F976">
        <v>971</v>
      </c>
      <c r="G976">
        <f t="shared" ca="1" si="107"/>
        <v>2.2703303274980944</v>
      </c>
      <c r="H976">
        <f t="shared" ca="1" si="107"/>
        <v>0.17935150907917699</v>
      </c>
      <c r="I976">
        <f t="shared" ca="1" si="108"/>
        <v>2.2703303274980944</v>
      </c>
      <c r="J976">
        <f t="shared" ca="1" si="109"/>
        <v>1.8213776181954822</v>
      </c>
      <c r="K976">
        <f t="shared" ca="1" si="110"/>
        <v>31.396748599642763</v>
      </c>
      <c r="L976">
        <f t="shared" ca="1" si="111"/>
        <v>31.181553253962289</v>
      </c>
      <c r="M976">
        <f t="shared" ca="1" si="112"/>
        <v>0</v>
      </c>
      <c r="N976">
        <f t="shared" ca="1" si="113"/>
        <v>0</v>
      </c>
    </row>
    <row r="977" spans="6:14" x14ac:dyDescent="0.75">
      <c r="F977">
        <v>972</v>
      </c>
      <c r="G977">
        <f t="shared" ca="1" si="107"/>
        <v>-1.3871763478992596</v>
      </c>
      <c r="H977">
        <f t="shared" ca="1" si="107"/>
        <v>-0.9668231040158235</v>
      </c>
      <c r="I977">
        <f t="shared" ca="1" si="108"/>
        <v>-1.3871763478992596</v>
      </c>
      <c r="J977">
        <f t="shared" ca="1" si="109"/>
        <v>-1.6798756346787953</v>
      </c>
      <c r="K977">
        <f t="shared" ca="1" si="110"/>
        <v>12.582760602039206</v>
      </c>
      <c r="L977">
        <f t="shared" ca="1" si="111"/>
        <v>12.994333331898201</v>
      </c>
      <c r="M977">
        <f t="shared" ca="1" si="112"/>
        <v>0</v>
      </c>
      <c r="N977">
        <f t="shared" ca="1" si="113"/>
        <v>0</v>
      </c>
    </row>
    <row r="978" spans="6:14" x14ac:dyDescent="0.75">
      <c r="F978">
        <v>973</v>
      </c>
      <c r="G978">
        <f t="shared" ca="1" si="107"/>
        <v>-1.7713910094951271</v>
      </c>
      <c r="H978">
        <f t="shared" ca="1" si="107"/>
        <v>-1.4332156160552814</v>
      </c>
      <c r="I978">
        <f t="shared" ca="1" si="108"/>
        <v>-1.7713910094951271</v>
      </c>
      <c r="J978">
        <f t="shared" ca="1" si="109"/>
        <v>-2.2765262809254718</v>
      </c>
      <c r="K978">
        <f t="shared" ca="1" si="110"/>
        <v>11.43037179783687</v>
      </c>
      <c r="L978">
        <f t="shared" ca="1" si="111"/>
        <v>11.193695335407646</v>
      </c>
      <c r="M978">
        <f t="shared" ca="1" si="112"/>
        <v>0</v>
      </c>
      <c r="N978">
        <f t="shared" ca="1" si="113"/>
        <v>0</v>
      </c>
    </row>
    <row r="979" spans="6:14" x14ac:dyDescent="0.75">
      <c r="F979">
        <v>974</v>
      </c>
      <c r="G979">
        <f t="shared" ca="1" si="107"/>
        <v>1.5903543420375332</v>
      </c>
      <c r="H979">
        <f t="shared" ca="1" si="107"/>
        <v>-0.61503313576547936</v>
      </c>
      <c r="I979">
        <f t="shared" ca="1" si="108"/>
        <v>1.5903543420375332</v>
      </c>
      <c r="J979">
        <f t="shared" ca="1" si="109"/>
        <v>0.78595957520322912</v>
      </c>
      <c r="K979">
        <f t="shared" ca="1" si="110"/>
        <v>26.48849117579201</v>
      </c>
      <c r="L979">
        <f t="shared" ca="1" si="111"/>
        <v>24.070142387945964</v>
      </c>
      <c r="M979">
        <f t="shared" ca="1" si="112"/>
        <v>0</v>
      </c>
      <c r="N979">
        <f t="shared" ca="1" si="113"/>
        <v>0</v>
      </c>
    </row>
    <row r="980" spans="6:14" x14ac:dyDescent="0.75">
      <c r="F980">
        <v>975</v>
      </c>
      <c r="G980">
        <f t="shared" ca="1" si="107"/>
        <v>0.16350400459012496</v>
      </c>
      <c r="H980">
        <f t="shared" ca="1" si="107"/>
        <v>0.74134396709898964</v>
      </c>
      <c r="I980">
        <f t="shared" ca="1" si="108"/>
        <v>0.16350400459012496</v>
      </c>
      <c r="J980">
        <f t="shared" ca="1" si="109"/>
        <v>0.61298094666808789</v>
      </c>
      <c r="K980">
        <f t="shared" ca="1" si="110"/>
        <v>18.541245909578407</v>
      </c>
      <c r="L980">
        <f t="shared" ca="1" si="111"/>
        <v>23.051423168874415</v>
      </c>
      <c r="M980">
        <f t="shared" ca="1" si="112"/>
        <v>0</v>
      </c>
      <c r="N980">
        <f t="shared" ca="1" si="113"/>
        <v>0</v>
      </c>
    </row>
    <row r="981" spans="6:14" x14ac:dyDescent="0.75">
      <c r="F981">
        <v>976</v>
      </c>
      <c r="G981">
        <f t="shared" ca="1" si="107"/>
        <v>0.10090489748837793</v>
      </c>
      <c r="H981">
        <f t="shared" ca="1" si="107"/>
        <v>0.72686126140776053</v>
      </c>
      <c r="I981">
        <f t="shared" ca="1" si="108"/>
        <v>0.10090489748837793</v>
      </c>
      <c r="J981">
        <f t="shared" ca="1" si="109"/>
        <v>0.55645220694919462</v>
      </c>
      <c r="K981">
        <f t="shared" ca="1" si="110"/>
        <v>18.253338271154927</v>
      </c>
      <c r="L981">
        <f t="shared" ca="1" si="111"/>
        <v>22.727947287906275</v>
      </c>
      <c r="M981">
        <f t="shared" ca="1" si="112"/>
        <v>0</v>
      </c>
      <c r="N981">
        <f t="shared" ca="1" si="113"/>
        <v>0</v>
      </c>
    </row>
    <row r="982" spans="6:14" x14ac:dyDescent="0.75">
      <c r="F982">
        <v>977</v>
      </c>
      <c r="G982">
        <f t="shared" ca="1" si="107"/>
        <v>-0.69741270520386889</v>
      </c>
      <c r="H982">
        <f t="shared" ca="1" si="107"/>
        <v>2.4532415524172091</v>
      </c>
      <c r="I982">
        <f t="shared" ca="1" si="108"/>
        <v>-0.69741270520386889</v>
      </c>
      <c r="J982">
        <f t="shared" ca="1" si="109"/>
        <v>1.099607234513589</v>
      </c>
      <c r="K982">
        <f t="shared" ca="1" si="110"/>
        <v>14.950856386817042</v>
      </c>
      <c r="L982">
        <f t="shared" ca="1" si="111"/>
        <v>26.033497708445395</v>
      </c>
      <c r="M982">
        <f t="shared" ca="1" si="112"/>
        <v>0</v>
      </c>
      <c r="N982">
        <f t="shared" ca="1" si="113"/>
        <v>0</v>
      </c>
    </row>
    <row r="983" spans="6:14" x14ac:dyDescent="0.75">
      <c r="F983">
        <v>978</v>
      </c>
      <c r="G983">
        <f t="shared" ca="1" si="107"/>
        <v>-0.96333215592517774</v>
      </c>
      <c r="H983">
        <f t="shared" ca="1" si="107"/>
        <v>0.80520016332544542</v>
      </c>
      <c r="I983">
        <f t="shared" ca="1" si="108"/>
        <v>-0.96333215592517774</v>
      </c>
      <c r="J983">
        <f t="shared" ca="1" si="109"/>
        <v>-0.18990926999695334</v>
      </c>
      <c r="K983">
        <f t="shared" ca="1" si="110"/>
        <v>13.98924358447214</v>
      </c>
      <c r="L983">
        <f t="shared" ca="1" si="111"/>
        <v>18.85927727694834</v>
      </c>
      <c r="M983">
        <f t="shared" ca="1" si="112"/>
        <v>0</v>
      </c>
      <c r="N983">
        <f t="shared" ca="1" si="113"/>
        <v>0</v>
      </c>
    </row>
    <row r="984" spans="6:14" x14ac:dyDescent="0.75">
      <c r="F984">
        <v>979</v>
      </c>
      <c r="G984">
        <f t="shared" ca="1" si="107"/>
        <v>0.60700892844450449</v>
      </c>
      <c r="H984">
        <f t="shared" ca="1" si="107"/>
        <v>1.4672228617734899</v>
      </c>
      <c r="I984">
        <f t="shared" ca="1" si="108"/>
        <v>0.60700892844450449</v>
      </c>
      <c r="J984">
        <f t="shared" ca="1" si="109"/>
        <v>1.4257333988736662</v>
      </c>
      <c r="K984">
        <f t="shared" ca="1" si="110"/>
        <v>20.715329671033494</v>
      </c>
      <c r="L984">
        <f t="shared" ca="1" si="111"/>
        <v>28.24497662713609</v>
      </c>
      <c r="M984">
        <f t="shared" ca="1" si="112"/>
        <v>0</v>
      </c>
      <c r="N984">
        <f t="shared" ca="1" si="113"/>
        <v>0</v>
      </c>
    </row>
    <row r="985" spans="6:14" x14ac:dyDescent="0.75">
      <c r="F985">
        <v>980</v>
      </c>
      <c r="G985">
        <f t="shared" ca="1" si="107"/>
        <v>-0.16178098590086623</v>
      </c>
      <c r="H985">
        <f t="shared" ca="1" si="107"/>
        <v>-0.67555976427828213</v>
      </c>
      <c r="I985">
        <f t="shared" ca="1" si="108"/>
        <v>-0.16178098590086623</v>
      </c>
      <c r="J985">
        <f t="shared" ca="1" si="109"/>
        <v>-0.56817652243608741</v>
      </c>
      <c r="K985">
        <f t="shared" ca="1" si="110"/>
        <v>17.093128000500705</v>
      </c>
      <c r="L985">
        <f t="shared" ca="1" si="111"/>
        <v>17.157547134193351</v>
      </c>
      <c r="M985">
        <f t="shared" ca="1" si="112"/>
        <v>0</v>
      </c>
      <c r="N985">
        <f t="shared" ca="1" si="113"/>
        <v>0</v>
      </c>
    </row>
    <row r="986" spans="6:14" x14ac:dyDescent="0.75">
      <c r="F986">
        <v>981</v>
      </c>
      <c r="G986">
        <f t="shared" ca="1" si="107"/>
        <v>-0.16232937813570433</v>
      </c>
      <c r="H986">
        <f t="shared" ca="1" si="107"/>
        <v>-2.4314910939599192</v>
      </c>
      <c r="I986">
        <f t="shared" ca="1" si="108"/>
        <v>-0.16232937813570433</v>
      </c>
      <c r="J986">
        <f t="shared" ca="1" si="109"/>
        <v>-1.7300272210233614</v>
      </c>
      <c r="K986">
        <f t="shared" ca="1" si="110"/>
        <v>17.090784726467398</v>
      </c>
      <c r="L986">
        <f t="shared" ca="1" si="111"/>
        <v>12.83242881634154</v>
      </c>
      <c r="M986">
        <f t="shared" ca="1" si="112"/>
        <v>0</v>
      </c>
      <c r="N986">
        <f t="shared" ca="1" si="113"/>
        <v>0</v>
      </c>
    </row>
    <row r="987" spans="6:14" x14ac:dyDescent="0.75">
      <c r="F987">
        <v>982</v>
      </c>
      <c r="G987">
        <f t="shared" ca="1" si="107"/>
        <v>-1.6514281419061883</v>
      </c>
      <c r="H987">
        <f t="shared" ca="1" si="107"/>
        <v>-0.57565159704034974</v>
      </c>
      <c r="I987">
        <f t="shared" ca="1" si="108"/>
        <v>-1.6514281419061883</v>
      </c>
      <c r="J987">
        <f t="shared" ca="1" si="109"/>
        <v>-1.6193288483261239</v>
      </c>
      <c r="K987">
        <f t="shared" ca="1" si="110"/>
        <v>11.778369103537111</v>
      </c>
      <c r="L987">
        <f t="shared" ca="1" si="111"/>
        <v>13.192520780509575</v>
      </c>
      <c r="M987">
        <f t="shared" ca="1" si="112"/>
        <v>0</v>
      </c>
      <c r="N987">
        <f t="shared" ca="1" si="113"/>
        <v>0</v>
      </c>
    </row>
    <row r="988" spans="6:14" x14ac:dyDescent="0.75">
      <c r="F988">
        <v>983</v>
      </c>
      <c r="G988">
        <f t="shared" ca="1" si="107"/>
        <v>0.28096181140071552</v>
      </c>
      <c r="H988">
        <f t="shared" ca="1" si="107"/>
        <v>0.23712058462955882</v>
      </c>
      <c r="I988">
        <f t="shared" ca="1" si="108"/>
        <v>0.28096181140071552</v>
      </c>
      <c r="J988">
        <f t="shared" ca="1" si="109"/>
        <v>0.36756188296655101</v>
      </c>
      <c r="K988">
        <f t="shared" ca="1" si="110"/>
        <v>19.093772041350352</v>
      </c>
      <c r="L988">
        <f t="shared" ca="1" si="111"/>
        <v>21.679622071554377</v>
      </c>
      <c r="M988">
        <f t="shared" ca="1" si="112"/>
        <v>0</v>
      </c>
      <c r="N988">
        <f t="shared" ca="1" si="113"/>
        <v>0</v>
      </c>
    </row>
    <row r="989" spans="6:14" x14ac:dyDescent="0.75">
      <c r="F989">
        <v>984</v>
      </c>
      <c r="G989">
        <f t="shared" ca="1" si="107"/>
        <v>-0.75893437033939082</v>
      </c>
      <c r="H989">
        <f t="shared" ca="1" si="107"/>
        <v>-0.12957224892115266</v>
      </c>
      <c r="I989">
        <f t="shared" ca="1" si="108"/>
        <v>-0.75893437033939082</v>
      </c>
      <c r="J989">
        <f t="shared" ca="1" si="109"/>
        <v>-0.65490476461972491</v>
      </c>
      <c r="K989">
        <f t="shared" ca="1" si="110"/>
        <v>14.722665326869951</v>
      </c>
      <c r="L989">
        <f t="shared" ca="1" si="111"/>
        <v>16.789540150185729</v>
      </c>
      <c r="M989">
        <f t="shared" ca="1" si="112"/>
        <v>0</v>
      </c>
      <c r="N989">
        <f t="shared" ca="1" si="113"/>
        <v>0</v>
      </c>
    </row>
    <row r="990" spans="6:14" x14ac:dyDescent="0.75">
      <c r="F990">
        <v>985</v>
      </c>
      <c r="G990">
        <f t="shared" ca="1" si="107"/>
        <v>-0.96437437911732027</v>
      </c>
      <c r="H990">
        <f t="shared" ca="1" si="107"/>
        <v>-2.9471356212943758</v>
      </c>
      <c r="I990">
        <f t="shared" ca="1" si="108"/>
        <v>-0.96437437911732027</v>
      </c>
      <c r="J990">
        <f t="shared" ca="1" si="109"/>
        <v>-2.6726277678191783</v>
      </c>
      <c r="K990">
        <f t="shared" ca="1" si="110"/>
        <v>13.985599080764977</v>
      </c>
      <c r="L990">
        <f t="shared" ca="1" si="111"/>
        <v>10.138350695189667</v>
      </c>
      <c r="M990">
        <f t="shared" ca="1" si="112"/>
        <v>0</v>
      </c>
      <c r="N990">
        <f t="shared" ca="1" si="113"/>
        <v>0</v>
      </c>
    </row>
    <row r="991" spans="6:14" x14ac:dyDescent="0.75">
      <c r="F991">
        <v>986</v>
      </c>
      <c r="G991">
        <f t="shared" ca="1" si="107"/>
        <v>-0.59589473526183179</v>
      </c>
      <c r="H991">
        <f t="shared" ca="1" si="107"/>
        <v>1.273421171826723</v>
      </c>
      <c r="I991">
        <f t="shared" ca="1" si="108"/>
        <v>-0.59589473526183179</v>
      </c>
      <c r="J991">
        <f t="shared" ca="1" si="109"/>
        <v>0.39536788227811615</v>
      </c>
      <c r="K991">
        <f t="shared" ca="1" si="110"/>
        <v>15.335157591159476</v>
      </c>
      <c r="L991">
        <f t="shared" ca="1" si="111"/>
        <v>21.830852992515819</v>
      </c>
      <c r="M991">
        <f t="shared" ca="1" si="112"/>
        <v>0</v>
      </c>
      <c r="N991">
        <f t="shared" ca="1" si="113"/>
        <v>0</v>
      </c>
    </row>
    <row r="992" spans="6:14" x14ac:dyDescent="0.75">
      <c r="F992">
        <v>987</v>
      </c>
      <c r="G992">
        <f t="shared" ca="1" si="107"/>
        <v>0.89984740038304811</v>
      </c>
      <c r="H992">
        <f t="shared" ca="1" si="107"/>
        <v>0.84009672268405955</v>
      </c>
      <c r="I992">
        <f t="shared" ca="1" si="108"/>
        <v>0.89984740038304811</v>
      </c>
      <c r="J992">
        <f t="shared" ca="1" si="109"/>
        <v>1.2305573016528903</v>
      </c>
      <c r="K992">
        <f t="shared" ca="1" si="110"/>
        <v>22.288784349794309</v>
      </c>
      <c r="L992">
        <f t="shared" ca="1" si="111"/>
        <v>26.89987390276395</v>
      </c>
      <c r="M992">
        <f t="shared" ca="1" si="112"/>
        <v>0</v>
      </c>
      <c r="N992">
        <f t="shared" ca="1" si="113"/>
        <v>0</v>
      </c>
    </row>
    <row r="993" spans="6:14" x14ac:dyDescent="0.75">
      <c r="F993">
        <v>988</v>
      </c>
      <c r="G993">
        <f t="shared" ca="1" si="107"/>
        <v>-0.48540247365428196</v>
      </c>
      <c r="H993">
        <f t="shared" ca="1" si="107"/>
        <v>-0.72362511184267941</v>
      </c>
      <c r="I993">
        <f t="shared" ca="1" si="108"/>
        <v>-0.48540247365428196</v>
      </c>
      <c r="J993">
        <f t="shared" ca="1" si="109"/>
        <v>-0.842684877334969</v>
      </c>
      <c r="K993">
        <f t="shared" ca="1" si="110"/>
        <v>15.764666518372177</v>
      </c>
      <c r="L993">
        <f t="shared" ca="1" si="111"/>
        <v>16.019569269322812</v>
      </c>
      <c r="M993">
        <f t="shared" ca="1" si="112"/>
        <v>0</v>
      </c>
      <c r="N993">
        <f t="shared" ca="1" si="113"/>
        <v>0</v>
      </c>
    </row>
    <row r="994" spans="6:14" x14ac:dyDescent="0.75">
      <c r="F994">
        <v>989</v>
      </c>
      <c r="G994">
        <f t="shared" ca="1" si="107"/>
        <v>0.16804033158291878</v>
      </c>
      <c r="H994">
        <f t="shared" ca="1" si="107"/>
        <v>0.73066215917828992</v>
      </c>
      <c r="I994">
        <f t="shared" ca="1" si="108"/>
        <v>0.16804033158291878</v>
      </c>
      <c r="J994">
        <f t="shared" ca="1" si="109"/>
        <v>0.60931784008500034</v>
      </c>
      <c r="K994">
        <f t="shared" ca="1" si="110"/>
        <v>18.562285125994038</v>
      </c>
      <c r="L994">
        <f t="shared" ca="1" si="111"/>
        <v>23.030322876936484</v>
      </c>
      <c r="M994">
        <f t="shared" ca="1" si="112"/>
        <v>0</v>
      </c>
      <c r="N994">
        <f t="shared" ca="1" si="113"/>
        <v>0</v>
      </c>
    </row>
    <row r="995" spans="6:14" x14ac:dyDescent="0.75">
      <c r="F995">
        <v>990</v>
      </c>
      <c r="G995">
        <f t="shared" ca="1" si="107"/>
        <v>4.6179547338370819E-3</v>
      </c>
      <c r="H995">
        <f t="shared" ca="1" si="107"/>
        <v>-0.29407293309767085</v>
      </c>
      <c r="I995">
        <f t="shared" ca="1" si="108"/>
        <v>4.6179547338370819E-3</v>
      </c>
      <c r="J995">
        <f t="shared" ca="1" si="109"/>
        <v>-0.19104749602256527</v>
      </c>
      <c r="K995">
        <f t="shared" ca="1" si="110"/>
        <v>17.819194991432095</v>
      </c>
      <c r="L995">
        <f t="shared" ca="1" si="111"/>
        <v>18.853911510361229</v>
      </c>
      <c r="M995">
        <f t="shared" ca="1" si="112"/>
        <v>0</v>
      </c>
      <c r="N995">
        <f t="shared" ca="1" si="113"/>
        <v>0</v>
      </c>
    </row>
    <row r="996" spans="6:14" x14ac:dyDescent="0.75">
      <c r="F996">
        <v>991</v>
      </c>
      <c r="G996">
        <f t="shared" ca="1" si="107"/>
        <v>0.50730268166641812</v>
      </c>
      <c r="H996">
        <f t="shared" ca="1" si="107"/>
        <v>2.0553493445584117</v>
      </c>
      <c r="I996">
        <f t="shared" ca="1" si="108"/>
        <v>0.50730268166641812</v>
      </c>
      <c r="J996">
        <f t="shared" ca="1" si="109"/>
        <v>1.7399628170151047</v>
      </c>
      <c r="K996">
        <f t="shared" ca="1" si="110"/>
        <v>20.205350151286034</v>
      </c>
      <c r="L996">
        <f t="shared" ca="1" si="111"/>
        <v>30.553308505548898</v>
      </c>
      <c r="M996">
        <f t="shared" ca="1" si="112"/>
        <v>0</v>
      </c>
      <c r="N996">
        <f t="shared" ca="1" si="113"/>
        <v>0</v>
      </c>
    </row>
    <row r="997" spans="6:14" x14ac:dyDescent="0.75">
      <c r="F997">
        <v>992</v>
      </c>
      <c r="G997">
        <f t="shared" ca="1" si="107"/>
        <v>-0.66851032060954219</v>
      </c>
      <c r="H997">
        <f t="shared" ca="1" si="107"/>
        <v>1.9151108181382936E-2</v>
      </c>
      <c r="I997">
        <f t="shared" ca="1" si="108"/>
        <v>-0.66851032060954219</v>
      </c>
      <c r="J997">
        <f t="shared" ca="1" si="109"/>
        <v>-0.48871547306234825</v>
      </c>
      <c r="K997">
        <f t="shared" ca="1" si="110"/>
        <v>15.059276465283913</v>
      </c>
      <c r="L997">
        <f t="shared" ca="1" si="111"/>
        <v>17.501794268257903</v>
      </c>
      <c r="M997">
        <f t="shared" ca="1" si="112"/>
        <v>0</v>
      </c>
      <c r="N997">
        <f t="shared" ca="1" si="113"/>
        <v>0</v>
      </c>
    </row>
    <row r="998" spans="6:14" x14ac:dyDescent="0.75">
      <c r="F998">
        <v>993</v>
      </c>
      <c r="G998">
        <f t="shared" ca="1" si="107"/>
        <v>0.87688011985644321</v>
      </c>
      <c r="H998">
        <f t="shared" ca="1" si="107"/>
        <v>-0.10636936196138466</v>
      </c>
      <c r="I998">
        <f t="shared" ca="1" si="108"/>
        <v>0.87688011985644321</v>
      </c>
      <c r="J998">
        <f t="shared" ca="1" si="109"/>
        <v>0.58730337017572298</v>
      </c>
      <c r="K998">
        <f t="shared" ca="1" si="110"/>
        <v>22.161172870780618</v>
      </c>
      <c r="L998">
        <f t="shared" ca="1" si="111"/>
        <v>22.903920942447918</v>
      </c>
      <c r="M998">
        <f t="shared" ca="1" si="112"/>
        <v>0</v>
      </c>
      <c r="N998">
        <f t="shared" ca="1" si="113"/>
        <v>0</v>
      </c>
    </row>
    <row r="999" spans="6:14" x14ac:dyDescent="0.75">
      <c r="F999">
        <v>994</v>
      </c>
      <c r="G999">
        <f t="shared" ca="1" si="107"/>
        <v>0.49025558001832009</v>
      </c>
      <c r="H999">
        <f t="shared" ca="1" si="107"/>
        <v>-0.86545696922505233</v>
      </c>
      <c r="I999">
        <f t="shared" ca="1" si="108"/>
        <v>0.49025558001832009</v>
      </c>
      <c r="J999">
        <f t="shared" ca="1" si="109"/>
        <v>-0.20475429273555223</v>
      </c>
      <c r="K999">
        <f t="shared" ca="1" si="110"/>
        <v>20.119422718586243</v>
      </c>
      <c r="L999">
        <f t="shared" ca="1" si="111"/>
        <v>18.78941539478593</v>
      </c>
      <c r="M999">
        <f t="shared" ca="1" si="112"/>
        <v>0</v>
      </c>
      <c r="N999">
        <f t="shared" ca="1" si="113"/>
        <v>0</v>
      </c>
    </row>
    <row r="1000" spans="6:14" x14ac:dyDescent="0.75">
      <c r="F1000">
        <v>995</v>
      </c>
      <c r="G1000">
        <f t="shared" ca="1" si="107"/>
        <v>0.43644863556354091</v>
      </c>
      <c r="H1000">
        <f t="shared" ca="1" si="107"/>
        <v>0.91239920210804359</v>
      </c>
      <c r="I1000">
        <f t="shared" ca="1" si="108"/>
        <v>0.43644863556354091</v>
      </c>
      <c r="J1000">
        <f t="shared" ca="1" si="109"/>
        <v>0.93083182297056632</v>
      </c>
      <c r="K1000">
        <f t="shared" ca="1" si="110"/>
        <v>19.850593715507802</v>
      </c>
      <c r="L1000">
        <f t="shared" ca="1" si="111"/>
        <v>24.957895606169718</v>
      </c>
      <c r="M1000">
        <f t="shared" ca="1" si="112"/>
        <v>0</v>
      </c>
      <c r="N1000">
        <f t="shared" ca="1" si="113"/>
        <v>0</v>
      </c>
    </row>
    <row r="1001" spans="6:14" x14ac:dyDescent="0.75">
      <c r="F1001">
        <v>996</v>
      </c>
      <c r="G1001">
        <f t="shared" ca="1" si="107"/>
        <v>1.5280845548961732</v>
      </c>
      <c r="H1001">
        <f t="shared" ca="1" si="107"/>
        <v>-0.63843109148508626</v>
      </c>
      <c r="I1001">
        <f t="shared" ca="1" si="108"/>
        <v>1.5280845548961732</v>
      </c>
      <c r="J1001">
        <f t="shared" ca="1" si="109"/>
        <v>0.7237809418418637</v>
      </c>
      <c r="K1001">
        <f t="shared" ca="1" si="110"/>
        <v>26.079326090077693</v>
      </c>
      <c r="L1001">
        <f t="shared" ca="1" si="111"/>
        <v>23.698873349479108</v>
      </c>
      <c r="M1001">
        <f t="shared" ca="1" si="112"/>
        <v>0</v>
      </c>
      <c r="N1001">
        <f t="shared" ca="1" si="113"/>
        <v>0</v>
      </c>
    </row>
    <row r="1002" spans="6:14" x14ac:dyDescent="0.75">
      <c r="F1002">
        <v>997</v>
      </c>
      <c r="G1002">
        <f t="shared" ca="1" si="107"/>
        <v>-9.7076287120382576E-2</v>
      </c>
      <c r="H1002">
        <f t="shared" ca="1" si="107"/>
        <v>-0.20769333018874597</v>
      </c>
      <c r="I1002">
        <f t="shared" ca="1" si="108"/>
        <v>-9.7076287120382576E-2</v>
      </c>
      <c r="J1002">
        <f t="shared" ca="1" si="109"/>
        <v>-0.21018344050184834</v>
      </c>
      <c r="K1002">
        <f t="shared" ca="1" si="110"/>
        <v>17.371877900345464</v>
      </c>
      <c r="L1002">
        <f t="shared" ca="1" si="111"/>
        <v>18.763930065995243</v>
      </c>
      <c r="M1002">
        <f t="shared" ca="1" si="112"/>
        <v>0</v>
      </c>
      <c r="N1002">
        <f t="shared" ca="1" si="113"/>
        <v>0</v>
      </c>
    </row>
    <row r="1003" spans="6:14" x14ac:dyDescent="0.75">
      <c r="F1003">
        <v>998</v>
      </c>
      <c r="G1003">
        <f t="shared" ca="1" si="107"/>
        <v>-1.2302890436335645</v>
      </c>
      <c r="H1003">
        <f t="shared" ca="1" si="107"/>
        <v>-0.88259879259986673</v>
      </c>
      <c r="I1003">
        <f t="shared" ca="1" si="108"/>
        <v>-1.2302890436335645</v>
      </c>
      <c r="J1003">
        <f t="shared" ca="1" si="109"/>
        <v>-1.5065010108914541</v>
      </c>
      <c r="K1003">
        <f t="shared" ca="1" si="110"/>
        <v>13.086085589789306</v>
      </c>
      <c r="L1003">
        <f t="shared" ca="1" si="111"/>
        <v>13.569939572712169</v>
      </c>
      <c r="M1003">
        <f t="shared" ca="1" si="112"/>
        <v>0</v>
      </c>
      <c r="N1003">
        <f t="shared" ca="1" si="113"/>
        <v>0</v>
      </c>
    </row>
    <row r="1004" spans="6:14" x14ac:dyDescent="0.75">
      <c r="F1004">
        <v>999</v>
      </c>
      <c r="G1004">
        <f t="shared" ca="1" si="107"/>
        <v>-1.3054411536718196</v>
      </c>
      <c r="H1004">
        <f t="shared" ca="1" si="107"/>
        <v>1.0244668193199105</v>
      </c>
      <c r="I1004">
        <f t="shared" ca="1" si="108"/>
        <v>-1.3054411536718196</v>
      </c>
      <c r="J1004">
        <f t="shared" ca="1" si="109"/>
        <v>-0.30145975766440869</v>
      </c>
      <c r="K1004">
        <f t="shared" ca="1" si="110"/>
        <v>12.842519085496463</v>
      </c>
      <c r="L1004">
        <f t="shared" ca="1" si="111"/>
        <v>18.340602796363608</v>
      </c>
      <c r="M1004">
        <f t="shared" ca="1" si="112"/>
        <v>0</v>
      </c>
      <c r="N1004">
        <f t="shared" ca="1" si="113"/>
        <v>0</v>
      </c>
    </row>
    <row r="1005" spans="6:14" x14ac:dyDescent="0.75">
      <c r="F1005">
        <v>1000</v>
      </c>
      <c r="G1005">
        <f t="shared" ca="1" si="107"/>
        <v>-0.24834133921914275</v>
      </c>
      <c r="H1005">
        <f t="shared" ca="1" si="107"/>
        <v>-1.3251138682194279</v>
      </c>
      <c r="I1005">
        <f t="shared" ca="1" si="108"/>
        <v>-0.24834133921914275</v>
      </c>
      <c r="J1005">
        <f t="shared" ca="1" si="109"/>
        <v>-1.0627364429522128</v>
      </c>
      <c r="K1005">
        <f t="shared" ca="1" si="110"/>
        <v>16.727204785925302</v>
      </c>
      <c r="L1005">
        <f t="shared" ca="1" si="111"/>
        <v>15.162088928147631</v>
      </c>
      <c r="M1005">
        <f t="shared" ca="1" si="112"/>
        <v>0</v>
      </c>
      <c r="N1005">
        <f t="shared" ca="1" si="113"/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70272-A40B-4472-8E2D-DE58E3908E55}">
  <sheetPr codeName="Hoja3"/>
  <dimension ref="B5:M16"/>
  <sheetViews>
    <sheetView tabSelected="1" topLeftCell="A4" workbookViewId="0">
      <selection activeCell="H11" sqref="H11"/>
    </sheetView>
  </sheetViews>
  <sheetFormatPr baseColWidth="10" defaultRowHeight="14.75" x14ac:dyDescent="0.75"/>
  <sheetData>
    <row r="5" spans="2:13" x14ac:dyDescent="0.75">
      <c r="B5" t="s">
        <v>53</v>
      </c>
      <c r="C5">
        <v>100</v>
      </c>
      <c r="D5">
        <v>20</v>
      </c>
    </row>
    <row r="6" spans="2:13" x14ac:dyDescent="0.75">
      <c r="B6" t="s">
        <v>37</v>
      </c>
      <c r="C6">
        <v>70</v>
      </c>
      <c r="D6">
        <v>80</v>
      </c>
      <c r="E6">
        <v>90</v>
      </c>
      <c r="F6">
        <v>100</v>
      </c>
      <c r="G6">
        <v>110</v>
      </c>
    </row>
    <row r="7" spans="2:13" x14ac:dyDescent="0.75">
      <c r="B7" t="s">
        <v>54</v>
      </c>
      <c r="C7">
        <v>0.01</v>
      </c>
    </row>
    <row r="8" spans="2:13" x14ac:dyDescent="0.75">
      <c r="B8" t="s">
        <v>55</v>
      </c>
      <c r="C8">
        <v>0</v>
      </c>
      <c r="I8" t="s">
        <v>61</v>
      </c>
    </row>
    <row r="9" spans="2:13" x14ac:dyDescent="0.75">
      <c r="B9" t="s">
        <v>34</v>
      </c>
      <c r="C9">
        <v>0.1</v>
      </c>
      <c r="G9" cm="1">
        <f t="array" ref="G9">blsvega(C5,C6,C7,C8,C9,C10)</f>
        <v>19.947114020071634</v>
      </c>
      <c r="I9">
        <v>1</v>
      </c>
      <c r="J9">
        <v>0.75</v>
      </c>
      <c r="L9" cm="1">
        <f t="array" ref="L9:M10">cholExcel(I9:J10)</f>
        <v>1</v>
      </c>
      <c r="M9">
        <v>0</v>
      </c>
    </row>
    <row r="10" spans="2:13" x14ac:dyDescent="0.75">
      <c r="B10" t="s">
        <v>36</v>
      </c>
      <c r="C10">
        <v>0.25</v>
      </c>
      <c r="I10">
        <v>0.75</v>
      </c>
      <c r="J10">
        <v>1</v>
      </c>
      <c r="L10">
        <v>0.75</v>
      </c>
      <c r="M10">
        <v>0.66143782776614768</v>
      </c>
    </row>
    <row r="11" spans="2:13" x14ac:dyDescent="0.75">
      <c r="B11" t="s">
        <v>60</v>
      </c>
      <c r="C11">
        <v>10000</v>
      </c>
    </row>
    <row r="12" spans="2:13" x14ac:dyDescent="0.75">
      <c r="G12" cm="1">
        <f t="array" ref="G12">monteCarloBasket2(C5:D5,C6,C7,C8,C9,C10,C11,I9:J10)</f>
        <v>0</v>
      </c>
    </row>
    <row r="13" spans="2:13" x14ac:dyDescent="0.75">
      <c r="C13" t="s">
        <v>56</v>
      </c>
      <c r="D13" t="s">
        <v>57</v>
      </c>
    </row>
    <row r="14" spans="2:13" x14ac:dyDescent="0.75">
      <c r="C14">
        <v>100</v>
      </c>
      <c r="D14">
        <v>101</v>
      </c>
      <c r="F14" t="s">
        <v>62</v>
      </c>
    </row>
    <row r="15" spans="2:13" x14ac:dyDescent="0.75">
      <c r="C15" t="s">
        <v>58</v>
      </c>
      <c r="D15" t="s">
        <v>59</v>
      </c>
      <c r="F15" t="s">
        <v>63</v>
      </c>
      <c r="G15" cm="1">
        <f t="array" ref="G15">blsvega(C5,C6,C7,C8,C9,C10)</f>
        <v>19.947114020071634</v>
      </c>
    </row>
    <row r="16" spans="2:13" x14ac:dyDescent="0.75">
      <c r="C16">
        <v>0.25</v>
      </c>
      <c r="D16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Vainilla</vt:lpstr>
      <vt:lpstr>Asiatica</vt:lpstr>
      <vt:lpstr>Barrera</vt:lpstr>
      <vt:lpstr>Basket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Miriam Gutiérrez Serrano</dc:creator>
  <cp:lastModifiedBy>Miriam Gutiérrez Serrano</cp:lastModifiedBy>
  <dcterms:created xsi:type="dcterms:W3CDTF">2025-05-09T09:18:40Z</dcterms:created>
  <dcterms:modified xsi:type="dcterms:W3CDTF">2025-05-25T18:13:27Z</dcterms:modified>
</cp:coreProperties>
</file>